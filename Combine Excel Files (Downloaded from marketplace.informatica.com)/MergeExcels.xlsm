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VGS\Miscelleneous\LANOSREP\Macros\Combine Excel Files (Downloaded from marketplace.informatica.com)\"/>
    </mc:Choice>
  </mc:AlternateContent>
  <bookViews>
    <workbookView xWindow="0" yWindow="0" windowWidth="23040" windowHeight="9408"/>
  </bookViews>
  <sheets>
    <sheet name="MergeExcel" sheetId="1" r:id="rId1"/>
    <sheet name="39-Security Building (5)" sheetId="385" state="hidden" r:id="rId2"/>
    <sheet name="0B (5)" sheetId="384" state="hidden" r:id="rId3"/>
    <sheet name="39-Security Building (4)" sheetId="382" state="hidden" r:id="rId4"/>
    <sheet name="0B (4)" sheetId="381" state="hidden" r:id="rId5"/>
    <sheet name="elv BLG (3)" sheetId="355" state="hidden" r:id="rId6"/>
    <sheet name="archiwarm (3)" sheetId="354" state="hidden" r:id="rId7"/>
    <sheet name="Doc Set (3)" sheetId="353" state="hidden" r:id="rId8"/>
    <sheet name="FS31 (3)" sheetId="351" state="hidden" r:id="rId9"/>
    <sheet name="DG30 (3)" sheetId="349" state="hidden" r:id="rId10"/>
    <sheet name="SG0A (3)" sheetId="347" state="hidden" r:id="rId11"/>
    <sheet name="MSP00 (3)" sheetId="344" state="hidden" r:id="rId12"/>
    <sheet name="CCP38 (3)" sheetId="342" state="hidden" r:id="rId13"/>
    <sheet name="EH3 (3)" sheetId="340" state="hidden" r:id="rId14"/>
    <sheet name="EH2 (3)" sheetId="338" state="hidden" r:id="rId15"/>
    <sheet name="EH1 (3)" sheetId="336" state="hidden" r:id="rId16"/>
    <sheet name="CC7 (3)" sheetId="335" state="hidden" r:id="rId17"/>
    <sheet name="elv COVER (3)" sheetId="334" state="hidden" r:id="rId18"/>
    <sheet name="L &amp; T MASTER (3)" sheetId="333" state="hidden" r:id="rId19"/>
    <sheet name="elv BLG (2)" sheetId="264" state="hidden" r:id="rId20"/>
    <sheet name="archiwarm (2)" sheetId="263" state="hidden" r:id="rId21"/>
    <sheet name="Doc Set (2)" sheetId="262" state="hidden" r:id="rId22"/>
    <sheet name="FS31 (2)" sheetId="260" state="hidden" r:id="rId23"/>
    <sheet name="DG30 (2)" sheetId="258" state="hidden" r:id="rId24"/>
    <sheet name="SG0A (2)" sheetId="256" state="hidden" r:id="rId25"/>
    <sheet name="MSP00 (2)" sheetId="253" state="hidden" r:id="rId26"/>
    <sheet name="CCP38 (2)" sheetId="251" state="hidden" r:id="rId27"/>
    <sheet name="EH3 (2)" sheetId="249" state="hidden" r:id="rId28"/>
    <sheet name="EH2 (2)" sheetId="247" state="hidden" r:id="rId29"/>
    <sheet name="EH1 (2)" sheetId="245" state="hidden" r:id="rId30"/>
    <sheet name="CC7 (2)" sheetId="244" state="hidden" r:id="rId31"/>
    <sheet name="elv COVER (2)" sheetId="243" state="hidden" r:id="rId32"/>
    <sheet name="L &amp; T MASTER (2)" sheetId="242" state="hidden" r:id="rId33"/>
    <sheet name="39-Security Building (3)" sheetId="174" state="hidden" r:id="rId34"/>
    <sheet name="0B (3)" sheetId="173" state="hidden" r:id="rId35"/>
    <sheet name="39-Security Building (2)" sheetId="171" state="hidden" r:id="rId36"/>
    <sheet name="0B (2)" sheetId="170" state="hidden" r:id="rId37"/>
    <sheet name="elv BLG" sheetId="144" state="hidden" r:id="rId38"/>
    <sheet name="archiwarm" sheetId="143" state="hidden" r:id="rId39"/>
    <sheet name="Doc Set" sheetId="142" state="hidden" r:id="rId40"/>
    <sheet name="FS31" sheetId="140" state="hidden" r:id="rId41"/>
    <sheet name="DG30" sheetId="138" state="hidden" r:id="rId42"/>
    <sheet name="SG0A" sheetId="136" state="hidden" r:id="rId43"/>
    <sheet name="MSP00" sheetId="133" state="hidden" r:id="rId44"/>
    <sheet name="CCP38" sheetId="131" state="hidden" r:id="rId45"/>
    <sheet name="EH3" sheetId="129" state="hidden" r:id="rId46"/>
    <sheet name="EH2" sheetId="127" state="hidden" r:id="rId47"/>
    <sheet name="EH1" sheetId="125" state="hidden" r:id="rId48"/>
    <sheet name="CC7" sheetId="124" state="hidden" r:id="rId49"/>
    <sheet name="elv COVER" sheetId="123" state="hidden" r:id="rId50"/>
  </sheets>
  <functionGroups builtInGroupCount="18"/>
  <externalReferences>
    <externalReference r:id="rId51"/>
    <externalReference r:id="rId52"/>
  </externalReferences>
  <definedNames>
    <definedName name="_xlnm._FilterDatabase" localSheetId="48" hidden="1">'CC7'!$A$1:$S$169</definedName>
    <definedName name="_xlnm._FilterDatabase" localSheetId="30" hidden="1">'CC7 (2)'!$A$1:$S$169</definedName>
    <definedName name="_xlnm._FilterDatabase" localSheetId="16" hidden="1">'CC7 (3)'!$A$1:$S$169</definedName>
    <definedName name="_xlnm._FilterDatabase" localSheetId="44" hidden="1">'CCP38'!$A$1:$S$13</definedName>
    <definedName name="_xlnm._FilterDatabase" localSheetId="26" hidden="1">'CCP38 (2)'!$A$1:$S$13</definedName>
    <definedName name="_xlnm._FilterDatabase" localSheetId="12" hidden="1">'CCP38 (3)'!$A$1:$S$13</definedName>
    <definedName name="_xlnm._FilterDatabase" localSheetId="41" hidden="1">'DG30'!$A$1:$S$10</definedName>
    <definedName name="_xlnm._FilterDatabase" localSheetId="23" hidden="1">'DG30 (2)'!$A$1:$S$10</definedName>
    <definedName name="_xlnm._FilterDatabase" localSheetId="9" hidden="1">'DG30 (3)'!$A$1:$S$10</definedName>
    <definedName name="_xlnm._FilterDatabase" localSheetId="39" hidden="1">'Doc Set'!$D$1:$H$22</definedName>
    <definedName name="_xlnm._FilterDatabase" localSheetId="21" hidden="1">'Doc Set (2)'!$D$1:$H$22</definedName>
    <definedName name="_xlnm._FilterDatabase" localSheetId="7" hidden="1">'Doc Set (3)'!$D$1:$H$22</definedName>
    <definedName name="_xlnm._FilterDatabase" localSheetId="47" hidden="1">'EH1'!$A$1:$S$98</definedName>
    <definedName name="_xlnm._FilterDatabase" localSheetId="29" hidden="1">'EH1 (2)'!$A$1:$S$98</definedName>
    <definedName name="_xlnm._FilterDatabase" localSheetId="15" hidden="1">'EH1 (3)'!$A$1:$S$98</definedName>
    <definedName name="_xlnm._FilterDatabase" localSheetId="46" hidden="1">'EH2'!$A$1:$S$95</definedName>
    <definedName name="_xlnm._FilterDatabase" localSheetId="28" hidden="1">'EH2 (2)'!$A$1:$S$95</definedName>
    <definedName name="_xlnm._FilterDatabase" localSheetId="14" hidden="1">'EH2 (3)'!$A$1:$S$95</definedName>
    <definedName name="_xlnm._FilterDatabase" localSheetId="45" hidden="1">'EH3'!$A$1:$S$19</definedName>
    <definedName name="_xlnm._FilterDatabase" localSheetId="27" hidden="1">'EH3 (2)'!$A$1:$S$19</definedName>
    <definedName name="_xlnm._FilterDatabase" localSheetId="13" hidden="1">'EH3 (3)'!$A$1:$S$19</definedName>
    <definedName name="_xlnm._FilterDatabase" localSheetId="40" hidden="1">'FS31'!$A$1:$S$3</definedName>
    <definedName name="_xlnm._FilterDatabase" localSheetId="22" hidden="1">'FS31 (2)'!$A$1:$S$3</definedName>
    <definedName name="_xlnm._FilterDatabase" localSheetId="8" hidden="1">'FS31 (3)'!$A$1:$S$3</definedName>
    <definedName name="_xlnm._FilterDatabase" localSheetId="43" hidden="1">MSP00!$A$1:$S$26</definedName>
    <definedName name="_xlnm._FilterDatabase" localSheetId="25" hidden="1">'MSP00 (2)'!$A$1:$S$26</definedName>
    <definedName name="_xlnm._FilterDatabase" localSheetId="11" hidden="1">'MSP00 (3)'!$A$1:$S$26</definedName>
    <definedName name="_xlnm._FilterDatabase" localSheetId="42" hidden="1">SG0A!$A$1:$S$12</definedName>
    <definedName name="_xlnm._FilterDatabase" localSheetId="24" hidden="1">'SG0A (2)'!$A$1:$S$12</definedName>
    <definedName name="_xlnm._FilterDatabase" localSheetId="10" hidden="1">'SG0A (3)'!$A$1:$S$12</definedName>
    <definedName name="DDset">OFFSET([1]Formulas!$AB$1,1,0,MAX([1]Formulas!$Z:$Z),1)</definedName>
    <definedName name="Document_Set_Name" localSheetId="38">'[2]Doc Set'!$E:$E</definedName>
    <definedName name="Document_Set_Name" localSheetId="20">'[2]Doc Set'!$E:$E</definedName>
    <definedName name="Document_Set_Name" localSheetId="6">'[2]Doc Set'!$E:$E</definedName>
    <definedName name="Document_Set_Name" localSheetId="30">'[2]Doc Set'!$E:$E</definedName>
    <definedName name="Document_Set_Name" localSheetId="16">'[2]Doc Set'!$E:$E</definedName>
    <definedName name="Document_Set_Name" localSheetId="26">'[2]Doc Set'!$E:$E</definedName>
    <definedName name="Document_Set_Name" localSheetId="12">'[2]Doc Set'!$E:$E</definedName>
    <definedName name="Document_Set_Name" localSheetId="23">'[2]Doc Set'!$E:$E</definedName>
    <definedName name="Document_Set_Name" localSheetId="9">'[2]Doc Set'!$E:$E</definedName>
    <definedName name="Document_Set_Name" localSheetId="21">'Doc Set (2)'!$E:$E</definedName>
    <definedName name="Document_Set_Name" localSheetId="7">'Doc Set (3)'!$E:$E</definedName>
    <definedName name="Document_Set_Name" localSheetId="29">'[2]Doc Set'!$E:$E</definedName>
    <definedName name="Document_Set_Name" localSheetId="15">'[2]Doc Set'!$E:$E</definedName>
    <definedName name="Document_Set_Name" localSheetId="28">'[2]Doc Set'!$E:$E</definedName>
    <definedName name="Document_Set_Name" localSheetId="14">'[2]Doc Set'!$E:$E</definedName>
    <definedName name="Document_Set_Name" localSheetId="27">'[2]Doc Set'!$E:$E</definedName>
    <definedName name="Document_Set_Name" localSheetId="13">'[2]Doc Set'!$E:$E</definedName>
    <definedName name="Document_Set_Name" localSheetId="37">'[2]Doc Set'!$E:$E</definedName>
    <definedName name="Document_Set_Name" localSheetId="19">'[2]Doc Set'!$E:$E</definedName>
    <definedName name="Document_Set_Name" localSheetId="5">'[2]Doc Set'!$E:$E</definedName>
    <definedName name="Document_Set_Name" localSheetId="31">'[2]Doc Set'!$E:$E</definedName>
    <definedName name="Document_Set_Name" localSheetId="17">'[2]Doc Set'!$E:$E</definedName>
    <definedName name="Document_Set_Name" localSheetId="22">'[2]Doc Set'!$E:$E</definedName>
    <definedName name="Document_Set_Name" localSheetId="8">'[2]Doc Set'!$E:$E</definedName>
    <definedName name="Document_Set_Name" localSheetId="32">'[2]Doc Set'!$E:$E</definedName>
    <definedName name="Document_Set_Name" localSheetId="18">'[2]Doc Set'!$E:$E</definedName>
    <definedName name="Document_Set_Name" localSheetId="25">'[2]Doc Set'!$E:$E</definedName>
    <definedName name="Document_Set_Name" localSheetId="11">'[2]Doc Set'!$E:$E</definedName>
    <definedName name="Document_Set_Name" localSheetId="24">'[2]Doc Set'!$E:$E</definedName>
    <definedName name="Document_Set_Name" localSheetId="10">'[2]Doc Set'!$E:$E</definedName>
    <definedName name="Document_Set_Name">'Doc Set'!$E:$E</definedName>
    <definedName name="_xlnm.Print_Area" localSheetId="36">'0B (2)'!$A$1:$R$500</definedName>
    <definedName name="_xlnm.Print_Area" localSheetId="34">'0B (3)'!$A$1:$R$500</definedName>
    <definedName name="_xlnm.Print_Area" localSheetId="4">'0B (4)'!$A$1:$R$500</definedName>
    <definedName name="_xlnm.Print_Area" localSheetId="2">'0B (5)'!$A$1:$R$500</definedName>
    <definedName name="_xlnm.Print_Area" localSheetId="35">'39-Security Building (2)'!$A$1:$R$20</definedName>
    <definedName name="_xlnm.Print_Area" localSheetId="33">'39-Security Building (3)'!$A$1:$R$20</definedName>
    <definedName name="_xlnm.Print_Area" localSheetId="3">'39-Security Building (4)'!$A$1:$R$20</definedName>
    <definedName name="_xlnm.Print_Area" localSheetId="1">'39-Security Building (5)'!$A$1:$R$20</definedName>
    <definedName name="_xlnm.Print_Area" localSheetId="38">archiwarm!$A$1:$J$31</definedName>
    <definedName name="_xlnm.Print_Area" localSheetId="20">'archiwarm (2)'!$A$1:$J$31</definedName>
    <definedName name="_xlnm.Print_Area" localSheetId="6">'archiwarm (3)'!$A$1:$J$31</definedName>
    <definedName name="_xlnm.Print_Area" localSheetId="32">'L &amp; T MASTER (2)'!$A$1:$K$39</definedName>
    <definedName name="_xlnm.Print_Area" localSheetId="18">'L &amp; T MASTER (3)'!$A$1:$K$39</definedName>
    <definedName name="SDset">OFFSET([1]Formulas!$X$1,1,0,MAX([1]Formulas!$V:$V),1)</definedName>
    <definedName name="Z_A9D9C1D0_E0B0_11D5_BB0A_00508B118ADE_.wvu.PrintArea" localSheetId="36" hidden="1">'0B (2)'!$A$4:$R$22</definedName>
    <definedName name="Z_A9D9C1D0_E0B0_11D5_BB0A_00508B118ADE_.wvu.PrintArea" localSheetId="34" hidden="1">'0B (3)'!$A$4:$R$22</definedName>
    <definedName name="Z_A9D9C1D0_E0B0_11D5_BB0A_00508B118ADE_.wvu.PrintArea" localSheetId="4" hidden="1">'0B (4)'!$A$4:$R$22</definedName>
    <definedName name="Z_A9D9C1D0_E0B0_11D5_BB0A_00508B118ADE_.wvu.PrintArea" localSheetId="2" hidden="1">'0B (5)'!$A$4:$R$22</definedName>
    <definedName name="Z_A9D9C1D0_E0B0_11D5_BB0A_00508B118ADE_.wvu.PrintArea" localSheetId="35" hidden="1">'39-Security Building (2)'!$A$4:$R$10</definedName>
    <definedName name="Z_A9D9C1D0_E0B0_11D5_BB0A_00508B118ADE_.wvu.PrintArea" localSheetId="33" hidden="1">'39-Security Building (3)'!$A$4:$R$10</definedName>
    <definedName name="Z_A9D9C1D0_E0B0_11D5_BB0A_00508B118ADE_.wvu.PrintArea" localSheetId="3" hidden="1">'39-Security Building (4)'!$A$4:$R$10</definedName>
    <definedName name="Z_A9D9C1D0_E0B0_11D5_BB0A_00508B118ADE_.wvu.PrintArea" localSheetId="1" hidden="1">'39-Security Building (5)'!$A$4:$R$10</definedName>
  </definedNames>
  <calcPr calcId="152511"/>
</workbook>
</file>

<file path=xl/calcChain.xml><?xml version="1.0" encoding="utf-8"?>
<calcChain xmlns="http://schemas.openxmlformats.org/spreadsheetml/2006/main">
  <c r="J24" i="355" l="1"/>
  <c r="E22" i="355"/>
  <c r="F22" i="355" s="1"/>
  <c r="D22" i="355"/>
  <c r="C22" i="355"/>
  <c r="B22" i="355"/>
  <c r="A22" i="355"/>
  <c r="E21" i="355"/>
  <c r="F21" i="355" s="1"/>
  <c r="D21" i="355"/>
  <c r="C21" i="355"/>
  <c r="B21" i="355"/>
  <c r="A21" i="355"/>
  <c r="E20" i="355"/>
  <c r="F20" i="355" s="1"/>
  <c r="D20" i="355"/>
  <c r="C20" i="355"/>
  <c r="B20" i="355"/>
  <c r="A20" i="355"/>
  <c r="E19" i="355"/>
  <c r="F19" i="355" s="1"/>
  <c r="D19" i="355"/>
  <c r="C19" i="355"/>
  <c r="B19" i="355"/>
  <c r="A19" i="355"/>
  <c r="E18" i="355"/>
  <c r="F18" i="355" s="1"/>
  <c r="D18" i="355"/>
  <c r="C18" i="355"/>
  <c r="B18" i="355"/>
  <c r="A18" i="355"/>
  <c r="E17" i="355"/>
  <c r="F17" i="355" s="1"/>
  <c r="D17" i="355"/>
  <c r="C17" i="355"/>
  <c r="B17" i="355"/>
  <c r="A17" i="355"/>
  <c r="G16" i="355"/>
  <c r="E16" i="355"/>
  <c r="F16" i="355" s="1"/>
  <c r="D16" i="355"/>
  <c r="C16" i="355"/>
  <c r="B16" i="355"/>
  <c r="A16" i="355"/>
  <c r="E15" i="355"/>
  <c r="F15" i="355" s="1"/>
  <c r="D15" i="355"/>
  <c r="C15" i="355"/>
  <c r="B15" i="355"/>
  <c r="A15" i="355"/>
  <c r="E14" i="355"/>
  <c r="F14" i="355" s="1"/>
  <c r="D14" i="355"/>
  <c r="C14" i="355"/>
  <c r="B14" i="355"/>
  <c r="A14" i="355"/>
  <c r="E13" i="355"/>
  <c r="F13" i="355" s="1"/>
  <c r="D13" i="355"/>
  <c r="C13" i="355"/>
  <c r="B13" i="355"/>
  <c r="A13" i="355"/>
  <c r="E12" i="355"/>
  <c r="F12" i="355" s="1"/>
  <c r="D12" i="355"/>
  <c r="C12" i="355"/>
  <c r="B12" i="355"/>
  <c r="A12" i="355"/>
  <c r="E11" i="355"/>
  <c r="F11" i="355" s="1"/>
  <c r="D11" i="355"/>
  <c r="C11" i="355"/>
  <c r="B11" i="355"/>
  <c r="A11" i="355"/>
  <c r="E10" i="355"/>
  <c r="F10" i="355" s="1"/>
  <c r="D10" i="355"/>
  <c r="C10" i="355"/>
  <c r="B10" i="355"/>
  <c r="A10" i="355"/>
  <c r="E9" i="355"/>
  <c r="F9" i="355" s="1"/>
  <c r="D9" i="355"/>
  <c r="C9" i="355"/>
  <c r="B9" i="355"/>
  <c r="A9" i="355"/>
  <c r="E8" i="355"/>
  <c r="F8" i="355" s="1"/>
  <c r="D8" i="355"/>
  <c r="C8" i="355"/>
  <c r="B8" i="355"/>
  <c r="A8" i="355"/>
  <c r="E7" i="355"/>
  <c r="F7" i="355" s="1"/>
  <c r="D7" i="355"/>
  <c r="C7" i="355"/>
  <c r="B7" i="355"/>
  <c r="A7" i="355"/>
  <c r="E6" i="355"/>
  <c r="F6" i="355" s="1"/>
  <c r="D6" i="355"/>
  <c r="C6" i="355"/>
  <c r="B6" i="355"/>
  <c r="A6" i="355"/>
  <c r="E5" i="355"/>
  <c r="F5" i="355" s="1"/>
  <c r="D5" i="355"/>
  <c r="C5" i="355"/>
  <c r="B5" i="355"/>
  <c r="A5" i="355"/>
  <c r="E4" i="355"/>
  <c r="F4" i="355" s="1"/>
  <c r="D4" i="355"/>
  <c r="C4" i="355"/>
  <c r="B4" i="355"/>
  <c r="A4" i="355"/>
  <c r="E3" i="355"/>
  <c r="F3" i="355" s="1"/>
  <c r="D3" i="355"/>
  <c r="C3" i="355"/>
  <c r="B3" i="355"/>
  <c r="A3" i="355"/>
  <c r="E2" i="355"/>
  <c r="F2" i="355" s="1"/>
  <c r="D2" i="355"/>
  <c r="C2" i="355"/>
  <c r="B2" i="355"/>
  <c r="A2" i="355"/>
  <c r="H21" i="353"/>
  <c r="G21" i="353"/>
  <c r="J21" i="353" s="1"/>
  <c r="H19" i="353"/>
  <c r="G19" i="353"/>
  <c r="J19" i="353" s="1"/>
  <c r="H18" i="353"/>
  <c r="G18" i="353"/>
  <c r="J18" i="353" s="1"/>
  <c r="H17" i="353"/>
  <c r="G17" i="353"/>
  <c r="J17" i="353" s="1"/>
  <c r="H16" i="353"/>
  <c r="G16" i="353"/>
  <c r="J16" i="353" s="1"/>
  <c r="H15" i="353"/>
  <c r="G15" i="353"/>
  <c r="J15" i="353" s="1"/>
  <c r="H14" i="353"/>
  <c r="G14" i="353"/>
  <c r="J14" i="353" s="1"/>
  <c r="H13" i="353"/>
  <c r="G13" i="353"/>
  <c r="J13" i="353" s="1"/>
  <c r="H12" i="353"/>
  <c r="G12" i="353"/>
  <c r="J12" i="353" s="1"/>
  <c r="H11" i="353"/>
  <c r="G11" i="353"/>
  <c r="J11" i="353" s="1"/>
  <c r="H10" i="353"/>
  <c r="G10" i="353"/>
  <c r="J10" i="353" s="1"/>
  <c r="H9" i="353"/>
  <c r="G9" i="353"/>
  <c r="J9" i="353" s="1"/>
  <c r="H8" i="353"/>
  <c r="G8" i="353"/>
  <c r="J8" i="353" s="1"/>
  <c r="H7" i="353"/>
  <c r="G7" i="353"/>
  <c r="J7" i="353" s="1"/>
  <c r="H6" i="353"/>
  <c r="G6" i="353"/>
  <c r="J6" i="353" s="1"/>
  <c r="H5" i="353"/>
  <c r="G5" i="353"/>
  <c r="J5" i="353" s="1"/>
  <c r="H4" i="353"/>
  <c r="G4" i="353"/>
  <c r="J4" i="353" s="1"/>
  <c r="H3" i="353"/>
  <c r="G3" i="353"/>
  <c r="H2" i="353"/>
  <c r="G2" i="353"/>
  <c r="Q3" i="351"/>
  <c r="R3" i="351" s="1"/>
  <c r="P3" i="351"/>
  <c r="M3" i="351"/>
  <c r="N3" i="351" s="1"/>
  <c r="Q2" i="351"/>
  <c r="R2" i="351" s="1"/>
  <c r="P2" i="351"/>
  <c r="N2" i="351"/>
  <c r="M2" i="351"/>
  <c r="Q10" i="349"/>
  <c r="R10" i="349" s="1"/>
  <c r="P10" i="349"/>
  <c r="M10" i="349"/>
  <c r="N10" i="349" s="1"/>
  <c r="Q9" i="349"/>
  <c r="R9" i="349" s="1"/>
  <c r="P9" i="349"/>
  <c r="M9" i="349"/>
  <c r="N9" i="349" s="1"/>
  <c r="R8" i="349"/>
  <c r="Q8" i="349"/>
  <c r="P8" i="349"/>
  <c r="M8" i="349"/>
  <c r="N8" i="349" s="1"/>
  <c r="R7" i="349"/>
  <c r="Q7" i="349"/>
  <c r="P7" i="349"/>
  <c r="N7" i="349"/>
  <c r="M7" i="349"/>
  <c r="R6" i="349"/>
  <c r="Q6" i="349"/>
  <c r="P6" i="349"/>
  <c r="N6" i="349"/>
  <c r="M6" i="349"/>
  <c r="Q5" i="349"/>
  <c r="R5" i="349" s="1"/>
  <c r="P5" i="349"/>
  <c r="N5" i="349"/>
  <c r="M5" i="349"/>
  <c r="R4" i="349"/>
  <c r="Q4" i="349"/>
  <c r="P4" i="349"/>
  <c r="M4" i="349"/>
  <c r="N4" i="349" s="1"/>
  <c r="Q3" i="349"/>
  <c r="R3" i="349" s="1"/>
  <c r="P3" i="349"/>
  <c r="N3" i="349"/>
  <c r="M3" i="349"/>
  <c r="Q2" i="349"/>
  <c r="R2" i="349" s="1"/>
  <c r="P2" i="349"/>
  <c r="M2" i="349"/>
  <c r="N2" i="349" s="1"/>
  <c r="Q12" i="347"/>
  <c r="R12" i="347" s="1"/>
  <c r="P12" i="347"/>
  <c r="M12" i="347"/>
  <c r="N12" i="347" s="1"/>
  <c r="Q11" i="347"/>
  <c r="R11" i="347" s="1"/>
  <c r="P11" i="347"/>
  <c r="M11" i="347"/>
  <c r="N11" i="347" s="1"/>
  <c r="Q10" i="347"/>
  <c r="R10" i="347" s="1"/>
  <c r="P10" i="347"/>
  <c r="M10" i="347"/>
  <c r="N10" i="347" s="1"/>
  <c r="R9" i="347"/>
  <c r="Q9" i="347"/>
  <c r="P9" i="347"/>
  <c r="M9" i="347"/>
  <c r="N9" i="347" s="1"/>
  <c r="R8" i="347"/>
  <c r="Q8" i="347"/>
  <c r="P8" i="347"/>
  <c r="N8" i="347"/>
  <c r="M8" i="347"/>
  <c r="Q7" i="347"/>
  <c r="R7" i="347" s="1"/>
  <c r="P7" i="347"/>
  <c r="N7" i="347"/>
  <c r="M7" i="347"/>
  <c r="Q6" i="347"/>
  <c r="R6" i="347" s="1"/>
  <c r="P6" i="347"/>
  <c r="M6" i="347"/>
  <c r="N6" i="347" s="1"/>
  <c r="R5" i="347"/>
  <c r="Q5" i="347"/>
  <c r="P5" i="347"/>
  <c r="M5" i="347"/>
  <c r="N5" i="347" s="1"/>
  <c r="R4" i="347"/>
  <c r="Q4" i="347"/>
  <c r="P4" i="347"/>
  <c r="N4" i="347"/>
  <c r="M4" i="347"/>
  <c r="Q3" i="347"/>
  <c r="R3" i="347" s="1"/>
  <c r="P3" i="347"/>
  <c r="N3" i="347"/>
  <c r="M3" i="347"/>
  <c r="Q2" i="347"/>
  <c r="R2" i="347" s="1"/>
  <c r="P2" i="347"/>
  <c r="M2" i="347"/>
  <c r="N2" i="347" s="1"/>
  <c r="Q31" i="344"/>
  <c r="R31" i="344" s="1"/>
  <c r="P31" i="344"/>
  <c r="N31" i="344"/>
  <c r="Q30" i="344"/>
  <c r="R30" i="344" s="1"/>
  <c r="P30" i="344"/>
  <c r="N30" i="344"/>
  <c r="Q29" i="344"/>
  <c r="R29" i="344" s="1"/>
  <c r="P29" i="344"/>
  <c r="N29" i="344"/>
  <c r="Q28" i="344"/>
  <c r="R28" i="344" s="1"/>
  <c r="P28" i="344"/>
  <c r="N28" i="344"/>
  <c r="Q27" i="344"/>
  <c r="R27" i="344" s="1"/>
  <c r="P27" i="344"/>
  <c r="N27" i="344"/>
  <c r="Q26" i="344"/>
  <c r="R26" i="344" s="1"/>
  <c r="P26" i="344"/>
  <c r="N26" i="344"/>
  <c r="Q25" i="344"/>
  <c r="R25" i="344" s="1"/>
  <c r="P25" i="344"/>
  <c r="N25" i="344"/>
  <c r="Q24" i="344"/>
  <c r="R24" i="344" s="1"/>
  <c r="P24" i="344"/>
  <c r="N24" i="344"/>
  <c r="Q23" i="344"/>
  <c r="R23" i="344" s="1"/>
  <c r="P23" i="344"/>
  <c r="N23" i="344"/>
  <c r="Q22" i="344"/>
  <c r="R22" i="344" s="1"/>
  <c r="P22" i="344"/>
  <c r="N22" i="344"/>
  <c r="Q21" i="344"/>
  <c r="R21" i="344" s="1"/>
  <c r="P21" i="344"/>
  <c r="N21" i="344"/>
  <c r="Q20" i="344"/>
  <c r="R20" i="344" s="1"/>
  <c r="P20" i="344"/>
  <c r="N20" i="344"/>
  <c r="Q19" i="344"/>
  <c r="R19" i="344" s="1"/>
  <c r="P19" i="344"/>
  <c r="N19" i="344"/>
  <c r="Q18" i="344"/>
  <c r="R18" i="344" s="1"/>
  <c r="P18" i="344"/>
  <c r="N18" i="344"/>
  <c r="Q17" i="344"/>
  <c r="R17" i="344" s="1"/>
  <c r="P17" i="344"/>
  <c r="N17" i="344"/>
  <c r="Q16" i="344"/>
  <c r="R16" i="344" s="1"/>
  <c r="P16" i="344"/>
  <c r="N16" i="344"/>
  <c r="Q15" i="344"/>
  <c r="R15" i="344" s="1"/>
  <c r="P15" i="344"/>
  <c r="N15" i="344"/>
  <c r="Q14" i="344"/>
  <c r="R14" i="344" s="1"/>
  <c r="P14" i="344"/>
  <c r="N14" i="344"/>
  <c r="Q13" i="344"/>
  <c r="R13" i="344" s="1"/>
  <c r="P13" i="344"/>
  <c r="N13" i="344"/>
  <c r="Q12" i="344"/>
  <c r="R12" i="344" s="1"/>
  <c r="P12" i="344"/>
  <c r="N12" i="344"/>
  <c r="Q11" i="344"/>
  <c r="R11" i="344" s="1"/>
  <c r="P11" i="344"/>
  <c r="N11" i="344"/>
  <c r="Q10" i="344"/>
  <c r="R10" i="344" s="1"/>
  <c r="P10" i="344"/>
  <c r="N10" i="344"/>
  <c r="Q9" i="344"/>
  <c r="R9" i="344" s="1"/>
  <c r="P9" i="344"/>
  <c r="N9" i="344"/>
  <c r="Q8" i="344"/>
  <c r="R8" i="344" s="1"/>
  <c r="P8" i="344"/>
  <c r="N8" i="344"/>
  <c r="Q7" i="344"/>
  <c r="R7" i="344" s="1"/>
  <c r="P7" i="344"/>
  <c r="N7" i="344"/>
  <c r="Q6" i="344"/>
  <c r="R6" i="344" s="1"/>
  <c r="P6" i="344"/>
  <c r="N6" i="344"/>
  <c r="Q5" i="344"/>
  <c r="R5" i="344" s="1"/>
  <c r="P5" i="344"/>
  <c r="N5" i="344"/>
  <c r="Q4" i="344"/>
  <c r="R4" i="344" s="1"/>
  <c r="P4" i="344"/>
  <c r="N4" i="344"/>
  <c r="Q3" i="344"/>
  <c r="R3" i="344" s="1"/>
  <c r="P3" i="344"/>
  <c r="N3" i="344"/>
  <c r="Q2" i="344"/>
  <c r="R2" i="344" s="1"/>
  <c r="P2" i="344"/>
  <c r="N2" i="344"/>
  <c r="R13" i="342"/>
  <c r="Q13" i="342"/>
  <c r="P13" i="342"/>
  <c r="M13" i="342"/>
  <c r="N13" i="342" s="1"/>
  <c r="Q12" i="342"/>
  <c r="R12" i="342" s="1"/>
  <c r="P12" i="342"/>
  <c r="N12" i="342"/>
  <c r="M12" i="342"/>
  <c r="R11" i="342"/>
  <c r="Q11" i="342"/>
  <c r="P11" i="342"/>
  <c r="M11" i="342"/>
  <c r="N11" i="342" s="1"/>
  <c r="Q10" i="342"/>
  <c r="R10" i="342" s="1"/>
  <c r="P10" i="342"/>
  <c r="N10" i="342"/>
  <c r="M10" i="342"/>
  <c r="R9" i="342"/>
  <c r="Q9" i="342"/>
  <c r="P9" i="342"/>
  <c r="M9" i="342"/>
  <c r="N9" i="342" s="1"/>
  <c r="Q8" i="342"/>
  <c r="R8" i="342" s="1"/>
  <c r="P8" i="342"/>
  <c r="N8" i="342"/>
  <c r="Q7" i="342"/>
  <c r="R7" i="342" s="1"/>
  <c r="P7" i="342"/>
  <c r="N7" i="342"/>
  <c r="M7" i="342"/>
  <c r="R6" i="342"/>
  <c r="Q6" i="342"/>
  <c r="P6" i="342"/>
  <c r="M6" i="342"/>
  <c r="N6" i="342" s="1"/>
  <c r="Q5" i="342"/>
  <c r="R5" i="342" s="1"/>
  <c r="P5" i="342"/>
  <c r="N5" i="342"/>
  <c r="M5" i="342"/>
  <c r="R4" i="342"/>
  <c r="Q4" i="342"/>
  <c r="P4" i="342"/>
  <c r="M4" i="342"/>
  <c r="N4" i="342" s="1"/>
  <c r="Q3" i="342"/>
  <c r="R3" i="342" s="1"/>
  <c r="P3" i="342"/>
  <c r="N3" i="342"/>
  <c r="M3" i="342"/>
  <c r="Q2" i="342"/>
  <c r="R2" i="342" s="1"/>
  <c r="P2" i="342"/>
  <c r="M2" i="342"/>
  <c r="N2" i="342" s="1"/>
  <c r="Q19" i="340"/>
  <c r="R19" i="340" s="1"/>
  <c r="P19" i="340"/>
  <c r="M19" i="340"/>
  <c r="N19" i="340" s="1"/>
  <c r="Q18" i="340"/>
  <c r="R18" i="340" s="1"/>
  <c r="P18" i="340"/>
  <c r="M18" i="340"/>
  <c r="N18" i="340" s="1"/>
  <c r="R17" i="340"/>
  <c r="Q17" i="340"/>
  <c r="P17" i="340"/>
  <c r="M17" i="340"/>
  <c r="N17" i="340" s="1"/>
  <c r="R16" i="340"/>
  <c r="Q16" i="340"/>
  <c r="P16" i="340"/>
  <c r="N16" i="340"/>
  <c r="M16" i="340"/>
  <c r="R15" i="340"/>
  <c r="Q15" i="340"/>
  <c r="P15" i="340"/>
  <c r="N15" i="340"/>
  <c r="M15" i="340"/>
  <c r="Q14" i="340"/>
  <c r="R14" i="340" s="1"/>
  <c r="P14" i="340"/>
  <c r="N14" i="340"/>
  <c r="M14" i="340"/>
  <c r="R13" i="340"/>
  <c r="Q13" i="340"/>
  <c r="P13" i="340"/>
  <c r="M13" i="340"/>
  <c r="N13" i="340" s="1"/>
  <c r="R12" i="340"/>
  <c r="Q12" i="340"/>
  <c r="P12" i="340"/>
  <c r="N12" i="340"/>
  <c r="M12" i="340"/>
  <c r="R11" i="340"/>
  <c r="Q11" i="340"/>
  <c r="P11" i="340"/>
  <c r="N11" i="340"/>
  <c r="M11" i="340"/>
  <c r="Q10" i="340"/>
  <c r="R10" i="340" s="1"/>
  <c r="P10" i="340"/>
  <c r="N10" i="340"/>
  <c r="M10" i="340"/>
  <c r="R9" i="340"/>
  <c r="Q9" i="340"/>
  <c r="P9" i="340"/>
  <c r="M9" i="340"/>
  <c r="N9" i="340" s="1"/>
  <c r="R8" i="340"/>
  <c r="Q8" i="340"/>
  <c r="P8" i="340"/>
  <c r="N8" i="340"/>
  <c r="M8" i="340"/>
  <c r="R7" i="340"/>
  <c r="Q7" i="340"/>
  <c r="P7" i="340"/>
  <c r="N7" i="340"/>
  <c r="M7" i="340"/>
  <c r="Q6" i="340"/>
  <c r="R6" i="340" s="1"/>
  <c r="P6" i="340"/>
  <c r="N6" i="340"/>
  <c r="M6" i="340"/>
  <c r="R5" i="340"/>
  <c r="Q5" i="340"/>
  <c r="P5" i="340"/>
  <c r="M5" i="340"/>
  <c r="N5" i="340" s="1"/>
  <c r="R4" i="340"/>
  <c r="Q4" i="340"/>
  <c r="P4" i="340"/>
  <c r="N4" i="340"/>
  <c r="M4" i="340"/>
  <c r="R3" i="340"/>
  <c r="Q3" i="340"/>
  <c r="P3" i="340"/>
  <c r="N3" i="340"/>
  <c r="M3" i="340"/>
  <c r="Q2" i="340"/>
  <c r="R2" i="340" s="1"/>
  <c r="P2" i="340"/>
  <c r="N2" i="340"/>
  <c r="M2" i="340"/>
  <c r="Q95" i="338"/>
  <c r="R95" i="338" s="1"/>
  <c r="P95" i="338"/>
  <c r="N95" i="338"/>
  <c r="M95" i="338"/>
  <c r="Q94" i="338"/>
  <c r="R94" i="338" s="1"/>
  <c r="P94" i="338"/>
  <c r="M94" i="338"/>
  <c r="N94" i="338" s="1"/>
  <c r="Q93" i="338"/>
  <c r="R93" i="338" s="1"/>
  <c r="P93" i="338"/>
  <c r="M93" i="338"/>
  <c r="N93" i="338" s="1"/>
  <c r="R92" i="338"/>
  <c r="Q92" i="338"/>
  <c r="P92" i="338"/>
  <c r="M92" i="338"/>
  <c r="N92" i="338" s="1"/>
  <c r="R91" i="338"/>
  <c r="Q91" i="338"/>
  <c r="P91" i="338"/>
  <c r="N91" i="338"/>
  <c r="M91" i="338"/>
  <c r="Q90" i="338"/>
  <c r="R90" i="338" s="1"/>
  <c r="P90" i="338"/>
  <c r="N90" i="338"/>
  <c r="M90" i="338"/>
  <c r="Q89" i="338"/>
  <c r="R89" i="338" s="1"/>
  <c r="P89" i="338"/>
  <c r="M89" i="338"/>
  <c r="N89" i="338" s="1"/>
  <c r="R88" i="338"/>
  <c r="Q88" i="338"/>
  <c r="P88" i="338"/>
  <c r="M88" i="338"/>
  <c r="N88" i="338" s="1"/>
  <c r="R87" i="338"/>
  <c r="Q87" i="338"/>
  <c r="P87" i="338"/>
  <c r="N87" i="338"/>
  <c r="M87" i="338"/>
  <c r="Q86" i="338"/>
  <c r="R86" i="338" s="1"/>
  <c r="P86" i="338"/>
  <c r="N86" i="338"/>
  <c r="M86" i="338"/>
  <c r="Q85" i="338"/>
  <c r="R85" i="338" s="1"/>
  <c r="P85" i="338"/>
  <c r="M85" i="338"/>
  <c r="N85" i="338" s="1"/>
  <c r="R84" i="338"/>
  <c r="Q84" i="338"/>
  <c r="P84" i="338"/>
  <c r="M84" i="338"/>
  <c r="N84" i="338" s="1"/>
  <c r="R83" i="338"/>
  <c r="Q83" i="338"/>
  <c r="P83" i="338"/>
  <c r="N83" i="338"/>
  <c r="M83" i="338"/>
  <c r="Q82" i="338"/>
  <c r="R82" i="338" s="1"/>
  <c r="P82" i="338"/>
  <c r="N82" i="338"/>
  <c r="M82" i="338"/>
  <c r="Q81" i="338"/>
  <c r="R81" i="338" s="1"/>
  <c r="P81" i="338"/>
  <c r="M81" i="338"/>
  <c r="N81" i="338" s="1"/>
  <c r="R80" i="338"/>
  <c r="Q80" i="338"/>
  <c r="P80" i="338"/>
  <c r="M80" i="338"/>
  <c r="N80" i="338" s="1"/>
  <c r="R79" i="338"/>
  <c r="Q79" i="338"/>
  <c r="P79" i="338"/>
  <c r="N79" i="338"/>
  <c r="M79" i="338"/>
  <c r="Q78" i="338"/>
  <c r="R78" i="338" s="1"/>
  <c r="P78" i="338"/>
  <c r="N78" i="338"/>
  <c r="M78" i="338"/>
  <c r="Q77" i="338"/>
  <c r="R77" i="338" s="1"/>
  <c r="P77" i="338"/>
  <c r="M77" i="338"/>
  <c r="N77" i="338" s="1"/>
  <c r="R76" i="338"/>
  <c r="Q76" i="338"/>
  <c r="P76" i="338"/>
  <c r="M76" i="338"/>
  <c r="N76" i="338" s="1"/>
  <c r="R75" i="338"/>
  <c r="Q75" i="338"/>
  <c r="P75" i="338"/>
  <c r="N75" i="338"/>
  <c r="M75" i="338"/>
  <c r="Q74" i="338"/>
  <c r="R74" i="338" s="1"/>
  <c r="P74" i="338"/>
  <c r="N74" i="338"/>
  <c r="M74" i="338"/>
  <c r="Q73" i="338"/>
  <c r="R73" i="338" s="1"/>
  <c r="P73" i="338"/>
  <c r="M73" i="338"/>
  <c r="N73" i="338" s="1"/>
  <c r="R72" i="338"/>
  <c r="Q72" i="338"/>
  <c r="P72" i="338"/>
  <c r="M72" i="338"/>
  <c r="N72" i="338" s="1"/>
  <c r="R71" i="338"/>
  <c r="Q71" i="338"/>
  <c r="P71" i="338"/>
  <c r="N71" i="338"/>
  <c r="R70" i="338"/>
  <c r="Q70" i="338"/>
  <c r="P70" i="338"/>
  <c r="N70" i="338"/>
  <c r="R69" i="338"/>
  <c r="Q69" i="338"/>
  <c r="P69" i="338"/>
  <c r="N69" i="338"/>
  <c r="M69" i="338"/>
  <c r="Q68" i="338"/>
  <c r="R68" i="338" s="1"/>
  <c r="P68" i="338"/>
  <c r="N68" i="338"/>
  <c r="M68" i="338"/>
  <c r="Q67" i="338"/>
  <c r="R67" i="338" s="1"/>
  <c r="P67" i="338"/>
  <c r="N67" i="338"/>
  <c r="Q66" i="338"/>
  <c r="R66" i="338" s="1"/>
  <c r="P66" i="338"/>
  <c r="M66" i="338"/>
  <c r="N66" i="338" s="1"/>
  <c r="R65" i="338"/>
  <c r="Q65" i="338"/>
  <c r="P65" i="338"/>
  <c r="M65" i="338"/>
  <c r="N65" i="338" s="1"/>
  <c r="R64" i="338"/>
  <c r="Q64" i="338"/>
  <c r="P64" i="338"/>
  <c r="N64" i="338"/>
  <c r="M64" i="338"/>
  <c r="Q63" i="338"/>
  <c r="R63" i="338" s="1"/>
  <c r="P63" i="338"/>
  <c r="N63" i="338"/>
  <c r="M63" i="338"/>
  <c r="Q62" i="338"/>
  <c r="R62" i="338" s="1"/>
  <c r="P62" i="338"/>
  <c r="M62" i="338"/>
  <c r="N62" i="338" s="1"/>
  <c r="R61" i="338"/>
  <c r="Q61" i="338"/>
  <c r="P61" i="338"/>
  <c r="M61" i="338"/>
  <c r="N61" i="338" s="1"/>
  <c r="R60" i="338"/>
  <c r="Q60" i="338"/>
  <c r="P60" i="338"/>
  <c r="N60" i="338"/>
  <c r="M60" i="338"/>
  <c r="Q59" i="338"/>
  <c r="R59" i="338" s="1"/>
  <c r="P59" i="338"/>
  <c r="N59" i="338"/>
  <c r="M59" i="338"/>
  <c r="Q58" i="338"/>
  <c r="R58" i="338" s="1"/>
  <c r="P58" i="338"/>
  <c r="M58" i="338"/>
  <c r="N58" i="338" s="1"/>
  <c r="R57" i="338"/>
  <c r="Q57" i="338"/>
  <c r="P57" i="338"/>
  <c r="M57" i="338"/>
  <c r="N57" i="338" s="1"/>
  <c r="R56" i="338"/>
  <c r="Q56" i="338"/>
  <c r="P56" i="338"/>
  <c r="N56" i="338"/>
  <c r="M56" i="338"/>
  <c r="Q55" i="338"/>
  <c r="R55" i="338" s="1"/>
  <c r="P55" i="338"/>
  <c r="N55" i="338"/>
  <c r="M55" i="338"/>
  <c r="Q54" i="338"/>
  <c r="R54" i="338" s="1"/>
  <c r="P54" i="338"/>
  <c r="M54" i="338"/>
  <c r="N54" i="338" s="1"/>
  <c r="R53" i="338"/>
  <c r="Q53" i="338"/>
  <c r="P53" i="338"/>
  <c r="M53" i="338"/>
  <c r="N53" i="338" s="1"/>
  <c r="R52" i="338"/>
  <c r="Q52" i="338"/>
  <c r="P52" i="338"/>
  <c r="N52" i="338"/>
  <c r="M52" i="338"/>
  <c r="Q51" i="338"/>
  <c r="R51" i="338" s="1"/>
  <c r="P51" i="338"/>
  <c r="N51" i="338"/>
  <c r="M51" i="338"/>
  <c r="Q50" i="338"/>
  <c r="R50" i="338" s="1"/>
  <c r="P50" i="338"/>
  <c r="M50" i="338"/>
  <c r="N50" i="338" s="1"/>
  <c r="R49" i="338"/>
  <c r="Q49" i="338"/>
  <c r="P49" i="338"/>
  <c r="M49" i="338"/>
  <c r="N49" i="338" s="1"/>
  <c r="R48" i="338"/>
  <c r="Q48" i="338"/>
  <c r="P48" i="338"/>
  <c r="N48" i="338"/>
  <c r="M48" i="338"/>
  <c r="Q47" i="338"/>
  <c r="R47" i="338" s="1"/>
  <c r="P47" i="338"/>
  <c r="N47" i="338"/>
  <c r="M47" i="338"/>
  <c r="Q46" i="338"/>
  <c r="R46" i="338" s="1"/>
  <c r="P46" i="338"/>
  <c r="M46" i="338"/>
  <c r="N46" i="338" s="1"/>
  <c r="R45" i="338"/>
  <c r="Q45" i="338"/>
  <c r="P45" i="338"/>
  <c r="M45" i="338"/>
  <c r="N45" i="338" s="1"/>
  <c r="R44" i="338"/>
  <c r="Q44" i="338"/>
  <c r="P44" i="338"/>
  <c r="N44" i="338"/>
  <c r="M44" i="338"/>
  <c r="Q43" i="338"/>
  <c r="R43" i="338" s="1"/>
  <c r="P43" i="338"/>
  <c r="N43" i="338"/>
  <c r="M43" i="338"/>
  <c r="Q42" i="338"/>
  <c r="R42" i="338" s="1"/>
  <c r="P42" i="338"/>
  <c r="M42" i="338"/>
  <c r="N42" i="338" s="1"/>
  <c r="R41" i="338"/>
  <c r="Q41" i="338"/>
  <c r="P41" i="338"/>
  <c r="M41" i="338"/>
  <c r="N41" i="338" s="1"/>
  <c r="R40" i="338"/>
  <c r="Q40" i="338"/>
  <c r="P40" i="338"/>
  <c r="N40" i="338"/>
  <c r="M40" i="338"/>
  <c r="Q39" i="338"/>
  <c r="R39" i="338" s="1"/>
  <c r="P39" i="338"/>
  <c r="N39" i="338"/>
  <c r="M39" i="338"/>
  <c r="Q38" i="338"/>
  <c r="R38" i="338" s="1"/>
  <c r="P38" i="338"/>
  <c r="M38" i="338"/>
  <c r="N38" i="338" s="1"/>
  <c r="R37" i="338"/>
  <c r="Q37" i="338"/>
  <c r="P37" i="338"/>
  <c r="M37" i="338"/>
  <c r="N37" i="338" s="1"/>
  <c r="R36" i="338"/>
  <c r="Q36" i="338"/>
  <c r="P36" i="338"/>
  <c r="N36" i="338"/>
  <c r="M36" i="338"/>
  <c r="Q35" i="338"/>
  <c r="R35" i="338" s="1"/>
  <c r="P35" i="338"/>
  <c r="N35" i="338"/>
  <c r="M35" i="338"/>
  <c r="Q34" i="338"/>
  <c r="R34" i="338" s="1"/>
  <c r="P34" i="338"/>
  <c r="M34" i="338"/>
  <c r="N34" i="338" s="1"/>
  <c r="R33" i="338"/>
  <c r="Q33" i="338"/>
  <c r="P33" i="338"/>
  <c r="M33" i="338"/>
  <c r="N33" i="338" s="1"/>
  <c r="R32" i="338"/>
  <c r="Q32" i="338"/>
  <c r="P32" i="338"/>
  <c r="N32" i="338"/>
  <c r="M32" i="338"/>
  <c r="Q31" i="338"/>
  <c r="R31" i="338" s="1"/>
  <c r="P31" i="338"/>
  <c r="N31" i="338"/>
  <c r="M31" i="338"/>
  <c r="Q30" i="338"/>
  <c r="R30" i="338" s="1"/>
  <c r="P30" i="338"/>
  <c r="M30" i="338"/>
  <c r="N30" i="338" s="1"/>
  <c r="R29" i="338"/>
  <c r="Q29" i="338"/>
  <c r="P29" i="338"/>
  <c r="M29" i="338"/>
  <c r="N29" i="338" s="1"/>
  <c r="R28" i="338"/>
  <c r="Q28" i="338"/>
  <c r="P28" i="338"/>
  <c r="N28" i="338"/>
  <c r="M28" i="338"/>
  <c r="Q27" i="338"/>
  <c r="R27" i="338" s="1"/>
  <c r="P27" i="338"/>
  <c r="N27" i="338"/>
  <c r="M27" i="338"/>
  <c r="Q26" i="338"/>
  <c r="R26" i="338" s="1"/>
  <c r="P26" i="338"/>
  <c r="M26" i="338"/>
  <c r="N26" i="338" s="1"/>
  <c r="R25" i="338"/>
  <c r="Q25" i="338"/>
  <c r="P25" i="338"/>
  <c r="M25" i="338"/>
  <c r="N25" i="338" s="1"/>
  <c r="R24" i="338"/>
  <c r="Q24" i="338"/>
  <c r="P24" i="338"/>
  <c r="N24" i="338"/>
  <c r="M24" i="338"/>
  <c r="Q23" i="338"/>
  <c r="R23" i="338" s="1"/>
  <c r="P23" i="338"/>
  <c r="N23" i="338"/>
  <c r="M23" i="338"/>
  <c r="Q22" i="338"/>
  <c r="R22" i="338" s="1"/>
  <c r="P22" i="338"/>
  <c r="M22" i="338"/>
  <c r="N22" i="338" s="1"/>
  <c r="R21" i="338"/>
  <c r="Q21" i="338"/>
  <c r="P21" i="338"/>
  <c r="M21" i="338"/>
  <c r="N21" i="338" s="1"/>
  <c r="R20" i="338"/>
  <c r="Q20" i="338"/>
  <c r="P20" i="338"/>
  <c r="N20" i="338"/>
  <c r="M20" i="338"/>
  <c r="Q19" i="338"/>
  <c r="R19" i="338" s="1"/>
  <c r="P19" i="338"/>
  <c r="N19" i="338"/>
  <c r="M19" i="338"/>
  <c r="Q18" i="338"/>
  <c r="R18" i="338" s="1"/>
  <c r="P18" i="338"/>
  <c r="M18" i="338"/>
  <c r="N18" i="338" s="1"/>
  <c r="R17" i="338"/>
  <c r="Q17" i="338"/>
  <c r="P17" i="338"/>
  <c r="M17" i="338"/>
  <c r="N17" i="338" s="1"/>
  <c r="R16" i="338"/>
  <c r="Q16" i="338"/>
  <c r="P16" i="338"/>
  <c r="N16" i="338"/>
  <c r="M16" i="338"/>
  <c r="Q15" i="338"/>
  <c r="R15" i="338" s="1"/>
  <c r="P15" i="338"/>
  <c r="N15" i="338"/>
  <c r="M15" i="338"/>
  <c r="Q14" i="338"/>
  <c r="R14" i="338" s="1"/>
  <c r="P14" i="338"/>
  <c r="M14" i="338"/>
  <c r="N14" i="338" s="1"/>
  <c r="R13" i="338"/>
  <c r="Q13" i="338"/>
  <c r="P13" i="338"/>
  <c r="M13" i="338"/>
  <c r="N13" i="338" s="1"/>
  <c r="R12" i="338"/>
  <c r="Q12" i="338"/>
  <c r="P12" i="338"/>
  <c r="N12" i="338"/>
  <c r="M12" i="338"/>
  <c r="Q11" i="338"/>
  <c r="R11" i="338" s="1"/>
  <c r="P11" i="338"/>
  <c r="N11" i="338"/>
  <c r="M11" i="338"/>
  <c r="Q10" i="338"/>
  <c r="R10" i="338" s="1"/>
  <c r="P10" i="338"/>
  <c r="M10" i="338"/>
  <c r="N10" i="338" s="1"/>
  <c r="R9" i="338"/>
  <c r="Q9" i="338"/>
  <c r="P9" i="338"/>
  <c r="M9" i="338"/>
  <c r="N9" i="338" s="1"/>
  <c r="R8" i="338"/>
  <c r="Q8" i="338"/>
  <c r="P8" i="338"/>
  <c r="N8" i="338"/>
  <c r="M8" i="338"/>
  <c r="Q7" i="338"/>
  <c r="R7" i="338" s="1"/>
  <c r="P7" i="338"/>
  <c r="N7" i="338"/>
  <c r="M7" i="338"/>
  <c r="Q6" i="338"/>
  <c r="R6" i="338" s="1"/>
  <c r="P6" i="338"/>
  <c r="M6" i="338"/>
  <c r="N6" i="338" s="1"/>
  <c r="R5" i="338"/>
  <c r="Q5" i="338"/>
  <c r="P5" i="338"/>
  <c r="M5" i="338"/>
  <c r="N5" i="338" s="1"/>
  <c r="R4" i="338"/>
  <c r="Q4" i="338"/>
  <c r="P4" i="338"/>
  <c r="N4" i="338"/>
  <c r="M4" i="338"/>
  <c r="Q3" i="338"/>
  <c r="R3" i="338" s="1"/>
  <c r="P3" i="338"/>
  <c r="N3" i="338"/>
  <c r="M3" i="338"/>
  <c r="Q2" i="338"/>
  <c r="R2" i="338" s="1"/>
  <c r="P2" i="338"/>
  <c r="M2" i="338"/>
  <c r="N2" i="338" s="1"/>
  <c r="Q98" i="336"/>
  <c r="R98" i="336" s="1"/>
  <c r="P98" i="336"/>
  <c r="M98" i="336"/>
  <c r="N98" i="336" s="1"/>
  <c r="R97" i="336"/>
  <c r="Q97" i="336"/>
  <c r="P97" i="336"/>
  <c r="M97" i="336"/>
  <c r="N97" i="336" s="1"/>
  <c r="Q96" i="336"/>
  <c r="R96" i="336" s="1"/>
  <c r="P96" i="336"/>
  <c r="N96" i="336"/>
  <c r="M96" i="336"/>
  <c r="R95" i="336"/>
  <c r="Q95" i="336"/>
  <c r="P95" i="336"/>
  <c r="M95" i="336"/>
  <c r="N95" i="336" s="1"/>
  <c r="Q94" i="336"/>
  <c r="R94" i="336" s="1"/>
  <c r="P94" i="336"/>
  <c r="N94" i="336"/>
  <c r="M94" i="336"/>
  <c r="R93" i="336"/>
  <c r="Q93" i="336"/>
  <c r="P93" i="336"/>
  <c r="M93" i="336"/>
  <c r="N93" i="336" s="1"/>
  <c r="Q92" i="336"/>
  <c r="R92" i="336" s="1"/>
  <c r="P92" i="336"/>
  <c r="N92" i="336"/>
  <c r="M92" i="336"/>
  <c r="R91" i="336"/>
  <c r="Q91" i="336"/>
  <c r="P91" i="336"/>
  <c r="M91" i="336"/>
  <c r="N91" i="336" s="1"/>
  <c r="Q90" i="336"/>
  <c r="R90" i="336" s="1"/>
  <c r="P90" i="336"/>
  <c r="N90" i="336"/>
  <c r="M90" i="336"/>
  <c r="R89" i="336"/>
  <c r="Q89" i="336"/>
  <c r="P89" i="336"/>
  <c r="M89" i="336"/>
  <c r="N89" i="336" s="1"/>
  <c r="Q88" i="336"/>
  <c r="R88" i="336" s="1"/>
  <c r="P88" i="336"/>
  <c r="N88" i="336"/>
  <c r="M88" i="336"/>
  <c r="R87" i="336"/>
  <c r="Q87" i="336"/>
  <c r="P87" i="336"/>
  <c r="M87" i="336"/>
  <c r="N87" i="336" s="1"/>
  <c r="Q86" i="336"/>
  <c r="R86" i="336" s="1"/>
  <c r="P86" i="336"/>
  <c r="N86" i="336"/>
  <c r="M86" i="336"/>
  <c r="R85" i="336"/>
  <c r="Q85" i="336"/>
  <c r="P85" i="336"/>
  <c r="M85" i="336"/>
  <c r="N85" i="336" s="1"/>
  <c r="Q84" i="336"/>
  <c r="R84" i="336" s="1"/>
  <c r="P84" i="336"/>
  <c r="N84" i="336"/>
  <c r="M84" i="336"/>
  <c r="R83" i="336"/>
  <c r="Q83" i="336"/>
  <c r="P83" i="336"/>
  <c r="M83" i="336"/>
  <c r="N83" i="336" s="1"/>
  <c r="Q82" i="336"/>
  <c r="R82" i="336" s="1"/>
  <c r="P82" i="336"/>
  <c r="N82" i="336"/>
  <c r="M82" i="336"/>
  <c r="R81" i="336"/>
  <c r="Q81" i="336"/>
  <c r="P81" i="336"/>
  <c r="M81" i="336"/>
  <c r="N81" i="336" s="1"/>
  <c r="Q80" i="336"/>
  <c r="R80" i="336" s="1"/>
  <c r="P80" i="336"/>
  <c r="N80" i="336"/>
  <c r="M80" i="336"/>
  <c r="R79" i="336"/>
  <c r="Q79" i="336"/>
  <c r="P79" i="336"/>
  <c r="M79" i="336"/>
  <c r="N79" i="336" s="1"/>
  <c r="Q78" i="336"/>
  <c r="R78" i="336" s="1"/>
  <c r="P78" i="336"/>
  <c r="N78" i="336"/>
  <c r="M78" i="336"/>
  <c r="R77" i="336"/>
  <c r="Q77" i="336"/>
  <c r="P77" i="336"/>
  <c r="M77" i="336"/>
  <c r="N77" i="336" s="1"/>
  <c r="Q76" i="336"/>
  <c r="R76" i="336" s="1"/>
  <c r="P76" i="336"/>
  <c r="N76" i="336"/>
  <c r="M76" i="336"/>
  <c r="R75" i="336"/>
  <c r="Q75" i="336"/>
  <c r="P75" i="336"/>
  <c r="M75" i="336"/>
  <c r="N75" i="336" s="1"/>
  <c r="Q74" i="336"/>
  <c r="R74" i="336" s="1"/>
  <c r="P74" i="336"/>
  <c r="N74" i="336"/>
  <c r="M74" i="336"/>
  <c r="R73" i="336"/>
  <c r="Q73" i="336"/>
  <c r="P73" i="336"/>
  <c r="N73" i="336"/>
  <c r="R72" i="336"/>
  <c r="Q72" i="336"/>
  <c r="P72" i="336"/>
  <c r="N72" i="336"/>
  <c r="R71" i="336"/>
  <c r="Q71" i="336"/>
  <c r="P71" i="336"/>
  <c r="N71" i="336"/>
  <c r="R70" i="336"/>
  <c r="Q70" i="336"/>
  <c r="P70" i="336"/>
  <c r="N70" i="336"/>
  <c r="R69" i="336"/>
  <c r="Q69" i="336"/>
  <c r="P69" i="336"/>
  <c r="N69" i="336"/>
  <c r="R68" i="336"/>
  <c r="Q68" i="336"/>
  <c r="P68" i="336"/>
  <c r="N68" i="336"/>
  <c r="R67" i="336"/>
  <c r="Q67" i="336"/>
  <c r="P67" i="336"/>
  <c r="M67" i="336"/>
  <c r="N67" i="336" s="1"/>
  <c r="Q66" i="336"/>
  <c r="R66" i="336" s="1"/>
  <c r="P66" i="336"/>
  <c r="N66" i="336"/>
  <c r="M66" i="336"/>
  <c r="R65" i="336"/>
  <c r="Q65" i="336"/>
  <c r="P65" i="336"/>
  <c r="M65" i="336"/>
  <c r="N65" i="336" s="1"/>
  <c r="Q64" i="336"/>
  <c r="R64" i="336" s="1"/>
  <c r="P64" i="336"/>
  <c r="N64" i="336"/>
  <c r="M64" i="336"/>
  <c r="R63" i="336"/>
  <c r="Q63" i="336"/>
  <c r="P63" i="336"/>
  <c r="M63" i="336"/>
  <c r="N63" i="336" s="1"/>
  <c r="Q62" i="336"/>
  <c r="R62" i="336" s="1"/>
  <c r="P62" i="336"/>
  <c r="N62" i="336"/>
  <c r="M62" i="336"/>
  <c r="R61" i="336"/>
  <c r="Q61" i="336"/>
  <c r="P61" i="336"/>
  <c r="M61" i="336"/>
  <c r="N61" i="336" s="1"/>
  <c r="Q60" i="336"/>
  <c r="R60" i="336" s="1"/>
  <c r="P60" i="336"/>
  <c r="N60" i="336"/>
  <c r="M60" i="336"/>
  <c r="R59" i="336"/>
  <c r="Q59" i="336"/>
  <c r="P59" i="336"/>
  <c r="M59" i="336"/>
  <c r="N59" i="336" s="1"/>
  <c r="Q58" i="336"/>
  <c r="R58" i="336" s="1"/>
  <c r="P58" i="336"/>
  <c r="N58" i="336"/>
  <c r="M58" i="336"/>
  <c r="R57" i="336"/>
  <c r="Q57" i="336"/>
  <c r="P57" i="336"/>
  <c r="M57" i="336"/>
  <c r="N57" i="336" s="1"/>
  <c r="Q56" i="336"/>
  <c r="R56" i="336" s="1"/>
  <c r="P56" i="336"/>
  <c r="N56" i="336"/>
  <c r="M56" i="336"/>
  <c r="R55" i="336"/>
  <c r="Q55" i="336"/>
  <c r="P55" i="336"/>
  <c r="M55" i="336"/>
  <c r="N55" i="336" s="1"/>
  <c r="Q54" i="336"/>
  <c r="R54" i="336" s="1"/>
  <c r="P54" i="336"/>
  <c r="N54" i="336"/>
  <c r="M54" i="336"/>
  <c r="R53" i="336"/>
  <c r="Q53" i="336"/>
  <c r="P53" i="336"/>
  <c r="M53" i="336"/>
  <c r="N53" i="336" s="1"/>
  <c r="Q52" i="336"/>
  <c r="R52" i="336" s="1"/>
  <c r="P52" i="336"/>
  <c r="N52" i="336"/>
  <c r="M52" i="336"/>
  <c r="R51" i="336"/>
  <c r="Q51" i="336"/>
  <c r="P51" i="336"/>
  <c r="M51" i="336"/>
  <c r="N51" i="336" s="1"/>
  <c r="Q50" i="336"/>
  <c r="R50" i="336" s="1"/>
  <c r="P50" i="336"/>
  <c r="N50" i="336"/>
  <c r="M50" i="336"/>
  <c r="R49" i="336"/>
  <c r="Q49" i="336"/>
  <c r="P49" i="336"/>
  <c r="M49" i="336"/>
  <c r="N49" i="336" s="1"/>
  <c r="Q48" i="336"/>
  <c r="R48" i="336" s="1"/>
  <c r="P48" i="336"/>
  <c r="N48" i="336"/>
  <c r="M48" i="336"/>
  <c r="R47" i="336"/>
  <c r="Q47" i="336"/>
  <c r="P47" i="336"/>
  <c r="M47" i="336"/>
  <c r="N47" i="336" s="1"/>
  <c r="Q46" i="336"/>
  <c r="R46" i="336" s="1"/>
  <c r="P46" i="336"/>
  <c r="N46" i="336"/>
  <c r="M46" i="336"/>
  <c r="R45" i="336"/>
  <c r="Q45" i="336"/>
  <c r="P45" i="336"/>
  <c r="M45" i="336"/>
  <c r="N45" i="336" s="1"/>
  <c r="Q44" i="336"/>
  <c r="R44" i="336" s="1"/>
  <c r="P44" i="336"/>
  <c r="N44" i="336"/>
  <c r="M44" i="336"/>
  <c r="R43" i="336"/>
  <c r="Q43" i="336"/>
  <c r="P43" i="336"/>
  <c r="M43" i="336"/>
  <c r="N43" i="336" s="1"/>
  <c r="Q42" i="336"/>
  <c r="R42" i="336" s="1"/>
  <c r="P42" i="336"/>
  <c r="N42" i="336"/>
  <c r="M42" i="336"/>
  <c r="R41" i="336"/>
  <c r="Q41" i="336"/>
  <c r="P41" i="336"/>
  <c r="M41" i="336"/>
  <c r="N41" i="336" s="1"/>
  <c r="Q40" i="336"/>
  <c r="R40" i="336" s="1"/>
  <c r="P40" i="336"/>
  <c r="N40" i="336"/>
  <c r="M40" i="336"/>
  <c r="R39" i="336"/>
  <c r="Q39" i="336"/>
  <c r="P39" i="336"/>
  <c r="M39" i="336"/>
  <c r="N39" i="336" s="1"/>
  <c r="Q38" i="336"/>
  <c r="R38" i="336" s="1"/>
  <c r="P38" i="336"/>
  <c r="N38" i="336"/>
  <c r="M38" i="336"/>
  <c r="R37" i="336"/>
  <c r="Q37" i="336"/>
  <c r="P37" i="336"/>
  <c r="M37" i="336"/>
  <c r="N37" i="336" s="1"/>
  <c r="Q36" i="336"/>
  <c r="R36" i="336" s="1"/>
  <c r="P36" i="336"/>
  <c r="N36" i="336"/>
  <c r="M36" i="336"/>
  <c r="R35" i="336"/>
  <c r="Q35" i="336"/>
  <c r="P35" i="336"/>
  <c r="M35" i="336"/>
  <c r="N35" i="336" s="1"/>
  <c r="Q34" i="336"/>
  <c r="R34" i="336" s="1"/>
  <c r="P34" i="336"/>
  <c r="N34" i="336"/>
  <c r="M34" i="336"/>
  <c r="R33" i="336"/>
  <c r="Q33" i="336"/>
  <c r="P33" i="336"/>
  <c r="M33" i="336"/>
  <c r="N33" i="336" s="1"/>
  <c r="Q32" i="336"/>
  <c r="R32" i="336" s="1"/>
  <c r="P32" i="336"/>
  <c r="N32" i="336"/>
  <c r="M32" i="336"/>
  <c r="R31" i="336"/>
  <c r="Q31" i="336"/>
  <c r="P31" i="336"/>
  <c r="M31" i="336"/>
  <c r="N31" i="336" s="1"/>
  <c r="Q30" i="336"/>
  <c r="R30" i="336" s="1"/>
  <c r="P30" i="336"/>
  <c r="N30" i="336"/>
  <c r="M30" i="336"/>
  <c r="R29" i="336"/>
  <c r="Q29" i="336"/>
  <c r="P29" i="336"/>
  <c r="M29" i="336"/>
  <c r="N29" i="336" s="1"/>
  <c r="Q28" i="336"/>
  <c r="R28" i="336" s="1"/>
  <c r="P28" i="336"/>
  <c r="N28" i="336"/>
  <c r="M28" i="336"/>
  <c r="R27" i="336"/>
  <c r="Q27" i="336"/>
  <c r="P27" i="336"/>
  <c r="M27" i="336"/>
  <c r="N27" i="336" s="1"/>
  <c r="Q26" i="336"/>
  <c r="R26" i="336" s="1"/>
  <c r="P26" i="336"/>
  <c r="N26" i="336"/>
  <c r="M26" i="336"/>
  <c r="R25" i="336"/>
  <c r="Q25" i="336"/>
  <c r="P25" i="336"/>
  <c r="M25" i="336"/>
  <c r="N25" i="336" s="1"/>
  <c r="Q24" i="336"/>
  <c r="R24" i="336" s="1"/>
  <c r="P24" i="336"/>
  <c r="N24" i="336"/>
  <c r="M24" i="336"/>
  <c r="R23" i="336"/>
  <c r="Q23" i="336"/>
  <c r="P23" i="336"/>
  <c r="M23" i="336"/>
  <c r="N23" i="336" s="1"/>
  <c r="Q22" i="336"/>
  <c r="R22" i="336" s="1"/>
  <c r="P22" i="336"/>
  <c r="N22" i="336"/>
  <c r="M22" i="336"/>
  <c r="R21" i="336"/>
  <c r="Q21" i="336"/>
  <c r="P21" i="336"/>
  <c r="M21" i="336"/>
  <c r="N21" i="336" s="1"/>
  <c r="Q20" i="336"/>
  <c r="R20" i="336" s="1"/>
  <c r="P20" i="336"/>
  <c r="N20" i="336"/>
  <c r="M20" i="336"/>
  <c r="R19" i="336"/>
  <c r="Q19" i="336"/>
  <c r="P19" i="336"/>
  <c r="M19" i="336"/>
  <c r="N19" i="336" s="1"/>
  <c r="Q18" i="336"/>
  <c r="R18" i="336" s="1"/>
  <c r="P18" i="336"/>
  <c r="N18" i="336"/>
  <c r="M18" i="336"/>
  <c r="R17" i="336"/>
  <c r="Q17" i="336"/>
  <c r="P17" i="336"/>
  <c r="M17" i="336"/>
  <c r="N17" i="336" s="1"/>
  <c r="Q16" i="336"/>
  <c r="R16" i="336" s="1"/>
  <c r="P16" i="336"/>
  <c r="N16" i="336"/>
  <c r="M16" i="336"/>
  <c r="R15" i="336"/>
  <c r="Q15" i="336"/>
  <c r="P15" i="336"/>
  <c r="M15" i="336"/>
  <c r="N15" i="336" s="1"/>
  <c r="Q14" i="336"/>
  <c r="R14" i="336" s="1"/>
  <c r="P14" i="336"/>
  <c r="N14" i="336"/>
  <c r="M14" i="336"/>
  <c r="R13" i="336"/>
  <c r="Q13" i="336"/>
  <c r="P13" i="336"/>
  <c r="M13" i="336"/>
  <c r="N13" i="336" s="1"/>
  <c r="Q12" i="336"/>
  <c r="R12" i="336" s="1"/>
  <c r="P12" i="336"/>
  <c r="N12" i="336"/>
  <c r="M12" i="336"/>
  <c r="R11" i="336"/>
  <c r="Q11" i="336"/>
  <c r="P11" i="336"/>
  <c r="M11" i="336"/>
  <c r="N11" i="336" s="1"/>
  <c r="Q10" i="336"/>
  <c r="R10" i="336" s="1"/>
  <c r="P10" i="336"/>
  <c r="N10" i="336"/>
  <c r="M10" i="336"/>
  <c r="R9" i="336"/>
  <c r="Q9" i="336"/>
  <c r="P9" i="336"/>
  <c r="M9" i="336"/>
  <c r="N9" i="336" s="1"/>
  <c r="Q8" i="336"/>
  <c r="R8" i="336" s="1"/>
  <c r="P8" i="336"/>
  <c r="N8" i="336"/>
  <c r="M8" i="336"/>
  <c r="R7" i="336"/>
  <c r="Q7" i="336"/>
  <c r="P7" i="336"/>
  <c r="M7" i="336"/>
  <c r="N7" i="336" s="1"/>
  <c r="Q6" i="336"/>
  <c r="R6" i="336" s="1"/>
  <c r="P6" i="336"/>
  <c r="N6" i="336"/>
  <c r="M6" i="336"/>
  <c r="R5" i="336"/>
  <c r="Q5" i="336"/>
  <c r="P5" i="336"/>
  <c r="M5" i="336"/>
  <c r="N5" i="336" s="1"/>
  <c r="Q4" i="336"/>
  <c r="R4" i="336" s="1"/>
  <c r="P4" i="336"/>
  <c r="N4" i="336"/>
  <c r="M4" i="336"/>
  <c r="R3" i="336"/>
  <c r="Q3" i="336"/>
  <c r="P3" i="336"/>
  <c r="M3" i="336"/>
  <c r="N3" i="336" s="1"/>
  <c r="Q2" i="336"/>
  <c r="R2" i="336" s="1"/>
  <c r="P2" i="336"/>
  <c r="N2" i="336"/>
  <c r="M2" i="336"/>
  <c r="R169" i="335"/>
  <c r="Q169" i="335"/>
  <c r="P169" i="335"/>
  <c r="M169" i="335"/>
  <c r="N169" i="335" s="1"/>
  <c r="Q168" i="335"/>
  <c r="R168" i="335" s="1"/>
  <c r="P168" i="335"/>
  <c r="N168" i="335"/>
  <c r="M168" i="335"/>
  <c r="R167" i="335"/>
  <c r="Q167" i="335"/>
  <c r="P167" i="335"/>
  <c r="M167" i="335"/>
  <c r="N167" i="335" s="1"/>
  <c r="Q166" i="335"/>
  <c r="R166" i="335" s="1"/>
  <c r="P166" i="335"/>
  <c r="N166" i="335"/>
  <c r="M166" i="335"/>
  <c r="R165" i="335"/>
  <c r="Q165" i="335"/>
  <c r="P165" i="335"/>
  <c r="M165" i="335"/>
  <c r="N165" i="335" s="1"/>
  <c r="Q164" i="335"/>
  <c r="R164" i="335" s="1"/>
  <c r="P164" i="335"/>
  <c r="N164" i="335"/>
  <c r="M164" i="335"/>
  <c r="R163" i="335"/>
  <c r="Q163" i="335"/>
  <c r="P163" i="335"/>
  <c r="M163" i="335"/>
  <c r="N163" i="335" s="1"/>
  <c r="Q162" i="335"/>
  <c r="R162" i="335" s="1"/>
  <c r="P162" i="335"/>
  <c r="N162" i="335"/>
  <c r="M162" i="335"/>
  <c r="R161" i="335"/>
  <c r="Q161" i="335"/>
  <c r="P161" i="335"/>
  <c r="M161" i="335"/>
  <c r="N161" i="335" s="1"/>
  <c r="Q160" i="335"/>
  <c r="R160" i="335" s="1"/>
  <c r="P160" i="335"/>
  <c r="N160" i="335"/>
  <c r="M160" i="335"/>
  <c r="R159" i="335"/>
  <c r="Q159" i="335"/>
  <c r="P159" i="335"/>
  <c r="M159" i="335"/>
  <c r="N159" i="335" s="1"/>
  <c r="Q158" i="335"/>
  <c r="R158" i="335" s="1"/>
  <c r="P158" i="335"/>
  <c r="N158" i="335"/>
  <c r="M158" i="335"/>
  <c r="R157" i="335"/>
  <c r="Q157" i="335"/>
  <c r="P157" i="335"/>
  <c r="M157" i="335"/>
  <c r="N157" i="335" s="1"/>
  <c r="Q156" i="335"/>
  <c r="R156" i="335" s="1"/>
  <c r="P156" i="335"/>
  <c r="N156" i="335"/>
  <c r="M156" i="335"/>
  <c r="R155" i="335"/>
  <c r="Q155" i="335"/>
  <c r="P155" i="335"/>
  <c r="M155" i="335"/>
  <c r="N155" i="335" s="1"/>
  <c r="Q154" i="335"/>
  <c r="R154" i="335" s="1"/>
  <c r="P154" i="335"/>
  <c r="N154" i="335"/>
  <c r="M154" i="335"/>
  <c r="R153" i="335"/>
  <c r="Q153" i="335"/>
  <c r="P153" i="335"/>
  <c r="M153" i="335"/>
  <c r="N153" i="335" s="1"/>
  <c r="Q152" i="335"/>
  <c r="R152" i="335" s="1"/>
  <c r="P152" i="335"/>
  <c r="N152" i="335"/>
  <c r="M152" i="335"/>
  <c r="R151" i="335"/>
  <c r="Q151" i="335"/>
  <c r="P151" i="335"/>
  <c r="M151" i="335"/>
  <c r="N151" i="335" s="1"/>
  <c r="Q150" i="335"/>
  <c r="R150" i="335" s="1"/>
  <c r="P150" i="335"/>
  <c r="N150" i="335"/>
  <c r="M150" i="335"/>
  <c r="R149" i="335"/>
  <c r="Q149" i="335"/>
  <c r="P149" i="335"/>
  <c r="M149" i="335"/>
  <c r="N149" i="335" s="1"/>
  <c r="Q148" i="335"/>
  <c r="R148" i="335" s="1"/>
  <c r="P148" i="335"/>
  <c r="N148" i="335"/>
  <c r="M148" i="335"/>
  <c r="R147" i="335"/>
  <c r="Q147" i="335"/>
  <c r="P147" i="335"/>
  <c r="M147" i="335"/>
  <c r="N147" i="335" s="1"/>
  <c r="Q146" i="335"/>
  <c r="R146" i="335" s="1"/>
  <c r="P146" i="335"/>
  <c r="N146" i="335"/>
  <c r="M146" i="335"/>
  <c r="R145" i="335"/>
  <c r="Q145" i="335"/>
  <c r="P145" i="335"/>
  <c r="M145" i="335"/>
  <c r="N145" i="335" s="1"/>
  <c r="Q144" i="335"/>
  <c r="R144" i="335" s="1"/>
  <c r="P144" i="335"/>
  <c r="N144" i="335"/>
  <c r="M144" i="335"/>
  <c r="R143" i="335"/>
  <c r="Q143" i="335"/>
  <c r="P143" i="335"/>
  <c r="M143" i="335"/>
  <c r="N143" i="335" s="1"/>
  <c r="Q142" i="335"/>
  <c r="R142" i="335" s="1"/>
  <c r="P142" i="335"/>
  <c r="N142" i="335"/>
  <c r="M142" i="335"/>
  <c r="R141" i="335"/>
  <c r="Q141" i="335"/>
  <c r="P141" i="335"/>
  <c r="M141" i="335"/>
  <c r="N141" i="335" s="1"/>
  <c r="Q140" i="335"/>
  <c r="R140" i="335" s="1"/>
  <c r="P140" i="335"/>
  <c r="N140" i="335"/>
  <c r="M140" i="335"/>
  <c r="R139" i="335"/>
  <c r="Q139" i="335"/>
  <c r="P139" i="335"/>
  <c r="M139" i="335"/>
  <c r="N139" i="335" s="1"/>
  <c r="Q138" i="335"/>
  <c r="R138" i="335" s="1"/>
  <c r="P138" i="335"/>
  <c r="N138" i="335"/>
  <c r="M138" i="335"/>
  <c r="R137" i="335"/>
  <c r="Q137" i="335"/>
  <c r="P137" i="335"/>
  <c r="M137" i="335"/>
  <c r="N137" i="335" s="1"/>
  <c r="Q136" i="335"/>
  <c r="R136" i="335" s="1"/>
  <c r="P136" i="335"/>
  <c r="N136" i="335"/>
  <c r="M136" i="335"/>
  <c r="R135" i="335"/>
  <c r="Q135" i="335"/>
  <c r="P135" i="335"/>
  <c r="N135" i="335"/>
  <c r="R134" i="335"/>
  <c r="Q134" i="335"/>
  <c r="P134" i="335"/>
  <c r="M134" i="335"/>
  <c r="N134" i="335" s="1"/>
  <c r="Q133" i="335"/>
  <c r="R133" i="335" s="1"/>
  <c r="P133" i="335"/>
  <c r="N133" i="335"/>
  <c r="Q132" i="335"/>
  <c r="R132" i="335" s="1"/>
  <c r="P132" i="335"/>
  <c r="N132" i="335"/>
  <c r="M132" i="335"/>
  <c r="R131" i="335"/>
  <c r="Q131" i="335"/>
  <c r="P131" i="335"/>
  <c r="N131" i="335"/>
  <c r="R130" i="335"/>
  <c r="Q130" i="335"/>
  <c r="P130" i="335"/>
  <c r="N130" i="335"/>
  <c r="R129" i="335"/>
  <c r="Q129" i="335"/>
  <c r="P129" i="335"/>
  <c r="N129" i="335"/>
  <c r="R128" i="335"/>
  <c r="Q128" i="335"/>
  <c r="P128" i="335"/>
  <c r="N128" i="335"/>
  <c r="R127" i="335"/>
  <c r="Q127" i="335"/>
  <c r="P127" i="335"/>
  <c r="M127" i="335"/>
  <c r="N127" i="335" s="1"/>
  <c r="Q126" i="335"/>
  <c r="R126" i="335" s="1"/>
  <c r="P126" i="335"/>
  <c r="N126" i="335"/>
  <c r="M126" i="335"/>
  <c r="R125" i="335"/>
  <c r="Q125" i="335"/>
  <c r="P125" i="335"/>
  <c r="M125" i="335"/>
  <c r="N125" i="335" s="1"/>
  <c r="Q124" i="335"/>
  <c r="R124" i="335" s="1"/>
  <c r="P124" i="335"/>
  <c r="N124" i="335"/>
  <c r="M124" i="335"/>
  <c r="R123" i="335"/>
  <c r="Q123" i="335"/>
  <c r="P123" i="335"/>
  <c r="M123" i="335"/>
  <c r="N123" i="335" s="1"/>
  <c r="Q122" i="335"/>
  <c r="R122" i="335" s="1"/>
  <c r="P122" i="335"/>
  <c r="N122" i="335"/>
  <c r="M122" i="335"/>
  <c r="R121" i="335"/>
  <c r="Q121" i="335"/>
  <c r="P121" i="335"/>
  <c r="M121" i="335"/>
  <c r="N121" i="335" s="1"/>
  <c r="Q120" i="335"/>
  <c r="R120" i="335" s="1"/>
  <c r="P120" i="335"/>
  <c r="N120" i="335"/>
  <c r="Q119" i="335"/>
  <c r="R119" i="335" s="1"/>
  <c r="P119" i="335"/>
  <c r="N119" i="335"/>
  <c r="M119" i="335"/>
  <c r="R118" i="335"/>
  <c r="Q118" i="335"/>
  <c r="P118" i="335"/>
  <c r="M118" i="335"/>
  <c r="N118" i="335" s="1"/>
  <c r="Q117" i="335"/>
  <c r="R117" i="335" s="1"/>
  <c r="P117" i="335"/>
  <c r="N117" i="335"/>
  <c r="M117" i="335"/>
  <c r="R116" i="335"/>
  <c r="Q116" i="335"/>
  <c r="P116" i="335"/>
  <c r="M116" i="335"/>
  <c r="N116" i="335" s="1"/>
  <c r="Q115" i="335"/>
  <c r="R115" i="335" s="1"/>
  <c r="P115" i="335"/>
  <c r="N115" i="335"/>
  <c r="M115" i="335"/>
  <c r="R114" i="335"/>
  <c r="Q114" i="335"/>
  <c r="P114" i="335"/>
  <c r="M114" i="335"/>
  <c r="N114" i="335" s="1"/>
  <c r="Q113" i="335"/>
  <c r="R113" i="335" s="1"/>
  <c r="P113" i="335"/>
  <c r="N113" i="335"/>
  <c r="M113" i="335"/>
  <c r="R112" i="335"/>
  <c r="Q112" i="335"/>
  <c r="P112" i="335"/>
  <c r="M112" i="335"/>
  <c r="N112" i="335" s="1"/>
  <c r="Q111" i="335"/>
  <c r="R111" i="335" s="1"/>
  <c r="P111" i="335"/>
  <c r="N111" i="335"/>
  <c r="M111" i="335"/>
  <c r="R110" i="335"/>
  <c r="Q110" i="335"/>
  <c r="P110" i="335"/>
  <c r="M110" i="335"/>
  <c r="N110" i="335" s="1"/>
  <c r="Q109" i="335"/>
  <c r="R109" i="335" s="1"/>
  <c r="P109" i="335"/>
  <c r="N109" i="335"/>
  <c r="M109" i="335"/>
  <c r="R108" i="335"/>
  <c r="Q108" i="335"/>
  <c r="P108" i="335"/>
  <c r="M108" i="335"/>
  <c r="N108" i="335" s="1"/>
  <c r="Q107" i="335"/>
  <c r="R107" i="335" s="1"/>
  <c r="P107" i="335"/>
  <c r="N107" i="335"/>
  <c r="M107" i="335"/>
  <c r="R106" i="335"/>
  <c r="Q106" i="335"/>
  <c r="P106" i="335"/>
  <c r="M106" i="335"/>
  <c r="N106" i="335" s="1"/>
  <c r="Q105" i="335"/>
  <c r="R105" i="335" s="1"/>
  <c r="P105" i="335"/>
  <c r="N105" i="335"/>
  <c r="M105" i="335"/>
  <c r="R104" i="335"/>
  <c r="Q104" i="335"/>
  <c r="P104" i="335"/>
  <c r="M104" i="335"/>
  <c r="N104" i="335" s="1"/>
  <c r="Q103" i="335"/>
  <c r="R103" i="335" s="1"/>
  <c r="P103" i="335"/>
  <c r="N103" i="335"/>
  <c r="M103" i="335"/>
  <c r="R102" i="335"/>
  <c r="Q102" i="335"/>
  <c r="P102" i="335"/>
  <c r="M102" i="335"/>
  <c r="N102" i="335" s="1"/>
  <c r="Q101" i="335"/>
  <c r="R101" i="335" s="1"/>
  <c r="P101" i="335"/>
  <c r="N101" i="335"/>
  <c r="M101" i="335"/>
  <c r="R100" i="335"/>
  <c r="Q100" i="335"/>
  <c r="P100" i="335"/>
  <c r="M100" i="335"/>
  <c r="N100" i="335" s="1"/>
  <c r="Q99" i="335"/>
  <c r="R99" i="335" s="1"/>
  <c r="P99" i="335"/>
  <c r="N99" i="335"/>
  <c r="M99" i="335"/>
  <c r="R98" i="335"/>
  <c r="Q98" i="335"/>
  <c r="P98" i="335"/>
  <c r="M98" i="335"/>
  <c r="N98" i="335" s="1"/>
  <c r="Q97" i="335"/>
  <c r="R97" i="335" s="1"/>
  <c r="P97" i="335"/>
  <c r="N97" i="335"/>
  <c r="M97" i="335"/>
  <c r="R96" i="335"/>
  <c r="Q96" i="335"/>
  <c r="P96" i="335"/>
  <c r="M96" i="335"/>
  <c r="N96" i="335" s="1"/>
  <c r="Q95" i="335"/>
  <c r="R95" i="335" s="1"/>
  <c r="P95" i="335"/>
  <c r="N95" i="335"/>
  <c r="M95" i="335"/>
  <c r="R94" i="335"/>
  <c r="Q94" i="335"/>
  <c r="P94" i="335"/>
  <c r="M94" i="335"/>
  <c r="N94" i="335" s="1"/>
  <c r="Q93" i="335"/>
  <c r="R93" i="335" s="1"/>
  <c r="P93" i="335"/>
  <c r="N93" i="335"/>
  <c r="M93" i="335"/>
  <c r="R92" i="335"/>
  <c r="Q92" i="335"/>
  <c r="P92" i="335"/>
  <c r="M92" i="335"/>
  <c r="N92" i="335" s="1"/>
  <c r="Q91" i="335"/>
  <c r="R91" i="335" s="1"/>
  <c r="P91" i="335"/>
  <c r="N91" i="335"/>
  <c r="M91" i="335"/>
  <c r="R90" i="335"/>
  <c r="Q90" i="335"/>
  <c r="P90" i="335"/>
  <c r="M90" i="335"/>
  <c r="N90" i="335" s="1"/>
  <c r="Q89" i="335"/>
  <c r="R89" i="335" s="1"/>
  <c r="P89" i="335"/>
  <c r="N89" i="335"/>
  <c r="M89" i="335"/>
  <c r="R88" i="335"/>
  <c r="Q88" i="335"/>
  <c r="P88" i="335"/>
  <c r="M88" i="335"/>
  <c r="N88" i="335" s="1"/>
  <c r="Q87" i="335"/>
  <c r="R87" i="335" s="1"/>
  <c r="P87" i="335"/>
  <c r="N87" i="335"/>
  <c r="M87" i="335"/>
  <c r="R86" i="335"/>
  <c r="Q86" i="335"/>
  <c r="P86" i="335"/>
  <c r="M86" i="335"/>
  <c r="N86" i="335" s="1"/>
  <c r="Q85" i="335"/>
  <c r="R85" i="335" s="1"/>
  <c r="P85" i="335"/>
  <c r="N85" i="335"/>
  <c r="M85" i="335"/>
  <c r="R84" i="335"/>
  <c r="Q84" i="335"/>
  <c r="P84" i="335"/>
  <c r="M84" i="335"/>
  <c r="N84" i="335" s="1"/>
  <c r="Q83" i="335"/>
  <c r="R83" i="335" s="1"/>
  <c r="P83" i="335"/>
  <c r="N83" i="335"/>
  <c r="M83" i="335"/>
  <c r="R82" i="335"/>
  <c r="Q82" i="335"/>
  <c r="P82" i="335"/>
  <c r="M82" i="335"/>
  <c r="N82" i="335" s="1"/>
  <c r="Q81" i="335"/>
  <c r="R81" i="335" s="1"/>
  <c r="P81" i="335"/>
  <c r="N81" i="335"/>
  <c r="M81" i="335"/>
  <c r="R80" i="335"/>
  <c r="Q80" i="335"/>
  <c r="P80" i="335"/>
  <c r="M80" i="335"/>
  <c r="N80" i="335" s="1"/>
  <c r="Q79" i="335"/>
  <c r="R79" i="335" s="1"/>
  <c r="P79" i="335"/>
  <c r="N79" i="335"/>
  <c r="M79" i="335"/>
  <c r="R78" i="335"/>
  <c r="Q78" i="335"/>
  <c r="P78" i="335"/>
  <c r="M78" i="335"/>
  <c r="N78" i="335" s="1"/>
  <c r="Q77" i="335"/>
  <c r="R77" i="335" s="1"/>
  <c r="P77" i="335"/>
  <c r="N77" i="335"/>
  <c r="M77" i="335"/>
  <c r="R76" i="335"/>
  <c r="Q76" i="335"/>
  <c r="P76" i="335"/>
  <c r="M76" i="335"/>
  <c r="N76" i="335" s="1"/>
  <c r="Q75" i="335"/>
  <c r="R75" i="335" s="1"/>
  <c r="P75" i="335"/>
  <c r="N75" i="335"/>
  <c r="M75" i="335"/>
  <c r="R74" i="335"/>
  <c r="Q74" i="335"/>
  <c r="P74" i="335"/>
  <c r="M74" i="335"/>
  <c r="N74" i="335" s="1"/>
  <c r="Q73" i="335"/>
  <c r="R73" i="335" s="1"/>
  <c r="P73" i="335"/>
  <c r="N73" i="335"/>
  <c r="M73" i="335"/>
  <c r="R72" i="335"/>
  <c r="Q72" i="335"/>
  <c r="P72" i="335"/>
  <c r="M72" i="335"/>
  <c r="N72" i="335" s="1"/>
  <c r="Q71" i="335"/>
  <c r="R71" i="335" s="1"/>
  <c r="P71" i="335"/>
  <c r="N71" i="335"/>
  <c r="M71" i="335"/>
  <c r="R70" i="335"/>
  <c r="Q70" i="335"/>
  <c r="P70" i="335"/>
  <c r="M70" i="335"/>
  <c r="N70" i="335" s="1"/>
  <c r="Q69" i="335"/>
  <c r="R69" i="335" s="1"/>
  <c r="P69" i="335"/>
  <c r="N69" i="335"/>
  <c r="M69" i="335"/>
  <c r="R68" i="335"/>
  <c r="Q68" i="335"/>
  <c r="P68" i="335"/>
  <c r="M68" i="335"/>
  <c r="N68" i="335" s="1"/>
  <c r="Q67" i="335"/>
  <c r="R67" i="335" s="1"/>
  <c r="P67" i="335"/>
  <c r="N67" i="335"/>
  <c r="M67" i="335"/>
  <c r="R66" i="335"/>
  <c r="Q66" i="335"/>
  <c r="P66" i="335"/>
  <c r="M66" i="335"/>
  <c r="N66" i="335" s="1"/>
  <c r="Q65" i="335"/>
  <c r="R65" i="335" s="1"/>
  <c r="P65" i="335"/>
  <c r="N65" i="335"/>
  <c r="M65" i="335"/>
  <c r="R64" i="335"/>
  <c r="Q64" i="335"/>
  <c r="P64" i="335"/>
  <c r="M64" i="335"/>
  <c r="N64" i="335" s="1"/>
  <c r="Q63" i="335"/>
  <c r="R63" i="335" s="1"/>
  <c r="P63" i="335"/>
  <c r="N63" i="335"/>
  <c r="M63" i="335"/>
  <c r="R62" i="335"/>
  <c r="Q62" i="335"/>
  <c r="P62" i="335"/>
  <c r="M62" i="335"/>
  <c r="N62" i="335" s="1"/>
  <c r="Q61" i="335"/>
  <c r="R61" i="335" s="1"/>
  <c r="P61" i="335"/>
  <c r="N61" i="335"/>
  <c r="M61" i="335"/>
  <c r="R60" i="335"/>
  <c r="Q60" i="335"/>
  <c r="P60" i="335"/>
  <c r="M60" i="335"/>
  <c r="N60" i="335" s="1"/>
  <c r="Q59" i="335"/>
  <c r="R59" i="335" s="1"/>
  <c r="P59" i="335"/>
  <c r="N59" i="335"/>
  <c r="M59" i="335"/>
  <c r="R58" i="335"/>
  <c r="Q58" i="335"/>
  <c r="P58" i="335"/>
  <c r="M58" i="335"/>
  <c r="N58" i="335" s="1"/>
  <c r="Q57" i="335"/>
  <c r="R57" i="335" s="1"/>
  <c r="P57" i="335"/>
  <c r="N57" i="335"/>
  <c r="M57" i="335"/>
  <c r="R56" i="335"/>
  <c r="Q56" i="335"/>
  <c r="P56" i="335"/>
  <c r="M56" i="335"/>
  <c r="N56" i="335" s="1"/>
  <c r="Q55" i="335"/>
  <c r="R55" i="335" s="1"/>
  <c r="P55" i="335"/>
  <c r="N55" i="335"/>
  <c r="M55" i="335"/>
  <c r="R54" i="335"/>
  <c r="Q54" i="335"/>
  <c r="P54" i="335"/>
  <c r="M54" i="335"/>
  <c r="N54" i="335" s="1"/>
  <c r="Q53" i="335"/>
  <c r="R53" i="335" s="1"/>
  <c r="P53" i="335"/>
  <c r="N53" i="335"/>
  <c r="M53" i="335"/>
  <c r="R52" i="335"/>
  <c r="Q52" i="335"/>
  <c r="P52" i="335"/>
  <c r="M52" i="335"/>
  <c r="N52" i="335" s="1"/>
  <c r="Q51" i="335"/>
  <c r="R51" i="335" s="1"/>
  <c r="P51" i="335"/>
  <c r="N51" i="335"/>
  <c r="M51" i="335"/>
  <c r="R50" i="335"/>
  <c r="Q50" i="335"/>
  <c r="P50" i="335"/>
  <c r="M50" i="335"/>
  <c r="N50" i="335" s="1"/>
  <c r="Q49" i="335"/>
  <c r="R49" i="335" s="1"/>
  <c r="P49" i="335"/>
  <c r="N49" i="335"/>
  <c r="M49" i="335"/>
  <c r="R48" i="335"/>
  <c r="Q48" i="335"/>
  <c r="P48" i="335"/>
  <c r="M48" i="335"/>
  <c r="N48" i="335" s="1"/>
  <c r="Q47" i="335"/>
  <c r="R47" i="335" s="1"/>
  <c r="P47" i="335"/>
  <c r="N47" i="335"/>
  <c r="M47" i="335"/>
  <c r="R46" i="335"/>
  <c r="Q46" i="335"/>
  <c r="P46" i="335"/>
  <c r="M46" i="335"/>
  <c r="N46" i="335" s="1"/>
  <c r="Q45" i="335"/>
  <c r="R45" i="335" s="1"/>
  <c r="P45" i="335"/>
  <c r="N45" i="335"/>
  <c r="M45" i="335"/>
  <c r="R44" i="335"/>
  <c r="Q44" i="335"/>
  <c r="P44" i="335"/>
  <c r="M44" i="335"/>
  <c r="N44" i="335" s="1"/>
  <c r="Q43" i="335"/>
  <c r="R43" i="335" s="1"/>
  <c r="P43" i="335"/>
  <c r="N43" i="335"/>
  <c r="M43" i="335"/>
  <c r="R42" i="335"/>
  <c r="Q42" i="335"/>
  <c r="P42" i="335"/>
  <c r="M42" i="335"/>
  <c r="N42" i="335" s="1"/>
  <c r="Q41" i="335"/>
  <c r="R41" i="335" s="1"/>
  <c r="P41" i="335"/>
  <c r="N41" i="335"/>
  <c r="M41" i="335"/>
  <c r="R40" i="335"/>
  <c r="Q40" i="335"/>
  <c r="P40" i="335"/>
  <c r="M40" i="335"/>
  <c r="N40" i="335" s="1"/>
  <c r="Q39" i="335"/>
  <c r="R39" i="335" s="1"/>
  <c r="P39" i="335"/>
  <c r="N39" i="335"/>
  <c r="M39" i="335"/>
  <c r="R38" i="335"/>
  <c r="Q38" i="335"/>
  <c r="P38" i="335"/>
  <c r="M38" i="335"/>
  <c r="N38" i="335" s="1"/>
  <c r="Q37" i="335"/>
  <c r="R37" i="335" s="1"/>
  <c r="P37" i="335"/>
  <c r="N37" i="335"/>
  <c r="M37" i="335"/>
  <c r="R36" i="335"/>
  <c r="Q36" i="335"/>
  <c r="P36" i="335"/>
  <c r="M36" i="335"/>
  <c r="N36" i="335" s="1"/>
  <c r="Q35" i="335"/>
  <c r="R35" i="335" s="1"/>
  <c r="P35" i="335"/>
  <c r="N35" i="335"/>
  <c r="M35" i="335"/>
  <c r="R34" i="335"/>
  <c r="Q34" i="335"/>
  <c r="P34" i="335"/>
  <c r="M34" i="335"/>
  <c r="N34" i="335" s="1"/>
  <c r="Q33" i="335"/>
  <c r="R33" i="335" s="1"/>
  <c r="P33" i="335"/>
  <c r="N33" i="335"/>
  <c r="M33" i="335"/>
  <c r="R32" i="335"/>
  <c r="Q32" i="335"/>
  <c r="P32" i="335"/>
  <c r="M32" i="335"/>
  <c r="N32" i="335" s="1"/>
  <c r="Q31" i="335"/>
  <c r="R31" i="335" s="1"/>
  <c r="P31" i="335"/>
  <c r="N31" i="335"/>
  <c r="M31" i="335"/>
  <c r="R30" i="335"/>
  <c r="Q30" i="335"/>
  <c r="P30" i="335"/>
  <c r="M30" i="335"/>
  <c r="N30" i="335" s="1"/>
  <c r="Q29" i="335"/>
  <c r="R29" i="335" s="1"/>
  <c r="P29" i="335"/>
  <c r="N29" i="335"/>
  <c r="M29" i="335"/>
  <c r="R28" i="335"/>
  <c r="Q28" i="335"/>
  <c r="P28" i="335"/>
  <c r="M28" i="335"/>
  <c r="N28" i="335" s="1"/>
  <c r="Q27" i="335"/>
  <c r="R27" i="335" s="1"/>
  <c r="P27" i="335"/>
  <c r="N27" i="335"/>
  <c r="M27" i="335"/>
  <c r="R26" i="335"/>
  <c r="Q26" i="335"/>
  <c r="P26" i="335"/>
  <c r="M26" i="335"/>
  <c r="N26" i="335" s="1"/>
  <c r="Q25" i="335"/>
  <c r="R25" i="335" s="1"/>
  <c r="P25" i="335"/>
  <c r="N25" i="335"/>
  <c r="M25" i="335"/>
  <c r="R24" i="335"/>
  <c r="Q24" i="335"/>
  <c r="P24" i="335"/>
  <c r="M24" i="335"/>
  <c r="N24" i="335" s="1"/>
  <c r="Q23" i="335"/>
  <c r="R23" i="335" s="1"/>
  <c r="P23" i="335"/>
  <c r="N23" i="335"/>
  <c r="M23" i="335"/>
  <c r="R22" i="335"/>
  <c r="Q22" i="335"/>
  <c r="P22" i="335"/>
  <c r="M22" i="335"/>
  <c r="N22" i="335" s="1"/>
  <c r="Q21" i="335"/>
  <c r="R21" i="335" s="1"/>
  <c r="P21" i="335"/>
  <c r="N21" i="335"/>
  <c r="M21" i="335"/>
  <c r="R20" i="335"/>
  <c r="Q20" i="335"/>
  <c r="P20" i="335"/>
  <c r="M20" i="335"/>
  <c r="N20" i="335" s="1"/>
  <c r="Q19" i="335"/>
  <c r="R19" i="335" s="1"/>
  <c r="P19" i="335"/>
  <c r="N19" i="335"/>
  <c r="M19" i="335"/>
  <c r="R18" i="335"/>
  <c r="Q18" i="335"/>
  <c r="P18" i="335"/>
  <c r="M18" i="335"/>
  <c r="N18" i="335" s="1"/>
  <c r="Q17" i="335"/>
  <c r="R17" i="335" s="1"/>
  <c r="P17" i="335"/>
  <c r="N17" i="335"/>
  <c r="M17" i="335"/>
  <c r="R16" i="335"/>
  <c r="Q16" i="335"/>
  <c r="P16" i="335"/>
  <c r="M16" i="335"/>
  <c r="N16" i="335" s="1"/>
  <c r="Q15" i="335"/>
  <c r="R15" i="335" s="1"/>
  <c r="P15" i="335"/>
  <c r="N15" i="335"/>
  <c r="M15" i="335"/>
  <c r="R14" i="335"/>
  <c r="Q14" i="335"/>
  <c r="P14" i="335"/>
  <c r="M14" i="335"/>
  <c r="N14" i="335" s="1"/>
  <c r="Q13" i="335"/>
  <c r="R13" i="335" s="1"/>
  <c r="P13" i="335"/>
  <c r="N13" i="335"/>
  <c r="M13" i="335"/>
  <c r="R12" i="335"/>
  <c r="Q12" i="335"/>
  <c r="P12" i="335"/>
  <c r="M12" i="335"/>
  <c r="N12" i="335" s="1"/>
  <c r="Q11" i="335"/>
  <c r="R11" i="335" s="1"/>
  <c r="P11" i="335"/>
  <c r="N11" i="335"/>
  <c r="M11" i="335"/>
  <c r="R10" i="335"/>
  <c r="Q10" i="335"/>
  <c r="P10" i="335"/>
  <c r="M10" i="335"/>
  <c r="N10" i="335" s="1"/>
  <c r="Q9" i="335"/>
  <c r="R9" i="335" s="1"/>
  <c r="P9" i="335"/>
  <c r="N9" i="335"/>
  <c r="M9" i="335"/>
  <c r="R8" i="335"/>
  <c r="Q8" i="335"/>
  <c r="P8" i="335"/>
  <c r="M8" i="335"/>
  <c r="N8" i="335" s="1"/>
  <c r="Q7" i="335"/>
  <c r="R7" i="335" s="1"/>
  <c r="P7" i="335"/>
  <c r="N7" i="335"/>
  <c r="M7" i="335"/>
  <c r="R6" i="335"/>
  <c r="Q6" i="335"/>
  <c r="P6" i="335"/>
  <c r="M6" i="335"/>
  <c r="N6" i="335" s="1"/>
  <c r="Q5" i="335"/>
  <c r="R5" i="335" s="1"/>
  <c r="P5" i="335"/>
  <c r="N5" i="335"/>
  <c r="M5" i="335"/>
  <c r="R4" i="335"/>
  <c r="Q4" i="335"/>
  <c r="P4" i="335"/>
  <c r="M4" i="335"/>
  <c r="N4" i="335" s="1"/>
  <c r="Q3" i="335"/>
  <c r="R3" i="335" s="1"/>
  <c r="P3" i="335"/>
  <c r="N3" i="335"/>
  <c r="M3" i="335"/>
  <c r="R2" i="335"/>
  <c r="Q2" i="335"/>
  <c r="P2" i="335"/>
  <c r="M2" i="335"/>
  <c r="N2" i="335" s="1"/>
  <c r="R15" i="334"/>
  <c r="Q15" i="334"/>
  <c r="P15" i="334"/>
  <c r="R14" i="334"/>
  <c r="Q14" i="334"/>
  <c r="P14" i="334"/>
  <c r="R13" i="334"/>
  <c r="Q13" i="334"/>
  <c r="P13" i="334"/>
  <c r="R12" i="334"/>
  <c r="Q12" i="334"/>
  <c r="P12" i="334"/>
  <c r="R11" i="334"/>
  <c r="Q11" i="334"/>
  <c r="P11" i="334"/>
  <c r="R10" i="334"/>
  <c r="Q10" i="334"/>
  <c r="P10" i="334"/>
  <c r="R9" i="334"/>
  <c r="Q9" i="334"/>
  <c r="P9" i="334"/>
  <c r="D9" i="334"/>
  <c r="R8" i="334"/>
  <c r="Q8" i="334"/>
  <c r="P8" i="334"/>
  <c r="R7" i="334"/>
  <c r="Q7" i="334"/>
  <c r="P7" i="334"/>
  <c r="R6" i="334"/>
  <c r="R18" i="334" s="1"/>
  <c r="Q6" i="334"/>
  <c r="Q18" i="334" s="1"/>
  <c r="D6" i="334"/>
  <c r="P6" i="334" s="1"/>
  <c r="H63" i="333"/>
  <c r="G63" i="333"/>
  <c r="F63" i="333"/>
  <c r="E63" i="333"/>
  <c r="D63" i="333"/>
  <c r="H62" i="333"/>
  <c r="G62" i="333"/>
  <c r="F62" i="333"/>
  <c r="E62" i="333"/>
  <c r="D62" i="333"/>
  <c r="H61" i="333"/>
  <c r="G61" i="333"/>
  <c r="F61" i="333"/>
  <c r="E61" i="333"/>
  <c r="D61" i="333"/>
  <c r="H60" i="333"/>
  <c r="G60" i="333"/>
  <c r="F60" i="333"/>
  <c r="E60" i="333"/>
  <c r="D60" i="333"/>
  <c r="H59" i="333"/>
  <c r="G59" i="333"/>
  <c r="F59" i="333"/>
  <c r="E59" i="333"/>
  <c r="D59" i="333"/>
  <c r="H58" i="333"/>
  <c r="G58" i="333"/>
  <c r="F58" i="333"/>
  <c r="E58" i="333"/>
  <c r="D58" i="333"/>
  <c r="H57" i="333"/>
  <c r="F57" i="333"/>
  <c r="D57" i="333"/>
  <c r="H56" i="333"/>
  <c r="F56" i="333"/>
  <c r="D56" i="333"/>
  <c r="G47" i="333"/>
  <c r="E47" i="333"/>
  <c r="H46" i="333"/>
  <c r="G46" i="333"/>
  <c r="F46" i="333"/>
  <c r="E46" i="333"/>
  <c r="D46" i="333"/>
  <c r="D45" i="333"/>
  <c r="D44" i="333"/>
  <c r="G39" i="333"/>
  <c r="E39" i="333"/>
  <c r="E37" i="333"/>
  <c r="E57" i="333" s="1"/>
  <c r="D37" i="333"/>
  <c r="E36" i="333"/>
  <c r="E56" i="333" s="1"/>
  <c r="D36" i="333"/>
  <c r="J15" i="333"/>
  <c r="I15" i="333"/>
  <c r="G15" i="333"/>
  <c r="F15" i="333"/>
  <c r="J14" i="333"/>
  <c r="I14" i="333"/>
  <c r="G14" i="333"/>
  <c r="F14" i="333"/>
  <c r="J13" i="333"/>
  <c r="I13" i="333"/>
  <c r="G13" i="333"/>
  <c r="F13" i="333"/>
  <c r="J12" i="333"/>
  <c r="I12" i="333"/>
  <c r="G12" i="333"/>
  <c r="F12" i="333"/>
  <c r="J11" i="333"/>
  <c r="I11" i="333"/>
  <c r="F11" i="333"/>
  <c r="J10" i="333"/>
  <c r="I10" i="333"/>
  <c r="G10" i="333"/>
  <c r="J8" i="333"/>
  <c r="I8" i="333"/>
  <c r="G8" i="333"/>
  <c r="F8" i="333"/>
  <c r="J7" i="333"/>
  <c r="I7" i="333"/>
  <c r="G7" i="333"/>
  <c r="J6" i="333"/>
  <c r="I6" i="333"/>
  <c r="G6" i="333"/>
  <c r="G5" i="355" l="1"/>
  <c r="G8" i="355"/>
  <c r="G11" i="355"/>
  <c r="K4" i="353"/>
  <c r="K6" i="353"/>
  <c r="K8" i="353"/>
  <c r="K10" i="353"/>
  <c r="K12" i="353"/>
  <c r="K14" i="353"/>
  <c r="K16" i="353"/>
  <c r="K18" i="353"/>
  <c r="K21" i="353"/>
  <c r="H4" i="355"/>
  <c r="G7" i="355"/>
  <c r="G12" i="355"/>
  <c r="G15" i="355"/>
  <c r="H20" i="355"/>
  <c r="H5" i="355"/>
  <c r="H16" i="355"/>
  <c r="G3" i="355"/>
  <c r="H8" i="355"/>
  <c r="H12" i="355"/>
  <c r="G19" i="355"/>
  <c r="H19" i="355"/>
  <c r="F24" i="355"/>
  <c r="G4" i="355"/>
  <c r="H9" i="355"/>
  <c r="H13" i="355"/>
  <c r="P18" i="334"/>
  <c r="K5" i="353"/>
  <c r="K7" i="353"/>
  <c r="K9" i="353"/>
  <c r="K11" i="353"/>
  <c r="K13" i="353"/>
  <c r="K15" i="353"/>
  <c r="K17" i="353"/>
  <c r="K19" i="353"/>
  <c r="G2" i="355"/>
  <c r="H3" i="355"/>
  <c r="G6" i="355"/>
  <c r="H7" i="355"/>
  <c r="G10" i="355"/>
  <c r="H11" i="355"/>
  <c r="G14" i="355"/>
  <c r="H15" i="355"/>
  <c r="G18" i="355"/>
  <c r="G22" i="355"/>
  <c r="H2" i="355"/>
  <c r="H6" i="355"/>
  <c r="G9" i="355"/>
  <c r="H10" i="355"/>
  <c r="G13" i="355"/>
  <c r="H14" i="355"/>
  <c r="G17" i="355"/>
  <c r="H18" i="355"/>
  <c r="G21" i="355"/>
  <c r="H22" i="355"/>
  <c r="H17" i="355"/>
  <c r="G20" i="355"/>
  <c r="H21" i="355"/>
  <c r="G20" i="353"/>
  <c r="J20" i="353" s="1"/>
  <c r="G22" i="353"/>
  <c r="J22" i="353" s="1"/>
  <c r="H20" i="353"/>
  <c r="H22" i="353"/>
  <c r="E45" i="333"/>
  <c r="G37" i="333"/>
  <c r="E44" i="333"/>
  <c r="G36" i="333"/>
  <c r="K22" i="353" l="1"/>
  <c r="K20" i="353"/>
  <c r="G24" i="355"/>
  <c r="H24" i="355"/>
  <c r="G57" i="333"/>
  <c r="G45" i="333"/>
  <c r="G44" i="333"/>
  <c r="G56" i="333"/>
  <c r="J24" i="264" l="1"/>
  <c r="E22" i="264"/>
  <c r="H22" i="264" s="1"/>
  <c r="D22" i="264"/>
  <c r="C22" i="264"/>
  <c r="B22" i="264"/>
  <c r="A22" i="264"/>
  <c r="E21" i="264"/>
  <c r="H21" i="264" s="1"/>
  <c r="D21" i="264"/>
  <c r="C21" i="264"/>
  <c r="B21" i="264"/>
  <c r="A21" i="264"/>
  <c r="E20" i="264"/>
  <c r="H20" i="264" s="1"/>
  <c r="D20" i="264"/>
  <c r="C20" i="264"/>
  <c r="B20" i="264"/>
  <c r="A20" i="264"/>
  <c r="E19" i="264"/>
  <c r="H19" i="264" s="1"/>
  <c r="D19" i="264"/>
  <c r="C19" i="264"/>
  <c r="B19" i="264"/>
  <c r="A19" i="264"/>
  <c r="E18" i="264"/>
  <c r="H18" i="264" s="1"/>
  <c r="D18" i="264"/>
  <c r="C18" i="264"/>
  <c r="B18" i="264"/>
  <c r="A18" i="264"/>
  <c r="E17" i="264"/>
  <c r="H17" i="264" s="1"/>
  <c r="D17" i="264"/>
  <c r="C17" i="264"/>
  <c r="B17" i="264"/>
  <c r="A17" i="264"/>
  <c r="E16" i="264"/>
  <c r="G16" i="264" s="1"/>
  <c r="D16" i="264"/>
  <c r="C16" i="264"/>
  <c r="B16" i="264"/>
  <c r="A16" i="264"/>
  <c r="E15" i="264"/>
  <c r="G15" i="264" s="1"/>
  <c r="D15" i="264"/>
  <c r="C15" i="264"/>
  <c r="B15" i="264"/>
  <c r="A15" i="264"/>
  <c r="E14" i="264"/>
  <c r="G14" i="264" s="1"/>
  <c r="D14" i="264"/>
  <c r="C14" i="264"/>
  <c r="B14" i="264"/>
  <c r="A14" i="264"/>
  <c r="E13" i="264"/>
  <c r="G13" i="264" s="1"/>
  <c r="D13" i="264"/>
  <c r="C13" i="264"/>
  <c r="B13" i="264"/>
  <c r="A13" i="264"/>
  <c r="E12" i="264"/>
  <c r="G12" i="264" s="1"/>
  <c r="D12" i="264"/>
  <c r="C12" i="264"/>
  <c r="B12" i="264"/>
  <c r="A12" i="264"/>
  <c r="E11" i="264"/>
  <c r="G11" i="264" s="1"/>
  <c r="D11" i="264"/>
  <c r="C11" i="264"/>
  <c r="B11" i="264"/>
  <c r="A11" i="264"/>
  <c r="E10" i="264"/>
  <c r="G10" i="264" s="1"/>
  <c r="D10" i="264"/>
  <c r="C10" i="264"/>
  <c r="B10" i="264"/>
  <c r="A10" i="264"/>
  <c r="E9" i="264"/>
  <c r="G9" i="264" s="1"/>
  <c r="D9" i="264"/>
  <c r="C9" i="264"/>
  <c r="B9" i="264"/>
  <c r="A9" i="264"/>
  <c r="E8" i="264"/>
  <c r="G8" i="264" s="1"/>
  <c r="D8" i="264"/>
  <c r="C8" i="264"/>
  <c r="B8" i="264"/>
  <c r="A8" i="264"/>
  <c r="E7" i="264"/>
  <c r="G7" i="264" s="1"/>
  <c r="D7" i="264"/>
  <c r="C7" i="264"/>
  <c r="B7" i="264"/>
  <c r="A7" i="264"/>
  <c r="E6" i="264"/>
  <c r="G6" i="264" s="1"/>
  <c r="D6" i="264"/>
  <c r="C6" i="264"/>
  <c r="B6" i="264"/>
  <c r="A6" i="264"/>
  <c r="E5" i="264"/>
  <c r="G5" i="264" s="1"/>
  <c r="D5" i="264"/>
  <c r="C5" i="264"/>
  <c r="B5" i="264"/>
  <c r="A5" i="264"/>
  <c r="E4" i="264"/>
  <c r="G4" i="264" s="1"/>
  <c r="D4" i="264"/>
  <c r="C4" i="264"/>
  <c r="B4" i="264"/>
  <c r="A4" i="264"/>
  <c r="E3" i="264"/>
  <c r="G3" i="264" s="1"/>
  <c r="D3" i="264"/>
  <c r="C3" i="264"/>
  <c r="B3" i="264"/>
  <c r="A3" i="264"/>
  <c r="E2" i="264"/>
  <c r="G2" i="264" s="1"/>
  <c r="D2" i="264"/>
  <c r="C2" i="264"/>
  <c r="B2" i="264"/>
  <c r="A2" i="264"/>
  <c r="H21" i="262"/>
  <c r="G21" i="262"/>
  <c r="J21" i="262" s="1"/>
  <c r="G20" i="262"/>
  <c r="J20" i="262" s="1"/>
  <c r="H19" i="262"/>
  <c r="G19" i="262"/>
  <c r="J19" i="262" s="1"/>
  <c r="H18" i="262"/>
  <c r="G18" i="262"/>
  <c r="J18" i="262" s="1"/>
  <c r="H17" i="262"/>
  <c r="G17" i="262"/>
  <c r="J17" i="262" s="1"/>
  <c r="H16" i="262"/>
  <c r="G16" i="262"/>
  <c r="J16" i="262" s="1"/>
  <c r="H15" i="262"/>
  <c r="G15" i="262"/>
  <c r="J15" i="262" s="1"/>
  <c r="H14" i="262"/>
  <c r="G14" i="262"/>
  <c r="J14" i="262" s="1"/>
  <c r="H13" i="262"/>
  <c r="G13" i="262"/>
  <c r="J13" i="262" s="1"/>
  <c r="H12" i="262"/>
  <c r="G12" i="262"/>
  <c r="J12" i="262" s="1"/>
  <c r="H11" i="262"/>
  <c r="G11" i="262"/>
  <c r="J11" i="262" s="1"/>
  <c r="H10" i="262"/>
  <c r="G10" i="262"/>
  <c r="J10" i="262" s="1"/>
  <c r="H9" i="262"/>
  <c r="G9" i="262"/>
  <c r="J9" i="262" s="1"/>
  <c r="H8" i="262"/>
  <c r="G8" i="262"/>
  <c r="J8" i="262" s="1"/>
  <c r="H7" i="262"/>
  <c r="G7" i="262"/>
  <c r="J7" i="262" s="1"/>
  <c r="H6" i="262"/>
  <c r="G6" i="262"/>
  <c r="J6" i="262" s="1"/>
  <c r="H5" i="262"/>
  <c r="G5" i="262"/>
  <c r="J5" i="262" s="1"/>
  <c r="H4" i="262"/>
  <c r="G4" i="262"/>
  <c r="J4" i="262" s="1"/>
  <c r="H3" i="262"/>
  <c r="G3" i="262"/>
  <c r="H2" i="262"/>
  <c r="G2" i="262"/>
  <c r="Q3" i="260"/>
  <c r="R3" i="260" s="1"/>
  <c r="P3" i="260"/>
  <c r="N3" i="260"/>
  <c r="M3" i="260"/>
  <c r="Q2" i="260"/>
  <c r="R2" i="260" s="1"/>
  <c r="P2" i="260"/>
  <c r="M2" i="260"/>
  <c r="N2" i="260" s="1"/>
  <c r="R10" i="258"/>
  <c r="Q10" i="258"/>
  <c r="P10" i="258"/>
  <c r="M10" i="258"/>
  <c r="N10" i="258" s="1"/>
  <c r="Q9" i="258"/>
  <c r="R9" i="258" s="1"/>
  <c r="P9" i="258"/>
  <c r="N9" i="258"/>
  <c r="M9" i="258"/>
  <c r="R8" i="258"/>
  <c r="Q8" i="258"/>
  <c r="P8" i="258"/>
  <c r="M8" i="258"/>
  <c r="N8" i="258" s="1"/>
  <c r="Q7" i="258"/>
  <c r="R7" i="258" s="1"/>
  <c r="P7" i="258"/>
  <c r="N7" i="258"/>
  <c r="M7" i="258"/>
  <c r="R6" i="258"/>
  <c r="Q6" i="258"/>
  <c r="P6" i="258"/>
  <c r="M6" i="258"/>
  <c r="N6" i="258" s="1"/>
  <c r="Q5" i="258"/>
  <c r="R5" i="258" s="1"/>
  <c r="P5" i="258"/>
  <c r="N5" i="258"/>
  <c r="M5" i="258"/>
  <c r="R4" i="258"/>
  <c r="Q4" i="258"/>
  <c r="P4" i="258"/>
  <c r="M4" i="258"/>
  <c r="N4" i="258" s="1"/>
  <c r="Q3" i="258"/>
  <c r="R3" i="258" s="1"/>
  <c r="P3" i="258"/>
  <c r="N3" i="258"/>
  <c r="M3" i="258"/>
  <c r="Q2" i="258"/>
  <c r="R2" i="258" s="1"/>
  <c r="P2" i="258"/>
  <c r="M2" i="258"/>
  <c r="N2" i="258" s="1"/>
  <c r="Q12" i="256"/>
  <c r="R12" i="256" s="1"/>
  <c r="P12" i="256"/>
  <c r="M12" i="256"/>
  <c r="N12" i="256" s="1"/>
  <c r="Q11" i="256"/>
  <c r="R11" i="256" s="1"/>
  <c r="P11" i="256"/>
  <c r="M11" i="256"/>
  <c r="N11" i="256" s="1"/>
  <c r="R10" i="256"/>
  <c r="Q10" i="256"/>
  <c r="P10" i="256"/>
  <c r="M10" i="256"/>
  <c r="N10" i="256" s="1"/>
  <c r="R9" i="256"/>
  <c r="Q9" i="256"/>
  <c r="P9" i="256"/>
  <c r="N9" i="256"/>
  <c r="M9" i="256"/>
  <c r="R8" i="256"/>
  <c r="Q8" i="256"/>
  <c r="P8" i="256"/>
  <c r="N8" i="256"/>
  <c r="M8" i="256"/>
  <c r="Q7" i="256"/>
  <c r="R7" i="256" s="1"/>
  <c r="P7" i="256"/>
  <c r="N7" i="256"/>
  <c r="M7" i="256"/>
  <c r="R6" i="256"/>
  <c r="Q6" i="256"/>
  <c r="P6" i="256"/>
  <c r="M6" i="256"/>
  <c r="N6" i="256" s="1"/>
  <c r="R5" i="256"/>
  <c r="Q5" i="256"/>
  <c r="P5" i="256"/>
  <c r="N5" i="256"/>
  <c r="M5" i="256"/>
  <c r="R4" i="256"/>
  <c r="Q4" i="256"/>
  <c r="P4" i="256"/>
  <c r="M4" i="256"/>
  <c r="N4" i="256" s="1"/>
  <c r="Q3" i="256"/>
  <c r="R3" i="256" s="1"/>
  <c r="P3" i="256"/>
  <c r="N3" i="256"/>
  <c r="M3" i="256"/>
  <c r="Q2" i="256"/>
  <c r="R2" i="256" s="1"/>
  <c r="P2" i="256"/>
  <c r="M2" i="256"/>
  <c r="N2" i="256" s="1"/>
  <c r="Q31" i="253"/>
  <c r="R31" i="253" s="1"/>
  <c r="P31" i="253"/>
  <c r="N31" i="253"/>
  <c r="Q30" i="253"/>
  <c r="R30" i="253" s="1"/>
  <c r="P30" i="253"/>
  <c r="N30" i="253"/>
  <c r="Q29" i="253"/>
  <c r="R29" i="253" s="1"/>
  <c r="P29" i="253"/>
  <c r="N29" i="253"/>
  <c r="Q28" i="253"/>
  <c r="R28" i="253" s="1"/>
  <c r="P28" i="253"/>
  <c r="N28" i="253"/>
  <c r="Q27" i="253"/>
  <c r="R27" i="253" s="1"/>
  <c r="P27" i="253"/>
  <c r="N27" i="253"/>
  <c r="Q26" i="253"/>
  <c r="R26" i="253" s="1"/>
  <c r="P26" i="253"/>
  <c r="N26" i="253"/>
  <c r="Q25" i="253"/>
  <c r="R25" i="253" s="1"/>
  <c r="P25" i="253"/>
  <c r="N25" i="253"/>
  <c r="Q24" i="253"/>
  <c r="R24" i="253" s="1"/>
  <c r="P24" i="253"/>
  <c r="N24" i="253"/>
  <c r="Q23" i="253"/>
  <c r="R23" i="253" s="1"/>
  <c r="P23" i="253"/>
  <c r="N23" i="253"/>
  <c r="Q22" i="253"/>
  <c r="R22" i="253" s="1"/>
  <c r="P22" i="253"/>
  <c r="N22" i="253"/>
  <c r="Q21" i="253"/>
  <c r="R21" i="253" s="1"/>
  <c r="P21" i="253"/>
  <c r="N21" i="253"/>
  <c r="Q20" i="253"/>
  <c r="R20" i="253" s="1"/>
  <c r="P20" i="253"/>
  <c r="N20" i="253"/>
  <c r="Q19" i="253"/>
  <c r="R19" i="253" s="1"/>
  <c r="P19" i="253"/>
  <c r="N19" i="253"/>
  <c r="Q18" i="253"/>
  <c r="R18" i="253" s="1"/>
  <c r="P18" i="253"/>
  <c r="N18" i="253"/>
  <c r="Q17" i="253"/>
  <c r="R17" i="253" s="1"/>
  <c r="P17" i="253"/>
  <c r="N17" i="253"/>
  <c r="Q16" i="253"/>
  <c r="R16" i="253" s="1"/>
  <c r="P16" i="253"/>
  <c r="N16" i="253"/>
  <c r="Q15" i="253"/>
  <c r="R15" i="253" s="1"/>
  <c r="P15" i="253"/>
  <c r="N15" i="253"/>
  <c r="Q14" i="253"/>
  <c r="R14" i="253" s="1"/>
  <c r="P14" i="253"/>
  <c r="N14" i="253"/>
  <c r="Q13" i="253"/>
  <c r="R13" i="253" s="1"/>
  <c r="P13" i="253"/>
  <c r="N13" i="253"/>
  <c r="Q12" i="253"/>
  <c r="R12" i="253" s="1"/>
  <c r="P12" i="253"/>
  <c r="N12" i="253"/>
  <c r="Q11" i="253"/>
  <c r="R11" i="253" s="1"/>
  <c r="P11" i="253"/>
  <c r="N11" i="253"/>
  <c r="Q10" i="253"/>
  <c r="R10" i="253" s="1"/>
  <c r="P10" i="253"/>
  <c r="N10" i="253"/>
  <c r="Q9" i="253"/>
  <c r="R9" i="253" s="1"/>
  <c r="P9" i="253"/>
  <c r="N9" i="253"/>
  <c r="Q8" i="253"/>
  <c r="R8" i="253" s="1"/>
  <c r="P8" i="253"/>
  <c r="N8" i="253"/>
  <c r="Q7" i="253"/>
  <c r="R7" i="253" s="1"/>
  <c r="P7" i="253"/>
  <c r="N7" i="253"/>
  <c r="Q6" i="253"/>
  <c r="R6" i="253" s="1"/>
  <c r="P6" i="253"/>
  <c r="N6" i="253"/>
  <c r="Q5" i="253"/>
  <c r="R5" i="253" s="1"/>
  <c r="P5" i="253"/>
  <c r="N5" i="253"/>
  <c r="Q4" i="253"/>
  <c r="R4" i="253" s="1"/>
  <c r="P4" i="253"/>
  <c r="N4" i="253"/>
  <c r="Q3" i="253"/>
  <c r="R3" i="253" s="1"/>
  <c r="P3" i="253"/>
  <c r="N3" i="253"/>
  <c r="Q2" i="253"/>
  <c r="R2" i="253" s="1"/>
  <c r="P2" i="253"/>
  <c r="N2" i="253"/>
  <c r="Q13" i="251"/>
  <c r="R13" i="251" s="1"/>
  <c r="P13" i="251"/>
  <c r="M13" i="251"/>
  <c r="N13" i="251" s="1"/>
  <c r="R12" i="251"/>
  <c r="Q12" i="251"/>
  <c r="P12" i="251"/>
  <c r="M12" i="251"/>
  <c r="N12" i="251" s="1"/>
  <c r="R11" i="251"/>
  <c r="Q11" i="251"/>
  <c r="P11" i="251"/>
  <c r="N11" i="251"/>
  <c r="M11" i="251"/>
  <c r="Q10" i="251"/>
  <c r="R10" i="251" s="1"/>
  <c r="P10" i="251"/>
  <c r="N10" i="251"/>
  <c r="M10" i="251"/>
  <c r="Q9" i="251"/>
  <c r="R9" i="251" s="1"/>
  <c r="P9" i="251"/>
  <c r="M9" i="251"/>
  <c r="N9" i="251" s="1"/>
  <c r="R8" i="251"/>
  <c r="Q8" i="251"/>
  <c r="P8" i="251"/>
  <c r="N8" i="251"/>
  <c r="R7" i="251"/>
  <c r="Q7" i="251"/>
  <c r="P7" i="251"/>
  <c r="N7" i="251"/>
  <c r="M7" i="251"/>
  <c r="R6" i="251"/>
  <c r="Q6" i="251"/>
  <c r="P6" i="251"/>
  <c r="N6" i="251"/>
  <c r="M6" i="251"/>
  <c r="Q5" i="251"/>
  <c r="R5" i="251" s="1"/>
  <c r="P5" i="251"/>
  <c r="M5" i="251"/>
  <c r="N5" i="251" s="1"/>
  <c r="R4" i="251"/>
  <c r="Q4" i="251"/>
  <c r="P4" i="251"/>
  <c r="M4" i="251"/>
  <c r="N4" i="251" s="1"/>
  <c r="R3" i="251"/>
  <c r="Q3" i="251"/>
  <c r="P3" i="251"/>
  <c r="N3" i="251"/>
  <c r="M3" i="251"/>
  <c r="Q2" i="251"/>
  <c r="R2" i="251" s="1"/>
  <c r="P2" i="251"/>
  <c r="N2" i="251"/>
  <c r="M2" i="251"/>
  <c r="Q19" i="249"/>
  <c r="R19" i="249" s="1"/>
  <c r="P19" i="249"/>
  <c r="M19" i="249"/>
  <c r="N19" i="249" s="1"/>
  <c r="Q18" i="249"/>
  <c r="R18" i="249" s="1"/>
  <c r="P18" i="249"/>
  <c r="M18" i="249"/>
  <c r="N18" i="249" s="1"/>
  <c r="R17" i="249"/>
  <c r="Q17" i="249"/>
  <c r="P17" i="249"/>
  <c r="M17" i="249"/>
  <c r="N17" i="249" s="1"/>
  <c r="R16" i="249"/>
  <c r="Q16" i="249"/>
  <c r="P16" i="249"/>
  <c r="N16" i="249"/>
  <c r="M16" i="249"/>
  <c r="R15" i="249"/>
  <c r="Q15" i="249"/>
  <c r="P15" i="249"/>
  <c r="N15" i="249"/>
  <c r="M15" i="249"/>
  <c r="Q14" i="249"/>
  <c r="R14" i="249" s="1"/>
  <c r="P14" i="249"/>
  <c r="N14" i="249"/>
  <c r="M14" i="249"/>
  <c r="Q13" i="249"/>
  <c r="R13" i="249" s="1"/>
  <c r="P13" i="249"/>
  <c r="M13" i="249"/>
  <c r="N13" i="249" s="1"/>
  <c r="R12" i="249"/>
  <c r="Q12" i="249"/>
  <c r="P12" i="249"/>
  <c r="M12" i="249"/>
  <c r="N12" i="249" s="1"/>
  <c r="R11" i="249"/>
  <c r="Q11" i="249"/>
  <c r="P11" i="249"/>
  <c r="N11" i="249"/>
  <c r="M11" i="249"/>
  <c r="Q10" i="249"/>
  <c r="R10" i="249" s="1"/>
  <c r="P10" i="249"/>
  <c r="N10" i="249"/>
  <c r="M10" i="249"/>
  <c r="Q9" i="249"/>
  <c r="R9" i="249" s="1"/>
  <c r="P9" i="249"/>
  <c r="M9" i="249"/>
  <c r="N9" i="249" s="1"/>
  <c r="Q8" i="249"/>
  <c r="R8" i="249" s="1"/>
  <c r="P8" i="249"/>
  <c r="M8" i="249"/>
  <c r="N8" i="249" s="1"/>
  <c r="R7" i="249"/>
  <c r="Q7" i="249"/>
  <c r="P7" i="249"/>
  <c r="M7" i="249"/>
  <c r="N7" i="249" s="1"/>
  <c r="Q6" i="249"/>
  <c r="R6" i="249" s="1"/>
  <c r="P6" i="249"/>
  <c r="N6" i="249"/>
  <c r="M6" i="249"/>
  <c r="Q5" i="249"/>
  <c r="R5" i="249" s="1"/>
  <c r="P5" i="249"/>
  <c r="M5" i="249"/>
  <c r="N5" i="249" s="1"/>
  <c r="Q4" i="249"/>
  <c r="R4" i="249" s="1"/>
  <c r="P4" i="249"/>
  <c r="M4" i="249"/>
  <c r="N4" i="249" s="1"/>
  <c r="R3" i="249"/>
  <c r="Q3" i="249"/>
  <c r="P3" i="249"/>
  <c r="M3" i="249"/>
  <c r="N3" i="249" s="1"/>
  <c r="Q2" i="249"/>
  <c r="R2" i="249" s="1"/>
  <c r="P2" i="249"/>
  <c r="N2" i="249"/>
  <c r="M2" i="249"/>
  <c r="Q95" i="247"/>
  <c r="R95" i="247" s="1"/>
  <c r="P95" i="247"/>
  <c r="M95" i="247"/>
  <c r="N95" i="247" s="1"/>
  <c r="Q94" i="247"/>
  <c r="R94" i="247" s="1"/>
  <c r="P94" i="247"/>
  <c r="M94" i="247"/>
  <c r="N94" i="247" s="1"/>
  <c r="R93" i="247"/>
  <c r="Q93" i="247"/>
  <c r="P93" i="247"/>
  <c r="M93" i="247"/>
  <c r="N93" i="247" s="1"/>
  <c r="R92" i="247"/>
  <c r="Q92" i="247"/>
  <c r="P92" i="247"/>
  <c r="N92" i="247"/>
  <c r="M92" i="247"/>
  <c r="R91" i="247"/>
  <c r="Q91" i="247"/>
  <c r="P91" i="247"/>
  <c r="N91" i="247"/>
  <c r="M91" i="247"/>
  <c r="Q90" i="247"/>
  <c r="R90" i="247" s="1"/>
  <c r="P90" i="247"/>
  <c r="N90" i="247"/>
  <c r="M90" i="247"/>
  <c r="Q89" i="247"/>
  <c r="R89" i="247" s="1"/>
  <c r="P89" i="247"/>
  <c r="M89" i="247"/>
  <c r="N89" i="247" s="1"/>
  <c r="R88" i="247"/>
  <c r="Q88" i="247"/>
  <c r="P88" i="247"/>
  <c r="M88" i="247"/>
  <c r="N88" i="247" s="1"/>
  <c r="R87" i="247"/>
  <c r="Q87" i="247"/>
  <c r="P87" i="247"/>
  <c r="N87" i="247"/>
  <c r="M87" i="247"/>
  <c r="Q86" i="247"/>
  <c r="R86" i="247" s="1"/>
  <c r="P86" i="247"/>
  <c r="N86" i="247"/>
  <c r="M86" i="247"/>
  <c r="Q85" i="247"/>
  <c r="R85" i="247" s="1"/>
  <c r="P85" i="247"/>
  <c r="M85" i="247"/>
  <c r="N85" i="247" s="1"/>
  <c r="R84" i="247"/>
  <c r="Q84" i="247"/>
  <c r="P84" i="247"/>
  <c r="M84" i="247"/>
  <c r="N84" i="247" s="1"/>
  <c r="R83" i="247"/>
  <c r="Q83" i="247"/>
  <c r="P83" i="247"/>
  <c r="M83" i="247"/>
  <c r="N83" i="247" s="1"/>
  <c r="Q82" i="247"/>
  <c r="R82" i="247" s="1"/>
  <c r="P82" i="247"/>
  <c r="N82" i="247"/>
  <c r="M82" i="247"/>
  <c r="Q81" i="247"/>
  <c r="R81" i="247" s="1"/>
  <c r="P81" i="247"/>
  <c r="M81" i="247"/>
  <c r="N81" i="247" s="1"/>
  <c r="Q80" i="247"/>
  <c r="R80" i="247" s="1"/>
  <c r="P80" i="247"/>
  <c r="M80" i="247"/>
  <c r="N80" i="247" s="1"/>
  <c r="R79" i="247"/>
  <c r="Q79" i="247"/>
  <c r="P79" i="247"/>
  <c r="M79" i="247"/>
  <c r="N79" i="247" s="1"/>
  <c r="Q78" i="247"/>
  <c r="R78" i="247" s="1"/>
  <c r="P78" i="247"/>
  <c r="N78" i="247"/>
  <c r="M78" i="247"/>
  <c r="Q77" i="247"/>
  <c r="R77" i="247" s="1"/>
  <c r="P77" i="247"/>
  <c r="M77" i="247"/>
  <c r="N77" i="247" s="1"/>
  <c r="Q76" i="247"/>
  <c r="R76" i="247" s="1"/>
  <c r="P76" i="247"/>
  <c r="M76" i="247"/>
  <c r="N76" i="247" s="1"/>
  <c r="R75" i="247"/>
  <c r="Q75" i="247"/>
  <c r="P75" i="247"/>
  <c r="M75" i="247"/>
  <c r="N75" i="247" s="1"/>
  <c r="Q74" i="247"/>
  <c r="R74" i="247" s="1"/>
  <c r="P74" i="247"/>
  <c r="N74" i="247"/>
  <c r="M74" i="247"/>
  <c r="Q73" i="247"/>
  <c r="R73" i="247" s="1"/>
  <c r="P73" i="247"/>
  <c r="M73" i="247"/>
  <c r="N73" i="247" s="1"/>
  <c r="Q72" i="247"/>
  <c r="R72" i="247" s="1"/>
  <c r="P72" i="247"/>
  <c r="M72" i="247"/>
  <c r="N72" i="247" s="1"/>
  <c r="R71" i="247"/>
  <c r="Q71" i="247"/>
  <c r="P71" i="247"/>
  <c r="N71" i="247"/>
  <c r="R70" i="247"/>
  <c r="Q70" i="247"/>
  <c r="P70" i="247"/>
  <c r="N70" i="247"/>
  <c r="R69" i="247"/>
  <c r="Q69" i="247"/>
  <c r="P69" i="247"/>
  <c r="M69" i="247"/>
  <c r="N69" i="247" s="1"/>
  <c r="Q68" i="247"/>
  <c r="R68" i="247" s="1"/>
  <c r="P68" i="247"/>
  <c r="N68" i="247"/>
  <c r="M68" i="247"/>
  <c r="Q67" i="247"/>
  <c r="R67" i="247" s="1"/>
  <c r="P67" i="247"/>
  <c r="N67" i="247"/>
  <c r="Q66" i="247"/>
  <c r="R66" i="247" s="1"/>
  <c r="P66" i="247"/>
  <c r="M66" i="247"/>
  <c r="N66" i="247" s="1"/>
  <c r="Q65" i="247"/>
  <c r="R65" i="247" s="1"/>
  <c r="P65" i="247"/>
  <c r="M65" i="247"/>
  <c r="N65" i="247" s="1"/>
  <c r="R64" i="247"/>
  <c r="Q64" i="247"/>
  <c r="P64" i="247"/>
  <c r="M64" i="247"/>
  <c r="N64" i="247" s="1"/>
  <c r="Q63" i="247"/>
  <c r="R63" i="247" s="1"/>
  <c r="P63" i="247"/>
  <c r="N63" i="247"/>
  <c r="M63" i="247"/>
  <c r="Q62" i="247"/>
  <c r="R62" i="247" s="1"/>
  <c r="P62" i="247"/>
  <c r="M62" i="247"/>
  <c r="N62" i="247" s="1"/>
  <c r="Q61" i="247"/>
  <c r="R61" i="247" s="1"/>
  <c r="P61" i="247"/>
  <c r="M61" i="247"/>
  <c r="N61" i="247" s="1"/>
  <c r="R60" i="247"/>
  <c r="Q60" i="247"/>
  <c r="P60" i="247"/>
  <c r="M60" i="247"/>
  <c r="N60" i="247" s="1"/>
  <c r="Q59" i="247"/>
  <c r="R59" i="247" s="1"/>
  <c r="P59" i="247"/>
  <c r="N59" i="247"/>
  <c r="M59" i="247"/>
  <c r="Q58" i="247"/>
  <c r="R58" i="247" s="1"/>
  <c r="P58" i="247"/>
  <c r="M58" i="247"/>
  <c r="N58" i="247" s="1"/>
  <c r="Q57" i="247"/>
  <c r="R57" i="247" s="1"/>
  <c r="P57" i="247"/>
  <c r="M57" i="247"/>
  <c r="N57" i="247" s="1"/>
  <c r="R56" i="247"/>
  <c r="Q56" i="247"/>
  <c r="P56" i="247"/>
  <c r="M56" i="247"/>
  <c r="N56" i="247" s="1"/>
  <c r="Q55" i="247"/>
  <c r="R55" i="247" s="1"/>
  <c r="P55" i="247"/>
  <c r="N55" i="247"/>
  <c r="M55" i="247"/>
  <c r="R54" i="247"/>
  <c r="Q54" i="247"/>
  <c r="P54" i="247"/>
  <c r="M54" i="247"/>
  <c r="N54" i="247" s="1"/>
  <c r="Q53" i="247"/>
  <c r="R53" i="247" s="1"/>
  <c r="P53" i="247"/>
  <c r="N53" i="247"/>
  <c r="M53" i="247"/>
  <c r="R52" i="247"/>
  <c r="Q52" i="247"/>
  <c r="P52" i="247"/>
  <c r="M52" i="247"/>
  <c r="N52" i="247" s="1"/>
  <c r="Q51" i="247"/>
  <c r="R51" i="247" s="1"/>
  <c r="P51" i="247"/>
  <c r="N51" i="247"/>
  <c r="M51" i="247"/>
  <c r="R50" i="247"/>
  <c r="Q50" i="247"/>
  <c r="P50" i="247"/>
  <c r="M50" i="247"/>
  <c r="N50" i="247" s="1"/>
  <c r="Q49" i="247"/>
  <c r="R49" i="247" s="1"/>
  <c r="P49" i="247"/>
  <c r="N49" i="247"/>
  <c r="M49" i="247"/>
  <c r="R48" i="247"/>
  <c r="Q48" i="247"/>
  <c r="P48" i="247"/>
  <c r="M48" i="247"/>
  <c r="N48" i="247" s="1"/>
  <c r="Q47" i="247"/>
  <c r="R47" i="247" s="1"/>
  <c r="P47" i="247"/>
  <c r="N47" i="247"/>
  <c r="M47" i="247"/>
  <c r="R46" i="247"/>
  <c r="Q46" i="247"/>
  <c r="P46" i="247"/>
  <c r="M46" i="247"/>
  <c r="N46" i="247" s="1"/>
  <c r="Q45" i="247"/>
  <c r="R45" i="247" s="1"/>
  <c r="P45" i="247"/>
  <c r="N45" i="247"/>
  <c r="M45" i="247"/>
  <c r="R44" i="247"/>
  <c r="Q44" i="247"/>
  <c r="P44" i="247"/>
  <c r="M44" i="247"/>
  <c r="N44" i="247" s="1"/>
  <c r="Q43" i="247"/>
  <c r="R43" i="247" s="1"/>
  <c r="P43" i="247"/>
  <c r="N43" i="247"/>
  <c r="M43" i="247"/>
  <c r="R42" i="247"/>
  <c r="Q42" i="247"/>
  <c r="P42" i="247"/>
  <c r="M42" i="247"/>
  <c r="N42" i="247" s="1"/>
  <c r="Q41" i="247"/>
  <c r="R41" i="247" s="1"/>
  <c r="P41" i="247"/>
  <c r="N41" i="247"/>
  <c r="M41" i="247"/>
  <c r="R40" i="247"/>
  <c r="Q40" i="247"/>
  <c r="P40" i="247"/>
  <c r="M40" i="247"/>
  <c r="N40" i="247" s="1"/>
  <c r="Q39" i="247"/>
  <c r="R39" i="247" s="1"/>
  <c r="P39" i="247"/>
  <c r="N39" i="247"/>
  <c r="M39" i="247"/>
  <c r="R38" i="247"/>
  <c r="Q38" i="247"/>
  <c r="P38" i="247"/>
  <c r="M38" i="247"/>
  <c r="N38" i="247" s="1"/>
  <c r="Q37" i="247"/>
  <c r="R37" i="247" s="1"/>
  <c r="P37" i="247"/>
  <c r="N37" i="247"/>
  <c r="M37" i="247"/>
  <c r="R36" i="247"/>
  <c r="Q36" i="247"/>
  <c r="P36" i="247"/>
  <c r="M36" i="247"/>
  <c r="N36" i="247" s="1"/>
  <c r="Q35" i="247"/>
  <c r="R35" i="247" s="1"/>
  <c r="P35" i="247"/>
  <c r="N35" i="247"/>
  <c r="M35" i="247"/>
  <c r="R34" i="247"/>
  <c r="Q34" i="247"/>
  <c r="P34" i="247"/>
  <c r="M34" i="247"/>
  <c r="N34" i="247" s="1"/>
  <c r="Q33" i="247"/>
  <c r="R33" i="247" s="1"/>
  <c r="P33" i="247"/>
  <c r="N33" i="247"/>
  <c r="M33" i="247"/>
  <c r="R32" i="247"/>
  <c r="Q32" i="247"/>
  <c r="P32" i="247"/>
  <c r="M32" i="247"/>
  <c r="N32" i="247" s="1"/>
  <c r="Q31" i="247"/>
  <c r="R31" i="247" s="1"/>
  <c r="P31" i="247"/>
  <c r="N31" i="247"/>
  <c r="M31" i="247"/>
  <c r="R30" i="247"/>
  <c r="Q30" i="247"/>
  <c r="P30" i="247"/>
  <c r="M30" i="247"/>
  <c r="N30" i="247" s="1"/>
  <c r="Q29" i="247"/>
  <c r="R29" i="247" s="1"/>
  <c r="P29" i="247"/>
  <c r="N29" i="247"/>
  <c r="M29" i="247"/>
  <c r="R28" i="247"/>
  <c r="Q28" i="247"/>
  <c r="P28" i="247"/>
  <c r="M28" i="247"/>
  <c r="N28" i="247" s="1"/>
  <c r="Q27" i="247"/>
  <c r="R27" i="247" s="1"/>
  <c r="P27" i="247"/>
  <c r="N27" i="247"/>
  <c r="M27" i="247"/>
  <c r="R26" i="247"/>
  <c r="Q26" i="247"/>
  <c r="P26" i="247"/>
  <c r="M26" i="247"/>
  <c r="N26" i="247" s="1"/>
  <c r="Q25" i="247"/>
  <c r="R25" i="247" s="1"/>
  <c r="P25" i="247"/>
  <c r="N25" i="247"/>
  <c r="M25" i="247"/>
  <c r="R24" i="247"/>
  <c r="Q24" i="247"/>
  <c r="P24" i="247"/>
  <c r="M24" i="247"/>
  <c r="N24" i="247" s="1"/>
  <c r="Q23" i="247"/>
  <c r="R23" i="247" s="1"/>
  <c r="P23" i="247"/>
  <c r="N23" i="247"/>
  <c r="M23" i="247"/>
  <c r="R22" i="247"/>
  <c r="Q22" i="247"/>
  <c r="P22" i="247"/>
  <c r="M22" i="247"/>
  <c r="N22" i="247" s="1"/>
  <c r="Q21" i="247"/>
  <c r="R21" i="247" s="1"/>
  <c r="P21" i="247"/>
  <c r="N21" i="247"/>
  <c r="M21" i="247"/>
  <c r="R20" i="247"/>
  <c r="Q20" i="247"/>
  <c r="P20" i="247"/>
  <c r="M20" i="247"/>
  <c r="N20" i="247" s="1"/>
  <c r="Q19" i="247"/>
  <c r="R19" i="247" s="1"/>
  <c r="P19" i="247"/>
  <c r="N19" i="247"/>
  <c r="M19" i="247"/>
  <c r="R18" i="247"/>
  <c r="Q18" i="247"/>
  <c r="P18" i="247"/>
  <c r="M18" i="247"/>
  <c r="N18" i="247" s="1"/>
  <c r="Q17" i="247"/>
  <c r="R17" i="247" s="1"/>
  <c r="P17" i="247"/>
  <c r="N17" i="247"/>
  <c r="M17" i="247"/>
  <c r="R16" i="247"/>
  <c r="Q16" i="247"/>
  <c r="P16" i="247"/>
  <c r="M16" i="247"/>
  <c r="N16" i="247" s="1"/>
  <c r="Q15" i="247"/>
  <c r="R15" i="247" s="1"/>
  <c r="P15" i="247"/>
  <c r="N15" i="247"/>
  <c r="M15" i="247"/>
  <c r="R14" i="247"/>
  <c r="Q14" i="247"/>
  <c r="P14" i="247"/>
  <c r="M14" i="247"/>
  <c r="N14" i="247" s="1"/>
  <c r="Q13" i="247"/>
  <c r="R13" i="247" s="1"/>
  <c r="P13" i="247"/>
  <c r="N13" i="247"/>
  <c r="M13" i="247"/>
  <c r="R12" i="247"/>
  <c r="Q12" i="247"/>
  <c r="P12" i="247"/>
  <c r="M12" i="247"/>
  <c r="N12" i="247" s="1"/>
  <c r="Q11" i="247"/>
  <c r="R11" i="247" s="1"/>
  <c r="P11" i="247"/>
  <c r="N11" i="247"/>
  <c r="M11" i="247"/>
  <c r="R10" i="247"/>
  <c r="Q10" i="247"/>
  <c r="P10" i="247"/>
  <c r="M10" i="247"/>
  <c r="N10" i="247" s="1"/>
  <c r="Q9" i="247"/>
  <c r="R9" i="247" s="1"/>
  <c r="P9" i="247"/>
  <c r="N9" i="247"/>
  <c r="M9" i="247"/>
  <c r="R8" i="247"/>
  <c r="Q8" i="247"/>
  <c r="P8" i="247"/>
  <c r="M8" i="247"/>
  <c r="N8" i="247" s="1"/>
  <c r="Q7" i="247"/>
  <c r="R7" i="247" s="1"/>
  <c r="P7" i="247"/>
  <c r="N7" i="247"/>
  <c r="M7" i="247"/>
  <c r="R6" i="247"/>
  <c r="Q6" i="247"/>
  <c r="P6" i="247"/>
  <c r="M6" i="247"/>
  <c r="N6" i="247" s="1"/>
  <c r="Q5" i="247"/>
  <c r="R5" i="247" s="1"/>
  <c r="P5" i="247"/>
  <c r="N5" i="247"/>
  <c r="M5" i="247"/>
  <c r="R4" i="247"/>
  <c r="Q4" i="247"/>
  <c r="P4" i="247"/>
  <c r="M4" i="247"/>
  <c r="N4" i="247" s="1"/>
  <c r="Q3" i="247"/>
  <c r="R3" i="247" s="1"/>
  <c r="P3" i="247"/>
  <c r="N3" i="247"/>
  <c r="M3" i="247"/>
  <c r="Q2" i="247"/>
  <c r="R2" i="247" s="1"/>
  <c r="P2" i="247"/>
  <c r="M2" i="247"/>
  <c r="N2" i="247" s="1"/>
  <c r="Q98" i="245"/>
  <c r="R98" i="245" s="1"/>
  <c r="P98" i="245"/>
  <c r="M98" i="245"/>
  <c r="N98" i="245" s="1"/>
  <c r="Q97" i="245"/>
  <c r="R97" i="245" s="1"/>
  <c r="P97" i="245"/>
  <c r="M97" i="245"/>
  <c r="N97" i="245" s="1"/>
  <c r="R96" i="245"/>
  <c r="Q96" i="245"/>
  <c r="P96" i="245"/>
  <c r="M96" i="245"/>
  <c r="N96" i="245" s="1"/>
  <c r="R95" i="245"/>
  <c r="Q95" i="245"/>
  <c r="P95" i="245"/>
  <c r="N95" i="245"/>
  <c r="M95" i="245"/>
  <c r="R94" i="245"/>
  <c r="Q94" i="245"/>
  <c r="P94" i="245"/>
  <c r="N94" i="245"/>
  <c r="M94" i="245"/>
  <c r="Q93" i="245"/>
  <c r="R93" i="245" s="1"/>
  <c r="P93" i="245"/>
  <c r="N93" i="245"/>
  <c r="M93" i="245"/>
  <c r="R92" i="245"/>
  <c r="Q92" i="245"/>
  <c r="P92" i="245"/>
  <c r="M92" i="245"/>
  <c r="N92" i="245" s="1"/>
  <c r="R91" i="245"/>
  <c r="Q91" i="245"/>
  <c r="P91" i="245"/>
  <c r="N91" i="245"/>
  <c r="M91" i="245"/>
  <c r="R90" i="245"/>
  <c r="Q90" i="245"/>
  <c r="P90" i="245"/>
  <c r="N90" i="245"/>
  <c r="M90" i="245"/>
  <c r="Q89" i="245"/>
  <c r="R89" i="245" s="1"/>
  <c r="P89" i="245"/>
  <c r="N89" i="245"/>
  <c r="M89" i="245"/>
  <c r="R88" i="245"/>
  <c r="Q88" i="245"/>
  <c r="P88" i="245"/>
  <c r="M88" i="245"/>
  <c r="N88" i="245" s="1"/>
  <c r="Q87" i="245"/>
  <c r="R87" i="245" s="1"/>
  <c r="P87" i="245"/>
  <c r="N87" i="245"/>
  <c r="M87" i="245"/>
  <c r="R86" i="245"/>
  <c r="Q86" i="245"/>
  <c r="P86" i="245"/>
  <c r="M86" i="245"/>
  <c r="N86" i="245" s="1"/>
  <c r="Q85" i="245"/>
  <c r="R85" i="245" s="1"/>
  <c r="P85" i="245"/>
  <c r="N85" i="245"/>
  <c r="M85" i="245"/>
  <c r="R84" i="245"/>
  <c r="Q84" i="245"/>
  <c r="P84" i="245"/>
  <c r="M84" i="245"/>
  <c r="N84" i="245" s="1"/>
  <c r="Q83" i="245"/>
  <c r="R83" i="245" s="1"/>
  <c r="P83" i="245"/>
  <c r="N83" i="245"/>
  <c r="M83" i="245"/>
  <c r="R82" i="245"/>
  <c r="Q82" i="245"/>
  <c r="P82" i="245"/>
  <c r="M82" i="245"/>
  <c r="N82" i="245" s="1"/>
  <c r="Q81" i="245"/>
  <c r="R81" i="245" s="1"/>
  <c r="P81" i="245"/>
  <c r="N81" i="245"/>
  <c r="M81" i="245"/>
  <c r="R80" i="245"/>
  <c r="Q80" i="245"/>
  <c r="P80" i="245"/>
  <c r="M80" i="245"/>
  <c r="N80" i="245" s="1"/>
  <c r="Q79" i="245"/>
  <c r="R79" i="245" s="1"/>
  <c r="P79" i="245"/>
  <c r="N79" i="245"/>
  <c r="M79" i="245"/>
  <c r="R78" i="245"/>
  <c r="Q78" i="245"/>
  <c r="P78" i="245"/>
  <c r="M78" i="245"/>
  <c r="N78" i="245" s="1"/>
  <c r="Q77" i="245"/>
  <c r="R77" i="245" s="1"/>
  <c r="P77" i="245"/>
  <c r="N77" i="245"/>
  <c r="M77" i="245"/>
  <c r="R76" i="245"/>
  <c r="Q76" i="245"/>
  <c r="P76" i="245"/>
  <c r="M76" i="245"/>
  <c r="N76" i="245" s="1"/>
  <c r="Q75" i="245"/>
  <c r="R75" i="245" s="1"/>
  <c r="P75" i="245"/>
  <c r="N75" i="245"/>
  <c r="M75" i="245"/>
  <c r="R74" i="245"/>
  <c r="Q74" i="245"/>
  <c r="P74" i="245"/>
  <c r="M74" i="245"/>
  <c r="N74" i="245" s="1"/>
  <c r="Q73" i="245"/>
  <c r="R73" i="245" s="1"/>
  <c r="P73" i="245"/>
  <c r="N73" i="245"/>
  <c r="Q72" i="245"/>
  <c r="R72" i="245" s="1"/>
  <c r="P72" i="245"/>
  <c r="N72" i="245"/>
  <c r="Q71" i="245"/>
  <c r="R71" i="245" s="1"/>
  <c r="P71" i="245"/>
  <c r="N71" i="245"/>
  <c r="Q70" i="245"/>
  <c r="R70" i="245" s="1"/>
  <c r="P70" i="245"/>
  <c r="N70" i="245"/>
  <c r="Q69" i="245"/>
  <c r="R69" i="245" s="1"/>
  <c r="P69" i="245"/>
  <c r="N69" i="245"/>
  <c r="Q68" i="245"/>
  <c r="R68" i="245" s="1"/>
  <c r="P68" i="245"/>
  <c r="N68" i="245"/>
  <c r="Q67" i="245"/>
  <c r="R67" i="245" s="1"/>
  <c r="P67" i="245"/>
  <c r="N67" i="245"/>
  <c r="M67" i="245"/>
  <c r="R66" i="245"/>
  <c r="Q66" i="245"/>
  <c r="P66" i="245"/>
  <c r="M66" i="245"/>
  <c r="N66" i="245" s="1"/>
  <c r="Q65" i="245"/>
  <c r="R65" i="245" s="1"/>
  <c r="P65" i="245"/>
  <c r="N65" i="245"/>
  <c r="M65" i="245"/>
  <c r="R64" i="245"/>
  <c r="Q64" i="245"/>
  <c r="P64" i="245"/>
  <c r="M64" i="245"/>
  <c r="N64" i="245" s="1"/>
  <c r="Q63" i="245"/>
  <c r="R63" i="245" s="1"/>
  <c r="P63" i="245"/>
  <c r="N63" i="245"/>
  <c r="M63" i="245"/>
  <c r="R62" i="245"/>
  <c r="Q62" i="245"/>
  <c r="P62" i="245"/>
  <c r="M62" i="245"/>
  <c r="N62" i="245" s="1"/>
  <c r="Q61" i="245"/>
  <c r="R61" i="245" s="1"/>
  <c r="P61" i="245"/>
  <c r="N61" i="245"/>
  <c r="M61" i="245"/>
  <c r="R60" i="245"/>
  <c r="Q60" i="245"/>
  <c r="P60" i="245"/>
  <c r="M60" i="245"/>
  <c r="N60" i="245" s="1"/>
  <c r="Q59" i="245"/>
  <c r="R59" i="245" s="1"/>
  <c r="P59" i="245"/>
  <c r="N59" i="245"/>
  <c r="M59" i="245"/>
  <c r="R58" i="245"/>
  <c r="Q58" i="245"/>
  <c r="P58" i="245"/>
  <c r="M58" i="245"/>
  <c r="N58" i="245" s="1"/>
  <c r="Q57" i="245"/>
  <c r="R57" i="245" s="1"/>
  <c r="P57" i="245"/>
  <c r="N57" i="245"/>
  <c r="M57" i="245"/>
  <c r="R56" i="245"/>
  <c r="Q56" i="245"/>
  <c r="P56" i="245"/>
  <c r="M56" i="245"/>
  <c r="N56" i="245" s="1"/>
  <c r="Q55" i="245"/>
  <c r="R55" i="245" s="1"/>
  <c r="P55" i="245"/>
  <c r="N55" i="245"/>
  <c r="M55" i="245"/>
  <c r="R54" i="245"/>
  <c r="Q54" i="245"/>
  <c r="P54" i="245"/>
  <c r="M54" i="245"/>
  <c r="N54" i="245" s="1"/>
  <c r="Q53" i="245"/>
  <c r="R53" i="245" s="1"/>
  <c r="P53" i="245"/>
  <c r="N53" i="245"/>
  <c r="M53" i="245"/>
  <c r="R52" i="245"/>
  <c r="Q52" i="245"/>
  <c r="P52" i="245"/>
  <c r="M52" i="245"/>
  <c r="N52" i="245" s="1"/>
  <c r="Q51" i="245"/>
  <c r="R51" i="245" s="1"/>
  <c r="P51" i="245"/>
  <c r="N51" i="245"/>
  <c r="M51" i="245"/>
  <c r="R50" i="245"/>
  <c r="Q50" i="245"/>
  <c r="P50" i="245"/>
  <c r="M50" i="245"/>
  <c r="N50" i="245" s="1"/>
  <c r="Q49" i="245"/>
  <c r="R49" i="245" s="1"/>
  <c r="P49" i="245"/>
  <c r="N49" i="245"/>
  <c r="M49" i="245"/>
  <c r="R48" i="245"/>
  <c r="Q48" i="245"/>
  <c r="P48" i="245"/>
  <c r="M48" i="245"/>
  <c r="N48" i="245" s="1"/>
  <c r="Q47" i="245"/>
  <c r="R47" i="245" s="1"/>
  <c r="P47" i="245"/>
  <c r="N47" i="245"/>
  <c r="M47" i="245"/>
  <c r="R46" i="245"/>
  <c r="Q46" i="245"/>
  <c r="P46" i="245"/>
  <c r="M46" i="245"/>
  <c r="N46" i="245" s="1"/>
  <c r="Q45" i="245"/>
  <c r="R45" i="245" s="1"/>
  <c r="P45" i="245"/>
  <c r="N45" i="245"/>
  <c r="M45" i="245"/>
  <c r="R44" i="245"/>
  <c r="Q44" i="245"/>
  <c r="P44" i="245"/>
  <c r="M44" i="245"/>
  <c r="N44" i="245" s="1"/>
  <c r="Q43" i="245"/>
  <c r="R43" i="245" s="1"/>
  <c r="P43" i="245"/>
  <c r="N43" i="245"/>
  <c r="M43" i="245"/>
  <c r="R42" i="245"/>
  <c r="Q42" i="245"/>
  <c r="P42" i="245"/>
  <c r="M42" i="245"/>
  <c r="N42" i="245" s="1"/>
  <c r="Q41" i="245"/>
  <c r="R41" i="245" s="1"/>
  <c r="P41" i="245"/>
  <c r="N41" i="245"/>
  <c r="M41" i="245"/>
  <c r="R40" i="245"/>
  <c r="Q40" i="245"/>
  <c r="P40" i="245"/>
  <c r="M40" i="245"/>
  <c r="N40" i="245" s="1"/>
  <c r="Q39" i="245"/>
  <c r="R39" i="245" s="1"/>
  <c r="P39" i="245"/>
  <c r="N39" i="245"/>
  <c r="M39" i="245"/>
  <c r="R38" i="245"/>
  <c r="Q38" i="245"/>
  <c r="P38" i="245"/>
  <c r="M38" i="245"/>
  <c r="N38" i="245" s="1"/>
  <c r="Q37" i="245"/>
  <c r="R37" i="245" s="1"/>
  <c r="P37" i="245"/>
  <c r="N37" i="245"/>
  <c r="M37" i="245"/>
  <c r="R36" i="245"/>
  <c r="Q36" i="245"/>
  <c r="P36" i="245"/>
  <c r="M36" i="245"/>
  <c r="N36" i="245" s="1"/>
  <c r="Q35" i="245"/>
  <c r="R35" i="245" s="1"/>
  <c r="P35" i="245"/>
  <c r="N35" i="245"/>
  <c r="M35" i="245"/>
  <c r="R34" i="245"/>
  <c r="Q34" i="245"/>
  <c r="P34" i="245"/>
  <c r="M34" i="245"/>
  <c r="N34" i="245" s="1"/>
  <c r="Q33" i="245"/>
  <c r="R33" i="245" s="1"/>
  <c r="P33" i="245"/>
  <c r="N33" i="245"/>
  <c r="M33" i="245"/>
  <c r="R32" i="245"/>
  <c r="Q32" i="245"/>
  <c r="P32" i="245"/>
  <c r="M32" i="245"/>
  <c r="N32" i="245" s="1"/>
  <c r="Q31" i="245"/>
  <c r="R31" i="245" s="1"/>
  <c r="P31" i="245"/>
  <c r="N31" i="245"/>
  <c r="M31" i="245"/>
  <c r="R30" i="245"/>
  <c r="Q30" i="245"/>
  <c r="P30" i="245"/>
  <c r="M30" i="245"/>
  <c r="N30" i="245" s="1"/>
  <c r="Q29" i="245"/>
  <c r="R29" i="245" s="1"/>
  <c r="P29" i="245"/>
  <c r="N29" i="245"/>
  <c r="M29" i="245"/>
  <c r="R28" i="245"/>
  <c r="Q28" i="245"/>
  <c r="P28" i="245"/>
  <c r="M28" i="245"/>
  <c r="N28" i="245" s="1"/>
  <c r="Q27" i="245"/>
  <c r="R27" i="245" s="1"/>
  <c r="P27" i="245"/>
  <c r="N27" i="245"/>
  <c r="M27" i="245"/>
  <c r="R26" i="245"/>
  <c r="Q26" i="245"/>
  <c r="P26" i="245"/>
  <c r="M26" i="245"/>
  <c r="N26" i="245" s="1"/>
  <c r="Q25" i="245"/>
  <c r="R25" i="245" s="1"/>
  <c r="P25" i="245"/>
  <c r="N25" i="245"/>
  <c r="M25" i="245"/>
  <c r="R24" i="245"/>
  <c r="Q24" i="245"/>
  <c r="P24" i="245"/>
  <c r="M24" i="245"/>
  <c r="N24" i="245" s="1"/>
  <c r="Q23" i="245"/>
  <c r="R23" i="245" s="1"/>
  <c r="P23" i="245"/>
  <c r="N23" i="245"/>
  <c r="M23" i="245"/>
  <c r="R22" i="245"/>
  <c r="Q22" i="245"/>
  <c r="P22" i="245"/>
  <c r="M22" i="245"/>
  <c r="N22" i="245" s="1"/>
  <c r="Q21" i="245"/>
  <c r="R21" i="245" s="1"/>
  <c r="P21" i="245"/>
  <c r="N21" i="245"/>
  <c r="M21" i="245"/>
  <c r="R20" i="245"/>
  <c r="Q20" i="245"/>
  <c r="P20" i="245"/>
  <c r="M20" i="245"/>
  <c r="N20" i="245" s="1"/>
  <c r="Q19" i="245"/>
  <c r="R19" i="245" s="1"/>
  <c r="P19" i="245"/>
  <c r="N19" i="245"/>
  <c r="M19" i="245"/>
  <c r="R18" i="245"/>
  <c r="Q18" i="245"/>
  <c r="P18" i="245"/>
  <c r="M18" i="245"/>
  <c r="N18" i="245" s="1"/>
  <c r="Q17" i="245"/>
  <c r="R17" i="245" s="1"/>
  <c r="P17" i="245"/>
  <c r="N17" i="245"/>
  <c r="M17" i="245"/>
  <c r="R16" i="245"/>
  <c r="Q16" i="245"/>
  <c r="P16" i="245"/>
  <c r="M16" i="245"/>
  <c r="N16" i="245" s="1"/>
  <c r="Q15" i="245"/>
  <c r="R15" i="245" s="1"/>
  <c r="P15" i="245"/>
  <c r="N15" i="245"/>
  <c r="M15" i="245"/>
  <c r="R14" i="245"/>
  <c r="Q14" i="245"/>
  <c r="P14" i="245"/>
  <c r="M14" i="245"/>
  <c r="N14" i="245" s="1"/>
  <c r="Q13" i="245"/>
  <c r="R13" i="245" s="1"/>
  <c r="P13" i="245"/>
  <c r="N13" i="245"/>
  <c r="M13" i="245"/>
  <c r="R12" i="245"/>
  <c r="Q12" i="245"/>
  <c r="P12" i="245"/>
  <c r="M12" i="245"/>
  <c r="N12" i="245" s="1"/>
  <c r="Q11" i="245"/>
  <c r="R11" i="245" s="1"/>
  <c r="P11" i="245"/>
  <c r="N11" i="245"/>
  <c r="M11" i="245"/>
  <c r="R10" i="245"/>
  <c r="Q10" i="245"/>
  <c r="P10" i="245"/>
  <c r="M10" i="245"/>
  <c r="N10" i="245" s="1"/>
  <c r="Q9" i="245"/>
  <c r="R9" i="245" s="1"/>
  <c r="P9" i="245"/>
  <c r="N9" i="245"/>
  <c r="M9" i="245"/>
  <c r="R8" i="245"/>
  <c r="Q8" i="245"/>
  <c r="P8" i="245"/>
  <c r="M8" i="245"/>
  <c r="N8" i="245" s="1"/>
  <c r="Q7" i="245"/>
  <c r="R7" i="245" s="1"/>
  <c r="P7" i="245"/>
  <c r="N7" i="245"/>
  <c r="M7" i="245"/>
  <c r="R6" i="245"/>
  <c r="Q6" i="245"/>
  <c r="P6" i="245"/>
  <c r="M6" i="245"/>
  <c r="N6" i="245" s="1"/>
  <c r="Q5" i="245"/>
  <c r="R5" i="245" s="1"/>
  <c r="P5" i="245"/>
  <c r="N5" i="245"/>
  <c r="M5" i="245"/>
  <c r="R4" i="245"/>
  <c r="Q4" i="245"/>
  <c r="P4" i="245"/>
  <c r="M4" i="245"/>
  <c r="N4" i="245" s="1"/>
  <c r="Q3" i="245"/>
  <c r="R3" i="245" s="1"/>
  <c r="P3" i="245"/>
  <c r="N3" i="245"/>
  <c r="M3" i="245"/>
  <c r="Q2" i="245"/>
  <c r="R2" i="245" s="1"/>
  <c r="P2" i="245"/>
  <c r="M2" i="245"/>
  <c r="N2" i="245" s="1"/>
  <c r="Q169" i="244"/>
  <c r="R169" i="244" s="1"/>
  <c r="P169" i="244"/>
  <c r="M169" i="244"/>
  <c r="N169" i="244" s="1"/>
  <c r="Q168" i="244"/>
  <c r="R168" i="244" s="1"/>
  <c r="P168" i="244"/>
  <c r="M168" i="244"/>
  <c r="N168" i="244" s="1"/>
  <c r="R167" i="244"/>
  <c r="Q167" i="244"/>
  <c r="P167" i="244"/>
  <c r="M167" i="244"/>
  <c r="N167" i="244" s="1"/>
  <c r="R166" i="244"/>
  <c r="Q166" i="244"/>
  <c r="P166" i="244"/>
  <c r="N166" i="244"/>
  <c r="M166" i="244"/>
  <c r="R165" i="244"/>
  <c r="Q165" i="244"/>
  <c r="P165" i="244"/>
  <c r="N165" i="244"/>
  <c r="M165" i="244"/>
  <c r="Q164" i="244"/>
  <c r="R164" i="244" s="1"/>
  <c r="P164" i="244"/>
  <c r="N164" i="244"/>
  <c r="M164" i="244"/>
  <c r="Q163" i="244"/>
  <c r="R163" i="244" s="1"/>
  <c r="P163" i="244"/>
  <c r="M163" i="244"/>
  <c r="N163" i="244" s="1"/>
  <c r="R162" i="244"/>
  <c r="Q162" i="244"/>
  <c r="P162" i="244"/>
  <c r="M162" i="244"/>
  <c r="N162" i="244" s="1"/>
  <c r="R161" i="244"/>
  <c r="Q161" i="244"/>
  <c r="P161" i="244"/>
  <c r="N161" i="244"/>
  <c r="M161" i="244"/>
  <c r="Q160" i="244"/>
  <c r="R160" i="244" s="1"/>
  <c r="P160" i="244"/>
  <c r="N160" i="244"/>
  <c r="M160" i="244"/>
  <c r="Q159" i="244"/>
  <c r="R159" i="244" s="1"/>
  <c r="P159" i="244"/>
  <c r="M159" i="244"/>
  <c r="N159" i="244" s="1"/>
  <c r="R158" i="244"/>
  <c r="Q158" i="244"/>
  <c r="P158" i="244"/>
  <c r="M158" i="244"/>
  <c r="N158" i="244" s="1"/>
  <c r="R157" i="244"/>
  <c r="Q157" i="244"/>
  <c r="P157" i="244"/>
  <c r="N157" i="244"/>
  <c r="M157" i="244"/>
  <c r="Q156" i="244"/>
  <c r="R156" i="244" s="1"/>
  <c r="P156" i="244"/>
  <c r="N156" i="244"/>
  <c r="M156" i="244"/>
  <c r="Q155" i="244"/>
  <c r="R155" i="244" s="1"/>
  <c r="P155" i="244"/>
  <c r="M155" i="244"/>
  <c r="N155" i="244" s="1"/>
  <c r="R154" i="244"/>
  <c r="Q154" i="244"/>
  <c r="P154" i="244"/>
  <c r="M154" i="244"/>
  <c r="N154" i="244" s="1"/>
  <c r="R153" i="244"/>
  <c r="Q153" i="244"/>
  <c r="P153" i="244"/>
  <c r="N153" i="244"/>
  <c r="M153" i="244"/>
  <c r="Q152" i="244"/>
  <c r="R152" i="244" s="1"/>
  <c r="P152" i="244"/>
  <c r="N152" i="244"/>
  <c r="M152" i="244"/>
  <c r="Q151" i="244"/>
  <c r="R151" i="244" s="1"/>
  <c r="P151" i="244"/>
  <c r="M151" i="244"/>
  <c r="N151" i="244" s="1"/>
  <c r="R150" i="244"/>
  <c r="Q150" i="244"/>
  <c r="P150" i="244"/>
  <c r="M150" i="244"/>
  <c r="N150" i="244" s="1"/>
  <c r="R149" i="244"/>
  <c r="Q149" i="244"/>
  <c r="P149" i="244"/>
  <c r="N149" i="244"/>
  <c r="M149" i="244"/>
  <c r="Q148" i="244"/>
  <c r="R148" i="244" s="1"/>
  <c r="P148" i="244"/>
  <c r="N148" i="244"/>
  <c r="M148" i="244"/>
  <c r="Q147" i="244"/>
  <c r="R147" i="244" s="1"/>
  <c r="P147" i="244"/>
  <c r="M147" i="244"/>
  <c r="N147" i="244" s="1"/>
  <c r="R146" i="244"/>
  <c r="Q146" i="244"/>
  <c r="P146" i="244"/>
  <c r="M146" i="244"/>
  <c r="N146" i="244" s="1"/>
  <c r="R145" i="244"/>
  <c r="Q145" i="244"/>
  <c r="P145" i="244"/>
  <c r="N145" i="244"/>
  <c r="M145" i="244"/>
  <c r="Q144" i="244"/>
  <c r="R144" i="244" s="1"/>
  <c r="P144" i="244"/>
  <c r="N144" i="244"/>
  <c r="M144" i="244"/>
  <c r="Q143" i="244"/>
  <c r="R143" i="244" s="1"/>
  <c r="P143" i="244"/>
  <c r="M143" i="244"/>
  <c r="N143" i="244" s="1"/>
  <c r="R142" i="244"/>
  <c r="Q142" i="244"/>
  <c r="P142" i="244"/>
  <c r="M142" i="244"/>
  <c r="N142" i="244" s="1"/>
  <c r="R141" i="244"/>
  <c r="Q141" i="244"/>
  <c r="P141" i="244"/>
  <c r="N141" i="244"/>
  <c r="M141" i="244"/>
  <c r="Q140" i="244"/>
  <c r="R140" i="244" s="1"/>
  <c r="P140" i="244"/>
  <c r="N140" i="244"/>
  <c r="M140" i="244"/>
  <c r="Q139" i="244"/>
  <c r="R139" i="244" s="1"/>
  <c r="P139" i="244"/>
  <c r="M139" i="244"/>
  <c r="N139" i="244" s="1"/>
  <c r="R138" i="244"/>
  <c r="Q138" i="244"/>
  <c r="P138" i="244"/>
  <c r="M138" i="244"/>
  <c r="N138" i="244" s="1"/>
  <c r="R137" i="244"/>
  <c r="Q137" i="244"/>
  <c r="P137" i="244"/>
  <c r="N137" i="244"/>
  <c r="M137" i="244"/>
  <c r="Q136" i="244"/>
  <c r="R136" i="244" s="1"/>
  <c r="P136" i="244"/>
  <c r="N136" i="244"/>
  <c r="M136" i="244"/>
  <c r="Q135" i="244"/>
  <c r="R135" i="244" s="1"/>
  <c r="P135" i="244"/>
  <c r="N135" i="244"/>
  <c r="Q134" i="244"/>
  <c r="R134" i="244" s="1"/>
  <c r="P134" i="244"/>
  <c r="M134" i="244"/>
  <c r="N134" i="244" s="1"/>
  <c r="R133" i="244"/>
  <c r="Q133" i="244"/>
  <c r="P133" i="244"/>
  <c r="N133" i="244"/>
  <c r="R132" i="244"/>
  <c r="Q132" i="244"/>
  <c r="P132" i="244"/>
  <c r="M132" i="244"/>
  <c r="N132" i="244" s="1"/>
  <c r="R131" i="244"/>
  <c r="Q131" i="244"/>
  <c r="P131" i="244"/>
  <c r="N131" i="244"/>
  <c r="R130" i="244"/>
  <c r="Q130" i="244"/>
  <c r="P130" i="244"/>
  <c r="N130" i="244"/>
  <c r="R129" i="244"/>
  <c r="Q129" i="244"/>
  <c r="P129" i="244"/>
  <c r="N129" i="244"/>
  <c r="R128" i="244"/>
  <c r="Q128" i="244"/>
  <c r="P128" i="244"/>
  <c r="N128" i="244"/>
  <c r="R127" i="244"/>
  <c r="Q127" i="244"/>
  <c r="P127" i="244"/>
  <c r="N127" i="244"/>
  <c r="M127" i="244"/>
  <c r="Q126" i="244"/>
  <c r="R126" i="244" s="1"/>
  <c r="P126" i="244"/>
  <c r="N126" i="244"/>
  <c r="M126" i="244"/>
  <c r="Q125" i="244"/>
  <c r="R125" i="244" s="1"/>
  <c r="P125" i="244"/>
  <c r="M125" i="244"/>
  <c r="N125" i="244" s="1"/>
  <c r="R124" i="244"/>
  <c r="Q124" i="244"/>
  <c r="P124" i="244"/>
  <c r="M124" i="244"/>
  <c r="N124" i="244" s="1"/>
  <c r="R123" i="244"/>
  <c r="Q123" i="244"/>
  <c r="P123" i="244"/>
  <c r="N123" i="244"/>
  <c r="M123" i="244"/>
  <c r="Q122" i="244"/>
  <c r="R122" i="244" s="1"/>
  <c r="P122" i="244"/>
  <c r="N122" i="244"/>
  <c r="M122" i="244"/>
  <c r="Q121" i="244"/>
  <c r="R121" i="244" s="1"/>
  <c r="P121" i="244"/>
  <c r="M121" i="244"/>
  <c r="N121" i="244" s="1"/>
  <c r="Q120" i="244"/>
  <c r="R120" i="244" s="1"/>
  <c r="P120" i="244"/>
  <c r="N120" i="244"/>
  <c r="R119" i="244"/>
  <c r="Q119" i="244"/>
  <c r="P119" i="244"/>
  <c r="M119" i="244"/>
  <c r="N119" i="244" s="1"/>
  <c r="R118" i="244"/>
  <c r="Q118" i="244"/>
  <c r="P118" i="244"/>
  <c r="N118" i="244"/>
  <c r="M118" i="244"/>
  <c r="Q117" i="244"/>
  <c r="R117" i="244" s="1"/>
  <c r="P117" i="244"/>
  <c r="N117" i="244"/>
  <c r="M117" i="244"/>
  <c r="Q116" i="244"/>
  <c r="R116" i="244" s="1"/>
  <c r="P116" i="244"/>
  <c r="M116" i="244"/>
  <c r="N116" i="244" s="1"/>
  <c r="R115" i="244"/>
  <c r="Q115" i="244"/>
  <c r="P115" i="244"/>
  <c r="M115" i="244"/>
  <c r="N115" i="244" s="1"/>
  <c r="R114" i="244"/>
  <c r="Q114" i="244"/>
  <c r="P114" i="244"/>
  <c r="N114" i="244"/>
  <c r="M114" i="244"/>
  <c r="Q113" i="244"/>
  <c r="R113" i="244" s="1"/>
  <c r="P113" i="244"/>
  <c r="N113" i="244"/>
  <c r="M113" i="244"/>
  <c r="Q112" i="244"/>
  <c r="R112" i="244" s="1"/>
  <c r="P112" i="244"/>
  <c r="M112" i="244"/>
  <c r="N112" i="244" s="1"/>
  <c r="R111" i="244"/>
  <c r="Q111" i="244"/>
  <c r="P111" i="244"/>
  <c r="M111" i="244"/>
  <c r="N111" i="244" s="1"/>
  <c r="R110" i="244"/>
  <c r="Q110" i="244"/>
  <c r="P110" i="244"/>
  <c r="N110" i="244"/>
  <c r="M110" i="244"/>
  <c r="Q109" i="244"/>
  <c r="R109" i="244" s="1"/>
  <c r="P109" i="244"/>
  <c r="N109" i="244"/>
  <c r="M109" i="244"/>
  <c r="Q108" i="244"/>
  <c r="R108" i="244" s="1"/>
  <c r="P108" i="244"/>
  <c r="M108" i="244"/>
  <c r="N108" i="244" s="1"/>
  <c r="R107" i="244"/>
  <c r="Q107" i="244"/>
  <c r="P107" i="244"/>
  <c r="M107" i="244"/>
  <c r="N107" i="244" s="1"/>
  <c r="R106" i="244"/>
  <c r="Q106" i="244"/>
  <c r="P106" i="244"/>
  <c r="N106" i="244"/>
  <c r="M106" i="244"/>
  <c r="Q105" i="244"/>
  <c r="R105" i="244" s="1"/>
  <c r="P105" i="244"/>
  <c r="N105" i="244"/>
  <c r="M105" i="244"/>
  <c r="Q104" i="244"/>
  <c r="R104" i="244" s="1"/>
  <c r="P104" i="244"/>
  <c r="M104" i="244"/>
  <c r="N104" i="244" s="1"/>
  <c r="R103" i="244"/>
  <c r="Q103" i="244"/>
  <c r="P103" i="244"/>
  <c r="M103" i="244"/>
  <c r="N103" i="244" s="1"/>
  <c r="R102" i="244"/>
  <c r="Q102" i="244"/>
  <c r="P102" i="244"/>
  <c r="N102" i="244"/>
  <c r="M102" i="244"/>
  <c r="Q101" i="244"/>
  <c r="R101" i="244" s="1"/>
  <c r="P101" i="244"/>
  <c r="N101" i="244"/>
  <c r="M101" i="244"/>
  <c r="Q100" i="244"/>
  <c r="R100" i="244" s="1"/>
  <c r="P100" i="244"/>
  <c r="M100" i="244"/>
  <c r="N100" i="244" s="1"/>
  <c r="R99" i="244"/>
  <c r="Q99" i="244"/>
  <c r="P99" i="244"/>
  <c r="M99" i="244"/>
  <c r="N99" i="244" s="1"/>
  <c r="R98" i="244"/>
  <c r="Q98" i="244"/>
  <c r="P98" i="244"/>
  <c r="N98" i="244"/>
  <c r="M98" i="244"/>
  <c r="Q97" i="244"/>
  <c r="R97" i="244" s="1"/>
  <c r="P97" i="244"/>
  <c r="N97" i="244"/>
  <c r="M97" i="244"/>
  <c r="Q96" i="244"/>
  <c r="R96" i="244" s="1"/>
  <c r="P96" i="244"/>
  <c r="M96" i="244"/>
  <c r="N96" i="244" s="1"/>
  <c r="R95" i="244"/>
  <c r="Q95" i="244"/>
  <c r="P95" i="244"/>
  <c r="M95" i="244"/>
  <c r="N95" i="244" s="1"/>
  <c r="R94" i="244"/>
  <c r="Q94" i="244"/>
  <c r="P94" i="244"/>
  <c r="N94" i="244"/>
  <c r="M94" i="244"/>
  <c r="Q93" i="244"/>
  <c r="R93" i="244" s="1"/>
  <c r="P93" i="244"/>
  <c r="N93" i="244"/>
  <c r="M93" i="244"/>
  <c r="Q92" i="244"/>
  <c r="R92" i="244" s="1"/>
  <c r="P92" i="244"/>
  <c r="M92" i="244"/>
  <c r="N92" i="244" s="1"/>
  <c r="R91" i="244"/>
  <c r="Q91" i="244"/>
  <c r="P91" i="244"/>
  <c r="M91" i="244"/>
  <c r="N91" i="244" s="1"/>
  <c r="R90" i="244"/>
  <c r="Q90" i="244"/>
  <c r="P90" i="244"/>
  <c r="N90" i="244"/>
  <c r="M90" i="244"/>
  <c r="Q89" i="244"/>
  <c r="R89" i="244" s="1"/>
  <c r="P89" i="244"/>
  <c r="N89" i="244"/>
  <c r="M89" i="244"/>
  <c r="Q88" i="244"/>
  <c r="R88" i="244" s="1"/>
  <c r="P88" i="244"/>
  <c r="M88" i="244"/>
  <c r="N88" i="244" s="1"/>
  <c r="R87" i="244"/>
  <c r="Q87" i="244"/>
  <c r="P87" i="244"/>
  <c r="M87" i="244"/>
  <c r="N87" i="244" s="1"/>
  <c r="R86" i="244"/>
  <c r="Q86" i="244"/>
  <c r="P86" i="244"/>
  <c r="N86" i="244"/>
  <c r="M86" i="244"/>
  <c r="Q85" i="244"/>
  <c r="R85" i="244" s="1"/>
  <c r="P85" i="244"/>
  <c r="N85" i="244"/>
  <c r="M85" i="244"/>
  <c r="Q84" i="244"/>
  <c r="R84" i="244" s="1"/>
  <c r="P84" i="244"/>
  <c r="M84" i="244"/>
  <c r="N84" i="244" s="1"/>
  <c r="R83" i="244"/>
  <c r="Q83" i="244"/>
  <c r="P83" i="244"/>
  <c r="M83" i="244"/>
  <c r="N83" i="244" s="1"/>
  <c r="R82" i="244"/>
  <c r="Q82" i="244"/>
  <c r="P82" i="244"/>
  <c r="N82" i="244"/>
  <c r="M82" i="244"/>
  <c r="Q81" i="244"/>
  <c r="R81" i="244" s="1"/>
  <c r="P81" i="244"/>
  <c r="N81" i="244"/>
  <c r="M81" i="244"/>
  <c r="Q80" i="244"/>
  <c r="R80" i="244" s="1"/>
  <c r="P80" i="244"/>
  <c r="M80" i="244"/>
  <c r="N80" i="244" s="1"/>
  <c r="R79" i="244"/>
  <c r="Q79" i="244"/>
  <c r="P79" i="244"/>
  <c r="M79" i="244"/>
  <c r="N79" i="244" s="1"/>
  <c r="R78" i="244"/>
  <c r="Q78" i="244"/>
  <c r="P78" i="244"/>
  <c r="N78" i="244"/>
  <c r="M78" i="244"/>
  <c r="Q77" i="244"/>
  <c r="R77" i="244" s="1"/>
  <c r="P77" i="244"/>
  <c r="N77" i="244"/>
  <c r="M77" i="244"/>
  <c r="Q76" i="244"/>
  <c r="R76" i="244" s="1"/>
  <c r="P76" i="244"/>
  <c r="M76" i="244"/>
  <c r="N76" i="244" s="1"/>
  <c r="R75" i="244"/>
  <c r="Q75" i="244"/>
  <c r="P75" i="244"/>
  <c r="M75" i="244"/>
  <c r="N75" i="244" s="1"/>
  <c r="R74" i="244"/>
  <c r="Q74" i="244"/>
  <c r="P74" i="244"/>
  <c r="N74" i="244"/>
  <c r="M74" i="244"/>
  <c r="Q73" i="244"/>
  <c r="R73" i="244" s="1"/>
  <c r="P73" i="244"/>
  <c r="N73" i="244"/>
  <c r="M73" i="244"/>
  <c r="Q72" i="244"/>
  <c r="R72" i="244" s="1"/>
  <c r="P72" i="244"/>
  <c r="M72" i="244"/>
  <c r="N72" i="244" s="1"/>
  <c r="R71" i="244"/>
  <c r="Q71" i="244"/>
  <c r="P71" i="244"/>
  <c r="M71" i="244"/>
  <c r="N71" i="244" s="1"/>
  <c r="R70" i="244"/>
  <c r="Q70" i="244"/>
  <c r="P70" i="244"/>
  <c r="N70" i="244"/>
  <c r="M70" i="244"/>
  <c r="Q69" i="244"/>
  <c r="R69" i="244" s="1"/>
  <c r="P69" i="244"/>
  <c r="N69" i="244"/>
  <c r="M69" i="244"/>
  <c r="Q68" i="244"/>
  <c r="R68" i="244" s="1"/>
  <c r="P68" i="244"/>
  <c r="M68" i="244"/>
  <c r="N68" i="244" s="1"/>
  <c r="R67" i="244"/>
  <c r="Q67" i="244"/>
  <c r="P67" i="244"/>
  <c r="M67" i="244"/>
  <c r="N67" i="244" s="1"/>
  <c r="R66" i="244"/>
  <c r="Q66" i="244"/>
  <c r="P66" i="244"/>
  <c r="N66" i="244"/>
  <c r="M66" i="244"/>
  <c r="Q65" i="244"/>
  <c r="R65" i="244" s="1"/>
  <c r="P65" i="244"/>
  <c r="N65" i="244"/>
  <c r="M65" i="244"/>
  <c r="Q64" i="244"/>
  <c r="R64" i="244" s="1"/>
  <c r="P64" i="244"/>
  <c r="M64" i="244"/>
  <c r="N64" i="244" s="1"/>
  <c r="R63" i="244"/>
  <c r="Q63" i="244"/>
  <c r="P63" i="244"/>
  <c r="M63" i="244"/>
  <c r="N63" i="244" s="1"/>
  <c r="R62" i="244"/>
  <c r="Q62" i="244"/>
  <c r="P62" i="244"/>
  <c r="M62" i="244"/>
  <c r="N62" i="244" s="1"/>
  <c r="Q61" i="244"/>
  <c r="R61" i="244" s="1"/>
  <c r="P61" i="244"/>
  <c r="N61" i="244"/>
  <c r="M61" i="244"/>
  <c r="Q60" i="244"/>
  <c r="R60" i="244" s="1"/>
  <c r="P60" i="244"/>
  <c r="M60" i="244"/>
  <c r="N60" i="244" s="1"/>
  <c r="Q59" i="244"/>
  <c r="R59" i="244" s="1"/>
  <c r="P59" i="244"/>
  <c r="M59" i="244"/>
  <c r="N59" i="244" s="1"/>
  <c r="R58" i="244"/>
  <c r="Q58" i="244"/>
  <c r="P58" i="244"/>
  <c r="M58" i="244"/>
  <c r="N58" i="244" s="1"/>
  <c r="Q57" i="244"/>
  <c r="R57" i="244" s="1"/>
  <c r="P57" i="244"/>
  <c r="N57" i="244"/>
  <c r="M57" i="244"/>
  <c r="Q56" i="244"/>
  <c r="R56" i="244" s="1"/>
  <c r="P56" i="244"/>
  <c r="M56" i="244"/>
  <c r="N56" i="244" s="1"/>
  <c r="Q55" i="244"/>
  <c r="R55" i="244" s="1"/>
  <c r="P55" i="244"/>
  <c r="M55" i="244"/>
  <c r="N55" i="244" s="1"/>
  <c r="R54" i="244"/>
  <c r="Q54" i="244"/>
  <c r="P54" i="244"/>
  <c r="M54" i="244"/>
  <c r="N54" i="244" s="1"/>
  <c r="Q53" i="244"/>
  <c r="R53" i="244" s="1"/>
  <c r="P53" i="244"/>
  <c r="N53" i="244"/>
  <c r="M53" i="244"/>
  <c r="Q52" i="244"/>
  <c r="R52" i="244" s="1"/>
  <c r="P52" i="244"/>
  <c r="M52" i="244"/>
  <c r="N52" i="244" s="1"/>
  <c r="Q51" i="244"/>
  <c r="R51" i="244" s="1"/>
  <c r="P51" i="244"/>
  <c r="M51" i="244"/>
  <c r="N51" i="244" s="1"/>
  <c r="R50" i="244"/>
  <c r="Q50" i="244"/>
  <c r="P50" i="244"/>
  <c r="M50" i="244"/>
  <c r="N50" i="244" s="1"/>
  <c r="Q49" i="244"/>
  <c r="R49" i="244" s="1"/>
  <c r="P49" i="244"/>
  <c r="N49" i="244"/>
  <c r="M49" i="244"/>
  <c r="Q48" i="244"/>
  <c r="R48" i="244" s="1"/>
  <c r="P48" i="244"/>
  <c r="M48" i="244"/>
  <c r="N48" i="244" s="1"/>
  <c r="Q47" i="244"/>
  <c r="R47" i="244" s="1"/>
  <c r="P47" i="244"/>
  <c r="M47" i="244"/>
  <c r="N47" i="244" s="1"/>
  <c r="R46" i="244"/>
  <c r="Q46" i="244"/>
  <c r="P46" i="244"/>
  <c r="M46" i="244"/>
  <c r="N46" i="244" s="1"/>
  <c r="Q45" i="244"/>
  <c r="R45" i="244" s="1"/>
  <c r="P45" i="244"/>
  <c r="N45" i="244"/>
  <c r="M45" i="244"/>
  <c r="Q44" i="244"/>
  <c r="R44" i="244" s="1"/>
  <c r="P44" i="244"/>
  <c r="M44" i="244"/>
  <c r="N44" i="244" s="1"/>
  <c r="Q43" i="244"/>
  <c r="R43" i="244" s="1"/>
  <c r="P43" i="244"/>
  <c r="M43" i="244"/>
  <c r="N43" i="244" s="1"/>
  <c r="R42" i="244"/>
  <c r="Q42" i="244"/>
  <c r="P42" i="244"/>
  <c r="M42" i="244"/>
  <c r="N42" i="244" s="1"/>
  <c r="Q41" i="244"/>
  <c r="R41" i="244" s="1"/>
  <c r="P41" i="244"/>
  <c r="N41" i="244"/>
  <c r="M41" i="244"/>
  <c r="Q40" i="244"/>
  <c r="R40" i="244" s="1"/>
  <c r="P40" i="244"/>
  <c r="M40" i="244"/>
  <c r="N40" i="244" s="1"/>
  <c r="Q39" i="244"/>
  <c r="R39" i="244" s="1"/>
  <c r="P39" i="244"/>
  <c r="M39" i="244"/>
  <c r="N39" i="244" s="1"/>
  <c r="R38" i="244"/>
  <c r="Q38" i="244"/>
  <c r="P38" i="244"/>
  <c r="N38" i="244"/>
  <c r="M38" i="244"/>
  <c r="Q37" i="244"/>
  <c r="R37" i="244" s="1"/>
  <c r="P37" i="244"/>
  <c r="N37" i="244"/>
  <c r="M37" i="244"/>
  <c r="Q36" i="244"/>
  <c r="R36" i="244" s="1"/>
  <c r="P36" i="244"/>
  <c r="M36" i="244"/>
  <c r="N36" i="244" s="1"/>
  <c r="Q35" i="244"/>
  <c r="R35" i="244" s="1"/>
  <c r="P35" i="244"/>
  <c r="M35" i="244"/>
  <c r="N35" i="244" s="1"/>
  <c r="R34" i="244"/>
  <c r="Q34" i="244"/>
  <c r="P34" i="244"/>
  <c r="N34" i="244"/>
  <c r="M34" i="244"/>
  <c r="Q33" i="244"/>
  <c r="R33" i="244" s="1"/>
  <c r="P33" i="244"/>
  <c r="N33" i="244"/>
  <c r="M33" i="244"/>
  <c r="Q32" i="244"/>
  <c r="R32" i="244" s="1"/>
  <c r="P32" i="244"/>
  <c r="M32" i="244"/>
  <c r="N32" i="244" s="1"/>
  <c r="Q31" i="244"/>
  <c r="R31" i="244" s="1"/>
  <c r="P31" i="244"/>
  <c r="M31" i="244"/>
  <c r="N31" i="244" s="1"/>
  <c r="R30" i="244"/>
  <c r="Q30" i="244"/>
  <c r="P30" i="244"/>
  <c r="N30" i="244"/>
  <c r="M30" i="244"/>
  <c r="Q29" i="244"/>
  <c r="R29" i="244" s="1"/>
  <c r="P29" i="244"/>
  <c r="N29" i="244"/>
  <c r="M29" i="244"/>
  <c r="Q28" i="244"/>
  <c r="R28" i="244" s="1"/>
  <c r="P28" i="244"/>
  <c r="M28" i="244"/>
  <c r="N28" i="244" s="1"/>
  <c r="Q27" i="244"/>
  <c r="R27" i="244" s="1"/>
  <c r="P27" i="244"/>
  <c r="M27" i="244"/>
  <c r="N27" i="244" s="1"/>
  <c r="R26" i="244"/>
  <c r="Q26" i="244"/>
  <c r="P26" i="244"/>
  <c r="N26" i="244"/>
  <c r="M26" i="244"/>
  <c r="Q25" i="244"/>
  <c r="R25" i="244" s="1"/>
  <c r="P25" i="244"/>
  <c r="N25" i="244"/>
  <c r="M25" i="244"/>
  <c r="Q24" i="244"/>
  <c r="R24" i="244" s="1"/>
  <c r="P24" i="244"/>
  <c r="M24" i="244"/>
  <c r="N24" i="244" s="1"/>
  <c r="Q23" i="244"/>
  <c r="R23" i="244" s="1"/>
  <c r="P23" i="244"/>
  <c r="M23" i="244"/>
  <c r="N23" i="244" s="1"/>
  <c r="R22" i="244"/>
  <c r="Q22" i="244"/>
  <c r="P22" i="244"/>
  <c r="N22" i="244"/>
  <c r="M22" i="244"/>
  <c r="Q21" i="244"/>
  <c r="R21" i="244" s="1"/>
  <c r="P21" i="244"/>
  <c r="N21" i="244"/>
  <c r="M21" i="244"/>
  <c r="Q20" i="244"/>
  <c r="R20" i="244" s="1"/>
  <c r="P20" i="244"/>
  <c r="M20" i="244"/>
  <c r="N20" i="244" s="1"/>
  <c r="Q19" i="244"/>
  <c r="R19" i="244" s="1"/>
  <c r="P19" i="244"/>
  <c r="M19" i="244"/>
  <c r="N19" i="244" s="1"/>
  <c r="R18" i="244"/>
  <c r="Q18" i="244"/>
  <c r="P18" i="244"/>
  <c r="N18" i="244"/>
  <c r="M18" i="244"/>
  <c r="Q17" i="244"/>
  <c r="R17" i="244" s="1"/>
  <c r="P17" i="244"/>
  <c r="N17" i="244"/>
  <c r="M17" i="244"/>
  <c r="Q16" i="244"/>
  <c r="R16" i="244" s="1"/>
  <c r="P16" i="244"/>
  <c r="M16" i="244"/>
  <c r="N16" i="244" s="1"/>
  <c r="Q15" i="244"/>
  <c r="R15" i="244" s="1"/>
  <c r="P15" i="244"/>
  <c r="M15" i="244"/>
  <c r="N15" i="244" s="1"/>
  <c r="R14" i="244"/>
  <c r="Q14" i="244"/>
  <c r="P14" i="244"/>
  <c r="N14" i="244"/>
  <c r="M14" i="244"/>
  <c r="Q13" i="244"/>
  <c r="R13" i="244" s="1"/>
  <c r="P13" i="244"/>
  <c r="N13" i="244"/>
  <c r="M13" i="244"/>
  <c r="Q12" i="244"/>
  <c r="R12" i="244" s="1"/>
  <c r="P12" i="244"/>
  <c r="M12" i="244"/>
  <c r="N12" i="244" s="1"/>
  <c r="Q11" i="244"/>
  <c r="R11" i="244" s="1"/>
  <c r="P11" i="244"/>
  <c r="M11" i="244"/>
  <c r="N11" i="244" s="1"/>
  <c r="R10" i="244"/>
  <c r="Q10" i="244"/>
  <c r="P10" i="244"/>
  <c r="N10" i="244"/>
  <c r="M10" i="244"/>
  <c r="Q9" i="244"/>
  <c r="R9" i="244" s="1"/>
  <c r="P9" i="244"/>
  <c r="N9" i="244"/>
  <c r="M9" i="244"/>
  <c r="Q8" i="244"/>
  <c r="R8" i="244" s="1"/>
  <c r="P8" i="244"/>
  <c r="M8" i="244"/>
  <c r="N8" i="244" s="1"/>
  <c r="Q7" i="244"/>
  <c r="R7" i="244" s="1"/>
  <c r="P7" i="244"/>
  <c r="M7" i="244"/>
  <c r="N7" i="244" s="1"/>
  <c r="R6" i="244"/>
  <c r="Q6" i="244"/>
  <c r="P6" i="244"/>
  <c r="N6" i="244"/>
  <c r="M6" i="244"/>
  <c r="Q5" i="244"/>
  <c r="R5" i="244" s="1"/>
  <c r="P5" i="244"/>
  <c r="N5" i="244"/>
  <c r="M5" i="244"/>
  <c r="Q4" i="244"/>
  <c r="R4" i="244" s="1"/>
  <c r="P4" i="244"/>
  <c r="M4" i="244"/>
  <c r="N4" i="244" s="1"/>
  <c r="Q3" i="244"/>
  <c r="R3" i="244" s="1"/>
  <c r="P3" i="244"/>
  <c r="M3" i="244"/>
  <c r="N3" i="244" s="1"/>
  <c r="R2" i="244"/>
  <c r="Q2" i="244"/>
  <c r="P2" i="244"/>
  <c r="N2" i="244"/>
  <c r="M2" i="244"/>
  <c r="R15" i="243"/>
  <c r="Q15" i="243"/>
  <c r="P15" i="243"/>
  <c r="R14" i="243"/>
  <c r="Q14" i="243"/>
  <c r="P14" i="243"/>
  <c r="R13" i="243"/>
  <c r="Q13" i="243"/>
  <c r="P13" i="243"/>
  <c r="R12" i="243"/>
  <c r="Q12" i="243"/>
  <c r="P12" i="243"/>
  <c r="R11" i="243"/>
  <c r="Q11" i="243"/>
  <c r="P11" i="243"/>
  <c r="R10" i="243"/>
  <c r="Q10" i="243"/>
  <c r="P10" i="243"/>
  <c r="R9" i="243"/>
  <c r="Q9" i="243"/>
  <c r="D9" i="243"/>
  <c r="P9" i="243" s="1"/>
  <c r="R8" i="243"/>
  <c r="Q8" i="243"/>
  <c r="P8" i="243"/>
  <c r="R7" i="243"/>
  <c r="Q7" i="243"/>
  <c r="P7" i="243"/>
  <c r="R6" i="243"/>
  <c r="R18" i="243" s="1"/>
  <c r="Q6" i="243"/>
  <c r="Q18" i="243" s="1"/>
  <c r="D6" i="243"/>
  <c r="P6" i="243" s="1"/>
  <c r="H63" i="242"/>
  <c r="G63" i="242"/>
  <c r="F63" i="242"/>
  <c r="E63" i="242"/>
  <c r="D63" i="242"/>
  <c r="H62" i="242"/>
  <c r="G62" i="242"/>
  <c r="F62" i="242"/>
  <c r="E62" i="242"/>
  <c r="D62" i="242"/>
  <c r="H61" i="242"/>
  <c r="G61" i="242"/>
  <c r="F61" i="242"/>
  <c r="E61" i="242"/>
  <c r="D61" i="242"/>
  <c r="H60" i="242"/>
  <c r="G60" i="242"/>
  <c r="F60" i="242"/>
  <c r="E60" i="242"/>
  <c r="D60" i="242"/>
  <c r="H59" i="242"/>
  <c r="F59" i="242"/>
  <c r="D59" i="242"/>
  <c r="H58" i="242"/>
  <c r="G58" i="242"/>
  <c r="F58" i="242"/>
  <c r="E58" i="242"/>
  <c r="D58" i="242"/>
  <c r="H57" i="242"/>
  <c r="F57" i="242"/>
  <c r="H56" i="242"/>
  <c r="F56" i="242"/>
  <c r="E47" i="242"/>
  <c r="H46" i="242"/>
  <c r="G46" i="242"/>
  <c r="F46" i="242"/>
  <c r="E46" i="242"/>
  <c r="D46" i="242"/>
  <c r="G39" i="242"/>
  <c r="G47" i="242" s="1"/>
  <c r="E39" i="242"/>
  <c r="E59" i="242" s="1"/>
  <c r="F15" i="242"/>
  <c r="G15" i="242" s="1"/>
  <c r="I15" i="242" s="1"/>
  <c r="J15" i="242" s="1"/>
  <c r="F14" i="242"/>
  <c r="G14" i="242" s="1"/>
  <c r="I14" i="242" s="1"/>
  <c r="J14" i="242" s="1"/>
  <c r="F13" i="242"/>
  <c r="G13" i="242" s="1"/>
  <c r="I13" i="242" s="1"/>
  <c r="J13" i="242" s="1"/>
  <c r="F12" i="242"/>
  <c r="G12" i="242" s="1"/>
  <c r="I12" i="242" s="1"/>
  <c r="J12" i="242" s="1"/>
  <c r="J11" i="242"/>
  <c r="F11" i="242"/>
  <c r="I11" i="242" s="1"/>
  <c r="I10" i="242"/>
  <c r="J10" i="242" s="1"/>
  <c r="G10" i="242"/>
  <c r="G8" i="242"/>
  <c r="I8" i="242" s="1"/>
  <c r="J8" i="242" s="1"/>
  <c r="F8" i="242"/>
  <c r="I7" i="242"/>
  <c r="G7" i="242"/>
  <c r="J7" i="242" s="1"/>
  <c r="D37" i="242" s="1"/>
  <c r="I6" i="242"/>
  <c r="G6" i="242"/>
  <c r="J6" i="242" s="1"/>
  <c r="D36" i="242" s="1"/>
  <c r="H16" i="264" l="1"/>
  <c r="H12" i="264"/>
  <c r="K4" i="262"/>
  <c r="K6" i="262"/>
  <c r="K8" i="262"/>
  <c r="K10" i="262"/>
  <c r="K12" i="262"/>
  <c r="K14" i="262"/>
  <c r="K16" i="262"/>
  <c r="K18" i="262"/>
  <c r="H14" i="264"/>
  <c r="K5" i="262"/>
  <c r="K7" i="262"/>
  <c r="K9" i="262"/>
  <c r="K11" i="262"/>
  <c r="K13" i="262"/>
  <c r="K15" i="262"/>
  <c r="K17" i="262"/>
  <c r="K19" i="262"/>
  <c r="P18" i="243"/>
  <c r="K21" i="262"/>
  <c r="H3" i="264"/>
  <c r="H5" i="264"/>
  <c r="H7" i="264"/>
  <c r="H9" i="264"/>
  <c r="H11" i="264"/>
  <c r="H13" i="264"/>
  <c r="H15" i="264"/>
  <c r="H2" i="264"/>
  <c r="H4" i="264"/>
  <c r="H6" i="264"/>
  <c r="H8" i="264"/>
  <c r="H10" i="264"/>
  <c r="F2" i="264"/>
  <c r="F3" i="264"/>
  <c r="F4" i="264"/>
  <c r="F5" i="264"/>
  <c r="F6" i="264"/>
  <c r="F7" i="264"/>
  <c r="F8" i="264"/>
  <c r="F9" i="264"/>
  <c r="F10" i="264"/>
  <c r="F11" i="264"/>
  <c r="F12" i="264"/>
  <c r="F13" i="264"/>
  <c r="F14" i="264"/>
  <c r="F15" i="264"/>
  <c r="F16" i="264"/>
  <c r="F17" i="264"/>
  <c r="F18" i="264"/>
  <c r="F19" i="264"/>
  <c r="F20" i="264"/>
  <c r="F21" i="264"/>
  <c r="F22" i="264"/>
  <c r="G17" i="264"/>
  <c r="G18" i="264"/>
  <c r="G19" i="264"/>
  <c r="G20" i="264"/>
  <c r="G21" i="264"/>
  <c r="G22" i="264"/>
  <c r="H20" i="262"/>
  <c r="K20" i="262" s="1"/>
  <c r="H22" i="262"/>
  <c r="G22" i="262"/>
  <c r="J22" i="262" s="1"/>
  <c r="E37" i="242"/>
  <c r="D57" i="242"/>
  <c r="D45" i="242"/>
  <c r="D44" i="242"/>
  <c r="D56" i="242"/>
  <c r="E36" i="242"/>
  <c r="G59" i="242"/>
  <c r="K22" i="262" l="1"/>
  <c r="H24" i="264"/>
  <c r="G24" i="264"/>
  <c r="F24" i="264"/>
  <c r="E56" i="242"/>
  <c r="G36" i="242"/>
  <c r="E44" i="242"/>
  <c r="E45" i="242"/>
  <c r="E57" i="242"/>
  <c r="G37" i="242"/>
  <c r="G57" i="242" l="1"/>
  <c r="G45" i="242"/>
  <c r="G56" i="242"/>
  <c r="G44" i="242"/>
  <c r="J24" i="144" l="1"/>
  <c r="E22" i="144"/>
  <c r="H22" i="144" s="1"/>
  <c r="D22" i="144"/>
  <c r="C22" i="144"/>
  <c r="B22" i="144"/>
  <c r="A22" i="144"/>
  <c r="E21" i="144"/>
  <c r="H21" i="144" s="1"/>
  <c r="D21" i="144"/>
  <c r="C21" i="144"/>
  <c r="B21" i="144"/>
  <c r="A21" i="144"/>
  <c r="E20" i="144"/>
  <c r="H20" i="144" s="1"/>
  <c r="D20" i="144"/>
  <c r="C20" i="144"/>
  <c r="B20" i="144"/>
  <c r="A20" i="144"/>
  <c r="E19" i="144"/>
  <c r="H19" i="144" s="1"/>
  <c r="D19" i="144"/>
  <c r="C19" i="144"/>
  <c r="B19" i="144"/>
  <c r="A19" i="144"/>
  <c r="E18" i="144"/>
  <c r="H18" i="144" s="1"/>
  <c r="D18" i="144"/>
  <c r="C18" i="144"/>
  <c r="B18" i="144"/>
  <c r="A18" i="144"/>
  <c r="E17" i="144"/>
  <c r="H17" i="144" s="1"/>
  <c r="D17" i="144"/>
  <c r="C17" i="144"/>
  <c r="B17" i="144"/>
  <c r="A17" i="144"/>
  <c r="E16" i="144"/>
  <c r="H16" i="144" s="1"/>
  <c r="D16" i="144"/>
  <c r="C16" i="144"/>
  <c r="B16" i="144"/>
  <c r="A16" i="144"/>
  <c r="E15" i="144"/>
  <c r="H15" i="144" s="1"/>
  <c r="D15" i="144"/>
  <c r="C15" i="144"/>
  <c r="B15" i="144"/>
  <c r="A15" i="144"/>
  <c r="E14" i="144"/>
  <c r="H14" i="144" s="1"/>
  <c r="D14" i="144"/>
  <c r="C14" i="144"/>
  <c r="B14" i="144"/>
  <c r="A14" i="144"/>
  <c r="E13" i="144"/>
  <c r="H13" i="144" s="1"/>
  <c r="D13" i="144"/>
  <c r="C13" i="144"/>
  <c r="B13" i="144"/>
  <c r="A13" i="144"/>
  <c r="E12" i="144"/>
  <c r="H12" i="144" s="1"/>
  <c r="D12" i="144"/>
  <c r="C12" i="144"/>
  <c r="B12" i="144"/>
  <c r="A12" i="144"/>
  <c r="E11" i="144"/>
  <c r="H11" i="144" s="1"/>
  <c r="D11" i="144"/>
  <c r="C11" i="144"/>
  <c r="B11" i="144"/>
  <c r="A11" i="144"/>
  <c r="E10" i="144"/>
  <c r="H10" i="144" s="1"/>
  <c r="D10" i="144"/>
  <c r="C10" i="144"/>
  <c r="B10" i="144"/>
  <c r="A10" i="144"/>
  <c r="E9" i="144"/>
  <c r="H9" i="144" s="1"/>
  <c r="D9" i="144"/>
  <c r="C9" i="144"/>
  <c r="B9" i="144"/>
  <c r="A9" i="144"/>
  <c r="E8" i="144"/>
  <c r="H8" i="144" s="1"/>
  <c r="D8" i="144"/>
  <c r="C8" i="144"/>
  <c r="B8" i="144"/>
  <c r="A8" i="144"/>
  <c r="E7" i="144"/>
  <c r="H7" i="144" s="1"/>
  <c r="D7" i="144"/>
  <c r="C7" i="144"/>
  <c r="B7" i="144"/>
  <c r="A7" i="144"/>
  <c r="E6" i="144"/>
  <c r="H6" i="144" s="1"/>
  <c r="D6" i="144"/>
  <c r="C6" i="144"/>
  <c r="B6" i="144"/>
  <c r="A6" i="144"/>
  <c r="E5" i="144"/>
  <c r="H5" i="144" s="1"/>
  <c r="D5" i="144"/>
  <c r="C5" i="144"/>
  <c r="B5" i="144"/>
  <c r="A5" i="144"/>
  <c r="E4" i="144"/>
  <c r="H4" i="144" s="1"/>
  <c r="D4" i="144"/>
  <c r="C4" i="144"/>
  <c r="B4" i="144"/>
  <c r="A4" i="144"/>
  <c r="E3" i="144"/>
  <c r="H3" i="144" s="1"/>
  <c r="D3" i="144"/>
  <c r="C3" i="144"/>
  <c r="B3" i="144"/>
  <c r="A3" i="144"/>
  <c r="E2" i="144"/>
  <c r="H2" i="144" s="1"/>
  <c r="D2" i="144"/>
  <c r="C2" i="144"/>
  <c r="B2" i="144"/>
  <c r="A2" i="144"/>
  <c r="H21" i="142"/>
  <c r="G21" i="142"/>
  <c r="J21" i="142" s="1"/>
  <c r="H19" i="142"/>
  <c r="G19" i="142"/>
  <c r="J19" i="142" s="1"/>
  <c r="H18" i="142"/>
  <c r="G18" i="142"/>
  <c r="J18" i="142" s="1"/>
  <c r="H17" i="142"/>
  <c r="G17" i="142"/>
  <c r="J17" i="142" s="1"/>
  <c r="H16" i="142"/>
  <c r="G16" i="142"/>
  <c r="J16" i="142" s="1"/>
  <c r="H15" i="142"/>
  <c r="G15" i="142"/>
  <c r="J15" i="142" s="1"/>
  <c r="H14" i="142"/>
  <c r="G14" i="142"/>
  <c r="J14" i="142" s="1"/>
  <c r="H13" i="142"/>
  <c r="G13" i="142"/>
  <c r="J13" i="142" s="1"/>
  <c r="H12" i="142"/>
  <c r="G12" i="142"/>
  <c r="J12" i="142" s="1"/>
  <c r="H11" i="142"/>
  <c r="G11" i="142"/>
  <c r="J11" i="142" s="1"/>
  <c r="H10" i="142"/>
  <c r="G10" i="142"/>
  <c r="J10" i="142" s="1"/>
  <c r="H9" i="142"/>
  <c r="G9" i="142"/>
  <c r="J9" i="142" s="1"/>
  <c r="H8" i="142"/>
  <c r="G8" i="142"/>
  <c r="J8" i="142" s="1"/>
  <c r="H7" i="142"/>
  <c r="G7" i="142"/>
  <c r="J7" i="142" s="1"/>
  <c r="H6" i="142"/>
  <c r="G6" i="142"/>
  <c r="J6" i="142" s="1"/>
  <c r="H5" i="142"/>
  <c r="G5" i="142"/>
  <c r="J5" i="142" s="1"/>
  <c r="H4" i="142"/>
  <c r="G4" i="142"/>
  <c r="J4" i="142" s="1"/>
  <c r="H3" i="142"/>
  <c r="G3" i="142"/>
  <c r="H2" i="142"/>
  <c r="G2" i="142"/>
  <c r="Q3" i="140"/>
  <c r="R3" i="140" s="1"/>
  <c r="P3" i="140"/>
  <c r="N3" i="140"/>
  <c r="M3" i="140"/>
  <c r="Q2" i="140"/>
  <c r="R2" i="140" s="1"/>
  <c r="P2" i="140"/>
  <c r="M2" i="140"/>
  <c r="N2" i="140" s="1"/>
  <c r="Q10" i="138"/>
  <c r="R10" i="138" s="1"/>
  <c r="P10" i="138"/>
  <c r="M10" i="138"/>
  <c r="N10" i="138" s="1"/>
  <c r="Q9" i="138"/>
  <c r="R9" i="138" s="1"/>
  <c r="P9" i="138"/>
  <c r="M9" i="138"/>
  <c r="N9" i="138" s="1"/>
  <c r="R8" i="138"/>
  <c r="Q8" i="138"/>
  <c r="P8" i="138"/>
  <c r="M8" i="138"/>
  <c r="N8" i="138" s="1"/>
  <c r="R7" i="138"/>
  <c r="Q7" i="138"/>
  <c r="P7" i="138"/>
  <c r="N7" i="138"/>
  <c r="M7" i="138"/>
  <c r="R6" i="138"/>
  <c r="Q6" i="138"/>
  <c r="P6" i="138"/>
  <c r="N6" i="138"/>
  <c r="M6" i="138"/>
  <c r="Q5" i="138"/>
  <c r="R5" i="138" s="1"/>
  <c r="P5" i="138"/>
  <c r="N5" i="138"/>
  <c r="M5" i="138"/>
  <c r="R4" i="138"/>
  <c r="Q4" i="138"/>
  <c r="P4" i="138"/>
  <c r="M4" i="138"/>
  <c r="N4" i="138" s="1"/>
  <c r="R3" i="138"/>
  <c r="Q3" i="138"/>
  <c r="P3" i="138"/>
  <c r="N3" i="138"/>
  <c r="M3" i="138"/>
  <c r="Q2" i="138"/>
  <c r="R2" i="138" s="1"/>
  <c r="P2" i="138"/>
  <c r="N2" i="138"/>
  <c r="M2" i="138"/>
  <c r="Q12" i="136"/>
  <c r="R12" i="136" s="1"/>
  <c r="P12" i="136"/>
  <c r="N12" i="136"/>
  <c r="M12" i="136"/>
  <c r="Q11" i="136"/>
  <c r="R11" i="136" s="1"/>
  <c r="P11" i="136"/>
  <c r="M11" i="136"/>
  <c r="N11" i="136" s="1"/>
  <c r="Q10" i="136"/>
  <c r="R10" i="136" s="1"/>
  <c r="P10" i="136"/>
  <c r="M10" i="136"/>
  <c r="N10" i="136" s="1"/>
  <c r="R9" i="136"/>
  <c r="Q9" i="136"/>
  <c r="P9" i="136"/>
  <c r="M9" i="136"/>
  <c r="N9" i="136" s="1"/>
  <c r="R8" i="136"/>
  <c r="Q8" i="136"/>
  <c r="P8" i="136"/>
  <c r="N8" i="136"/>
  <c r="M8" i="136"/>
  <c r="Q7" i="136"/>
  <c r="R7" i="136" s="1"/>
  <c r="P7" i="136"/>
  <c r="N7" i="136"/>
  <c r="M7" i="136"/>
  <c r="Q6" i="136"/>
  <c r="R6" i="136" s="1"/>
  <c r="P6" i="136"/>
  <c r="M6" i="136"/>
  <c r="N6" i="136" s="1"/>
  <c r="R5" i="136"/>
  <c r="Q5" i="136"/>
  <c r="P5" i="136"/>
  <c r="M5" i="136"/>
  <c r="N5" i="136" s="1"/>
  <c r="R4" i="136"/>
  <c r="Q4" i="136"/>
  <c r="P4" i="136"/>
  <c r="N4" i="136"/>
  <c r="M4" i="136"/>
  <c r="Q3" i="136"/>
  <c r="R3" i="136" s="1"/>
  <c r="P3" i="136"/>
  <c r="N3" i="136"/>
  <c r="M3" i="136"/>
  <c r="Q2" i="136"/>
  <c r="R2" i="136" s="1"/>
  <c r="P2" i="136"/>
  <c r="M2" i="136"/>
  <c r="N2" i="136" s="1"/>
  <c r="Q31" i="133"/>
  <c r="R31" i="133" s="1"/>
  <c r="P31" i="133"/>
  <c r="N31" i="133"/>
  <c r="Q30" i="133"/>
  <c r="R30" i="133" s="1"/>
  <c r="P30" i="133"/>
  <c r="N30" i="133"/>
  <c r="Q29" i="133"/>
  <c r="R29" i="133" s="1"/>
  <c r="P29" i="133"/>
  <c r="N29" i="133"/>
  <c r="Q28" i="133"/>
  <c r="R28" i="133" s="1"/>
  <c r="P28" i="133"/>
  <c r="N28" i="133"/>
  <c r="Q27" i="133"/>
  <c r="R27" i="133" s="1"/>
  <c r="P27" i="133"/>
  <c r="N27" i="133"/>
  <c r="Q26" i="133"/>
  <c r="R26" i="133" s="1"/>
  <c r="P26" i="133"/>
  <c r="N26" i="133"/>
  <c r="Q25" i="133"/>
  <c r="R25" i="133" s="1"/>
  <c r="P25" i="133"/>
  <c r="N25" i="133"/>
  <c r="Q24" i="133"/>
  <c r="R24" i="133" s="1"/>
  <c r="P24" i="133"/>
  <c r="N24" i="133"/>
  <c r="Q23" i="133"/>
  <c r="R23" i="133" s="1"/>
  <c r="P23" i="133"/>
  <c r="N23" i="133"/>
  <c r="Q22" i="133"/>
  <c r="R22" i="133" s="1"/>
  <c r="P22" i="133"/>
  <c r="N22" i="133"/>
  <c r="Q21" i="133"/>
  <c r="R21" i="133" s="1"/>
  <c r="P21" i="133"/>
  <c r="N21" i="133"/>
  <c r="Q20" i="133"/>
  <c r="R20" i="133" s="1"/>
  <c r="P20" i="133"/>
  <c r="N20" i="133"/>
  <c r="Q19" i="133"/>
  <c r="R19" i="133" s="1"/>
  <c r="P19" i="133"/>
  <c r="N19" i="133"/>
  <c r="Q18" i="133"/>
  <c r="R18" i="133" s="1"/>
  <c r="P18" i="133"/>
  <c r="N18" i="133"/>
  <c r="Q17" i="133"/>
  <c r="R17" i="133" s="1"/>
  <c r="P17" i="133"/>
  <c r="N17" i="133"/>
  <c r="Q16" i="133"/>
  <c r="R16" i="133" s="1"/>
  <c r="P16" i="133"/>
  <c r="N16" i="133"/>
  <c r="Q15" i="133"/>
  <c r="R15" i="133" s="1"/>
  <c r="P15" i="133"/>
  <c r="N15" i="133"/>
  <c r="Q14" i="133"/>
  <c r="R14" i="133" s="1"/>
  <c r="P14" i="133"/>
  <c r="N14" i="133"/>
  <c r="Q13" i="133"/>
  <c r="R13" i="133" s="1"/>
  <c r="P13" i="133"/>
  <c r="N13" i="133"/>
  <c r="Q12" i="133"/>
  <c r="R12" i="133" s="1"/>
  <c r="P12" i="133"/>
  <c r="N12" i="133"/>
  <c r="Q11" i="133"/>
  <c r="R11" i="133" s="1"/>
  <c r="P11" i="133"/>
  <c r="N11" i="133"/>
  <c r="Q10" i="133"/>
  <c r="R10" i="133" s="1"/>
  <c r="P10" i="133"/>
  <c r="N10" i="133"/>
  <c r="Q9" i="133"/>
  <c r="R9" i="133" s="1"/>
  <c r="P9" i="133"/>
  <c r="N9" i="133"/>
  <c r="Q8" i="133"/>
  <c r="R8" i="133" s="1"/>
  <c r="P8" i="133"/>
  <c r="N8" i="133"/>
  <c r="Q7" i="133"/>
  <c r="R7" i="133" s="1"/>
  <c r="P7" i="133"/>
  <c r="N7" i="133"/>
  <c r="Q6" i="133"/>
  <c r="R6" i="133" s="1"/>
  <c r="P6" i="133"/>
  <c r="N6" i="133"/>
  <c r="Q5" i="133"/>
  <c r="R5" i="133" s="1"/>
  <c r="P5" i="133"/>
  <c r="N5" i="133"/>
  <c r="Q4" i="133"/>
  <c r="R4" i="133" s="1"/>
  <c r="P4" i="133"/>
  <c r="N4" i="133"/>
  <c r="Q3" i="133"/>
  <c r="R3" i="133" s="1"/>
  <c r="P3" i="133"/>
  <c r="N3" i="133"/>
  <c r="Q2" i="133"/>
  <c r="R2" i="133" s="1"/>
  <c r="P2" i="133"/>
  <c r="N2" i="133"/>
  <c r="R13" i="131"/>
  <c r="Q13" i="131"/>
  <c r="P13" i="131"/>
  <c r="M13" i="131"/>
  <c r="N13" i="131" s="1"/>
  <c r="Q12" i="131"/>
  <c r="R12" i="131" s="1"/>
  <c r="P12" i="131"/>
  <c r="N12" i="131"/>
  <c r="M12" i="131"/>
  <c r="R11" i="131"/>
  <c r="Q11" i="131"/>
  <c r="P11" i="131"/>
  <c r="M11" i="131"/>
  <c r="N11" i="131" s="1"/>
  <c r="Q10" i="131"/>
  <c r="R10" i="131" s="1"/>
  <c r="P10" i="131"/>
  <c r="N10" i="131"/>
  <c r="M10" i="131"/>
  <c r="R9" i="131"/>
  <c r="Q9" i="131"/>
  <c r="P9" i="131"/>
  <c r="M9" i="131"/>
  <c r="N9" i="131" s="1"/>
  <c r="Q8" i="131"/>
  <c r="R8" i="131" s="1"/>
  <c r="P8" i="131"/>
  <c r="N8" i="131"/>
  <c r="Q7" i="131"/>
  <c r="R7" i="131" s="1"/>
  <c r="P7" i="131"/>
  <c r="N7" i="131"/>
  <c r="M7" i="131"/>
  <c r="R6" i="131"/>
  <c r="Q6" i="131"/>
  <c r="P6" i="131"/>
  <c r="M6" i="131"/>
  <c r="N6" i="131" s="1"/>
  <c r="Q5" i="131"/>
  <c r="R5" i="131" s="1"/>
  <c r="P5" i="131"/>
  <c r="N5" i="131"/>
  <c r="M5" i="131"/>
  <c r="R4" i="131"/>
  <c r="Q4" i="131"/>
  <c r="P4" i="131"/>
  <c r="M4" i="131"/>
  <c r="N4" i="131" s="1"/>
  <c r="Q3" i="131"/>
  <c r="R3" i="131" s="1"/>
  <c r="P3" i="131"/>
  <c r="N3" i="131"/>
  <c r="M3" i="131"/>
  <c r="Q2" i="131"/>
  <c r="R2" i="131" s="1"/>
  <c r="P2" i="131"/>
  <c r="M2" i="131"/>
  <c r="N2" i="131" s="1"/>
  <c r="Q19" i="129"/>
  <c r="R19" i="129" s="1"/>
  <c r="P19" i="129"/>
  <c r="M19" i="129"/>
  <c r="N19" i="129" s="1"/>
  <c r="Q18" i="129"/>
  <c r="R18" i="129" s="1"/>
  <c r="P18" i="129"/>
  <c r="M18" i="129"/>
  <c r="N18" i="129" s="1"/>
  <c r="R17" i="129"/>
  <c r="Q17" i="129"/>
  <c r="P17" i="129"/>
  <c r="M17" i="129"/>
  <c r="N17" i="129" s="1"/>
  <c r="R16" i="129"/>
  <c r="Q16" i="129"/>
  <c r="P16" i="129"/>
  <c r="N16" i="129"/>
  <c r="M16" i="129"/>
  <c r="R15" i="129"/>
  <c r="Q15" i="129"/>
  <c r="P15" i="129"/>
  <c r="M15" i="129"/>
  <c r="N15" i="129" s="1"/>
  <c r="Q14" i="129"/>
  <c r="R14" i="129" s="1"/>
  <c r="P14" i="129"/>
  <c r="N14" i="129"/>
  <c r="M14" i="129"/>
  <c r="R13" i="129"/>
  <c r="Q13" i="129"/>
  <c r="P13" i="129"/>
  <c r="M13" i="129"/>
  <c r="N13" i="129" s="1"/>
  <c r="Q12" i="129"/>
  <c r="R12" i="129" s="1"/>
  <c r="P12" i="129"/>
  <c r="N12" i="129"/>
  <c r="M12" i="129"/>
  <c r="R11" i="129"/>
  <c r="Q11" i="129"/>
  <c r="P11" i="129"/>
  <c r="M11" i="129"/>
  <c r="N11" i="129" s="1"/>
  <c r="Q10" i="129"/>
  <c r="R10" i="129" s="1"/>
  <c r="P10" i="129"/>
  <c r="N10" i="129"/>
  <c r="M10" i="129"/>
  <c r="R9" i="129"/>
  <c r="Q9" i="129"/>
  <c r="P9" i="129"/>
  <c r="M9" i="129"/>
  <c r="N9" i="129" s="1"/>
  <c r="Q8" i="129"/>
  <c r="R8" i="129" s="1"/>
  <c r="P8" i="129"/>
  <c r="N8" i="129"/>
  <c r="M8" i="129"/>
  <c r="R7" i="129"/>
  <c r="Q7" i="129"/>
  <c r="P7" i="129"/>
  <c r="M7" i="129"/>
  <c r="N7" i="129" s="1"/>
  <c r="Q6" i="129"/>
  <c r="R6" i="129" s="1"/>
  <c r="P6" i="129"/>
  <c r="N6" i="129"/>
  <c r="M6" i="129"/>
  <c r="R5" i="129"/>
  <c r="Q5" i="129"/>
  <c r="P5" i="129"/>
  <c r="M5" i="129"/>
  <c r="N5" i="129" s="1"/>
  <c r="Q4" i="129"/>
  <c r="R4" i="129" s="1"/>
  <c r="P4" i="129"/>
  <c r="N4" i="129"/>
  <c r="M4" i="129"/>
  <c r="R3" i="129"/>
  <c r="Q3" i="129"/>
  <c r="P3" i="129"/>
  <c r="M3" i="129"/>
  <c r="N3" i="129" s="1"/>
  <c r="Q2" i="129"/>
  <c r="R2" i="129" s="1"/>
  <c r="P2" i="129"/>
  <c r="N2" i="129"/>
  <c r="M2" i="129"/>
  <c r="R95" i="127"/>
  <c r="Q95" i="127"/>
  <c r="P95" i="127"/>
  <c r="M95" i="127"/>
  <c r="N95" i="127" s="1"/>
  <c r="Q94" i="127"/>
  <c r="R94" i="127" s="1"/>
  <c r="P94" i="127"/>
  <c r="N94" i="127"/>
  <c r="M94" i="127"/>
  <c r="R93" i="127"/>
  <c r="Q93" i="127"/>
  <c r="P93" i="127"/>
  <c r="M93" i="127"/>
  <c r="N93" i="127" s="1"/>
  <c r="Q92" i="127"/>
  <c r="R92" i="127" s="1"/>
  <c r="P92" i="127"/>
  <c r="N92" i="127"/>
  <c r="M92" i="127"/>
  <c r="R91" i="127"/>
  <c r="Q91" i="127"/>
  <c r="P91" i="127"/>
  <c r="M91" i="127"/>
  <c r="N91" i="127" s="1"/>
  <c r="Q90" i="127"/>
  <c r="R90" i="127" s="1"/>
  <c r="P90" i="127"/>
  <c r="N90" i="127"/>
  <c r="M90" i="127"/>
  <c r="R89" i="127"/>
  <c r="Q89" i="127"/>
  <c r="P89" i="127"/>
  <c r="M89" i="127"/>
  <c r="N89" i="127" s="1"/>
  <c r="Q88" i="127"/>
  <c r="R88" i="127" s="1"/>
  <c r="P88" i="127"/>
  <c r="N88" i="127"/>
  <c r="M88" i="127"/>
  <c r="R87" i="127"/>
  <c r="Q87" i="127"/>
  <c r="P87" i="127"/>
  <c r="M87" i="127"/>
  <c r="N87" i="127" s="1"/>
  <c r="Q86" i="127"/>
  <c r="R86" i="127" s="1"/>
  <c r="P86" i="127"/>
  <c r="N86" i="127"/>
  <c r="M86" i="127"/>
  <c r="R85" i="127"/>
  <c r="Q85" i="127"/>
  <c r="P85" i="127"/>
  <c r="M85" i="127"/>
  <c r="N85" i="127" s="1"/>
  <c r="Q84" i="127"/>
  <c r="R84" i="127" s="1"/>
  <c r="P84" i="127"/>
  <c r="N84" i="127"/>
  <c r="M84" i="127"/>
  <c r="R83" i="127"/>
  <c r="Q83" i="127"/>
  <c r="P83" i="127"/>
  <c r="M83" i="127"/>
  <c r="N83" i="127" s="1"/>
  <c r="Q82" i="127"/>
  <c r="R82" i="127" s="1"/>
  <c r="P82" i="127"/>
  <c r="N82" i="127"/>
  <c r="M82" i="127"/>
  <c r="R81" i="127"/>
  <c r="Q81" i="127"/>
  <c r="P81" i="127"/>
  <c r="M81" i="127"/>
  <c r="N81" i="127" s="1"/>
  <c r="Q80" i="127"/>
  <c r="R80" i="127" s="1"/>
  <c r="P80" i="127"/>
  <c r="N80" i="127"/>
  <c r="M80" i="127"/>
  <c r="R79" i="127"/>
  <c r="Q79" i="127"/>
  <c r="P79" i="127"/>
  <c r="M79" i="127"/>
  <c r="N79" i="127" s="1"/>
  <c r="Q78" i="127"/>
  <c r="R78" i="127" s="1"/>
  <c r="P78" i="127"/>
  <c r="N78" i="127"/>
  <c r="M78" i="127"/>
  <c r="R77" i="127"/>
  <c r="Q77" i="127"/>
  <c r="P77" i="127"/>
  <c r="M77" i="127"/>
  <c r="N77" i="127" s="1"/>
  <c r="Q76" i="127"/>
  <c r="R76" i="127" s="1"/>
  <c r="P76" i="127"/>
  <c r="N76" i="127"/>
  <c r="M76" i="127"/>
  <c r="R75" i="127"/>
  <c r="Q75" i="127"/>
  <c r="P75" i="127"/>
  <c r="M75" i="127"/>
  <c r="N75" i="127" s="1"/>
  <c r="Q74" i="127"/>
  <c r="R74" i="127" s="1"/>
  <c r="P74" i="127"/>
  <c r="N74" i="127"/>
  <c r="M74" i="127"/>
  <c r="R73" i="127"/>
  <c r="Q73" i="127"/>
  <c r="P73" i="127"/>
  <c r="M73" i="127"/>
  <c r="N73" i="127" s="1"/>
  <c r="Q72" i="127"/>
  <c r="R72" i="127" s="1"/>
  <c r="P72" i="127"/>
  <c r="N72" i="127"/>
  <c r="M72" i="127"/>
  <c r="R71" i="127"/>
  <c r="Q71" i="127"/>
  <c r="P71" i="127"/>
  <c r="N71" i="127"/>
  <c r="R70" i="127"/>
  <c r="Q70" i="127"/>
  <c r="P70" i="127"/>
  <c r="N70" i="127"/>
  <c r="R69" i="127"/>
  <c r="Q69" i="127"/>
  <c r="P69" i="127"/>
  <c r="M69" i="127"/>
  <c r="N69" i="127" s="1"/>
  <c r="Q68" i="127"/>
  <c r="R68" i="127" s="1"/>
  <c r="P68" i="127"/>
  <c r="N68" i="127"/>
  <c r="M68" i="127"/>
  <c r="R67" i="127"/>
  <c r="Q67" i="127"/>
  <c r="P67" i="127"/>
  <c r="N67" i="127"/>
  <c r="R66" i="127"/>
  <c r="Q66" i="127"/>
  <c r="P66" i="127"/>
  <c r="M66" i="127"/>
  <c r="N66" i="127" s="1"/>
  <c r="Q65" i="127"/>
  <c r="R65" i="127" s="1"/>
  <c r="P65" i="127"/>
  <c r="N65" i="127"/>
  <c r="M65" i="127"/>
  <c r="R64" i="127"/>
  <c r="Q64" i="127"/>
  <c r="P64" i="127"/>
  <c r="M64" i="127"/>
  <c r="N64" i="127" s="1"/>
  <c r="Q63" i="127"/>
  <c r="R63" i="127" s="1"/>
  <c r="P63" i="127"/>
  <c r="N63" i="127"/>
  <c r="M63" i="127"/>
  <c r="R62" i="127"/>
  <c r="Q62" i="127"/>
  <c r="P62" i="127"/>
  <c r="M62" i="127"/>
  <c r="N62" i="127" s="1"/>
  <c r="Q61" i="127"/>
  <c r="R61" i="127" s="1"/>
  <c r="P61" i="127"/>
  <c r="N61" i="127"/>
  <c r="M61" i="127"/>
  <c r="R60" i="127"/>
  <c r="Q60" i="127"/>
  <c r="P60" i="127"/>
  <c r="M60" i="127"/>
  <c r="N60" i="127" s="1"/>
  <c r="Q59" i="127"/>
  <c r="R59" i="127" s="1"/>
  <c r="P59" i="127"/>
  <c r="N59" i="127"/>
  <c r="M59" i="127"/>
  <c r="R58" i="127"/>
  <c r="Q58" i="127"/>
  <c r="P58" i="127"/>
  <c r="M58" i="127"/>
  <c r="N58" i="127" s="1"/>
  <c r="Q57" i="127"/>
  <c r="R57" i="127" s="1"/>
  <c r="P57" i="127"/>
  <c r="N57" i="127"/>
  <c r="M57" i="127"/>
  <c r="R56" i="127"/>
  <c r="Q56" i="127"/>
  <c r="P56" i="127"/>
  <c r="M56" i="127"/>
  <c r="N56" i="127" s="1"/>
  <c r="Q55" i="127"/>
  <c r="R55" i="127" s="1"/>
  <c r="P55" i="127"/>
  <c r="N55" i="127"/>
  <c r="M55" i="127"/>
  <c r="R54" i="127"/>
  <c r="Q54" i="127"/>
  <c r="P54" i="127"/>
  <c r="M54" i="127"/>
  <c r="N54" i="127" s="1"/>
  <c r="Q53" i="127"/>
  <c r="R53" i="127" s="1"/>
  <c r="P53" i="127"/>
  <c r="N53" i="127"/>
  <c r="M53" i="127"/>
  <c r="R52" i="127"/>
  <c r="Q52" i="127"/>
  <c r="P52" i="127"/>
  <c r="M52" i="127"/>
  <c r="N52" i="127" s="1"/>
  <c r="Q51" i="127"/>
  <c r="R51" i="127" s="1"/>
  <c r="P51" i="127"/>
  <c r="N51" i="127"/>
  <c r="M51" i="127"/>
  <c r="R50" i="127"/>
  <c r="Q50" i="127"/>
  <c r="P50" i="127"/>
  <c r="M50" i="127"/>
  <c r="N50" i="127" s="1"/>
  <c r="Q49" i="127"/>
  <c r="R49" i="127" s="1"/>
  <c r="P49" i="127"/>
  <c r="N49" i="127"/>
  <c r="M49" i="127"/>
  <c r="R48" i="127"/>
  <c r="Q48" i="127"/>
  <c r="P48" i="127"/>
  <c r="M48" i="127"/>
  <c r="N48" i="127" s="1"/>
  <c r="Q47" i="127"/>
  <c r="R47" i="127" s="1"/>
  <c r="P47" i="127"/>
  <c r="N47" i="127"/>
  <c r="M47" i="127"/>
  <c r="R46" i="127"/>
  <c r="Q46" i="127"/>
  <c r="P46" i="127"/>
  <c r="M46" i="127"/>
  <c r="N46" i="127" s="1"/>
  <c r="Q45" i="127"/>
  <c r="R45" i="127" s="1"/>
  <c r="P45" i="127"/>
  <c r="N45" i="127"/>
  <c r="M45" i="127"/>
  <c r="R44" i="127"/>
  <c r="Q44" i="127"/>
  <c r="P44" i="127"/>
  <c r="M44" i="127"/>
  <c r="N44" i="127" s="1"/>
  <c r="Q43" i="127"/>
  <c r="R43" i="127" s="1"/>
  <c r="P43" i="127"/>
  <c r="N43" i="127"/>
  <c r="M43" i="127"/>
  <c r="R42" i="127"/>
  <c r="Q42" i="127"/>
  <c r="P42" i="127"/>
  <c r="M42" i="127"/>
  <c r="N42" i="127" s="1"/>
  <c r="Q41" i="127"/>
  <c r="R41" i="127" s="1"/>
  <c r="P41" i="127"/>
  <c r="N41" i="127"/>
  <c r="M41" i="127"/>
  <c r="R40" i="127"/>
  <c r="Q40" i="127"/>
  <c r="P40" i="127"/>
  <c r="M40" i="127"/>
  <c r="N40" i="127" s="1"/>
  <c r="Q39" i="127"/>
  <c r="R39" i="127" s="1"/>
  <c r="P39" i="127"/>
  <c r="N39" i="127"/>
  <c r="M39" i="127"/>
  <c r="R38" i="127"/>
  <c r="Q38" i="127"/>
  <c r="P38" i="127"/>
  <c r="M38" i="127"/>
  <c r="N38" i="127" s="1"/>
  <c r="Q37" i="127"/>
  <c r="R37" i="127" s="1"/>
  <c r="P37" i="127"/>
  <c r="N37" i="127"/>
  <c r="M37" i="127"/>
  <c r="R36" i="127"/>
  <c r="Q36" i="127"/>
  <c r="P36" i="127"/>
  <c r="M36" i="127"/>
  <c r="N36" i="127" s="1"/>
  <c r="Q35" i="127"/>
  <c r="R35" i="127" s="1"/>
  <c r="P35" i="127"/>
  <c r="N35" i="127"/>
  <c r="M35" i="127"/>
  <c r="R34" i="127"/>
  <c r="Q34" i="127"/>
  <c r="P34" i="127"/>
  <c r="M34" i="127"/>
  <c r="N34" i="127" s="1"/>
  <c r="Q33" i="127"/>
  <c r="R33" i="127" s="1"/>
  <c r="P33" i="127"/>
  <c r="N33" i="127"/>
  <c r="M33" i="127"/>
  <c r="R32" i="127"/>
  <c r="Q32" i="127"/>
  <c r="P32" i="127"/>
  <c r="M32" i="127"/>
  <c r="N32" i="127" s="1"/>
  <c r="Q31" i="127"/>
  <c r="R31" i="127" s="1"/>
  <c r="P31" i="127"/>
  <c r="N31" i="127"/>
  <c r="M31" i="127"/>
  <c r="R30" i="127"/>
  <c r="Q30" i="127"/>
  <c r="P30" i="127"/>
  <c r="M30" i="127"/>
  <c r="N30" i="127" s="1"/>
  <c r="Q29" i="127"/>
  <c r="R29" i="127" s="1"/>
  <c r="P29" i="127"/>
  <c r="N29" i="127"/>
  <c r="M29" i="127"/>
  <c r="R28" i="127"/>
  <c r="Q28" i="127"/>
  <c r="P28" i="127"/>
  <c r="M28" i="127"/>
  <c r="N28" i="127" s="1"/>
  <c r="Q27" i="127"/>
  <c r="R27" i="127" s="1"/>
  <c r="P27" i="127"/>
  <c r="N27" i="127"/>
  <c r="M27" i="127"/>
  <c r="R26" i="127"/>
  <c r="Q26" i="127"/>
  <c r="P26" i="127"/>
  <c r="M26" i="127"/>
  <c r="N26" i="127" s="1"/>
  <c r="Q25" i="127"/>
  <c r="R25" i="127" s="1"/>
  <c r="P25" i="127"/>
  <c r="N25" i="127"/>
  <c r="M25" i="127"/>
  <c r="R24" i="127"/>
  <c r="Q24" i="127"/>
  <c r="P24" i="127"/>
  <c r="M24" i="127"/>
  <c r="N24" i="127" s="1"/>
  <c r="Q23" i="127"/>
  <c r="R23" i="127" s="1"/>
  <c r="P23" i="127"/>
  <c r="N23" i="127"/>
  <c r="M23" i="127"/>
  <c r="R22" i="127"/>
  <c r="Q22" i="127"/>
  <c r="P22" i="127"/>
  <c r="M22" i="127"/>
  <c r="N22" i="127" s="1"/>
  <c r="Q21" i="127"/>
  <c r="R21" i="127" s="1"/>
  <c r="P21" i="127"/>
  <c r="N21" i="127"/>
  <c r="M21" i="127"/>
  <c r="R20" i="127"/>
  <c r="Q20" i="127"/>
  <c r="P20" i="127"/>
  <c r="M20" i="127"/>
  <c r="N20" i="127" s="1"/>
  <c r="Q19" i="127"/>
  <c r="R19" i="127" s="1"/>
  <c r="P19" i="127"/>
  <c r="N19" i="127"/>
  <c r="M19" i="127"/>
  <c r="R18" i="127"/>
  <c r="Q18" i="127"/>
  <c r="P18" i="127"/>
  <c r="M18" i="127"/>
  <c r="N18" i="127" s="1"/>
  <c r="Q17" i="127"/>
  <c r="R17" i="127" s="1"/>
  <c r="P17" i="127"/>
  <c r="N17" i="127"/>
  <c r="M17" i="127"/>
  <c r="R16" i="127"/>
  <c r="Q16" i="127"/>
  <c r="P16" i="127"/>
  <c r="M16" i="127"/>
  <c r="N16" i="127" s="1"/>
  <c r="Q15" i="127"/>
  <c r="R15" i="127" s="1"/>
  <c r="P15" i="127"/>
  <c r="N15" i="127"/>
  <c r="M15" i="127"/>
  <c r="R14" i="127"/>
  <c r="Q14" i="127"/>
  <c r="P14" i="127"/>
  <c r="M14" i="127"/>
  <c r="N14" i="127" s="1"/>
  <c r="Q13" i="127"/>
  <c r="R13" i="127" s="1"/>
  <c r="P13" i="127"/>
  <c r="N13" i="127"/>
  <c r="M13" i="127"/>
  <c r="R12" i="127"/>
  <c r="Q12" i="127"/>
  <c r="P12" i="127"/>
  <c r="M12" i="127"/>
  <c r="N12" i="127" s="1"/>
  <c r="Q11" i="127"/>
  <c r="R11" i="127" s="1"/>
  <c r="P11" i="127"/>
  <c r="N11" i="127"/>
  <c r="M11" i="127"/>
  <c r="R10" i="127"/>
  <c r="Q10" i="127"/>
  <c r="P10" i="127"/>
  <c r="M10" i="127"/>
  <c r="N10" i="127" s="1"/>
  <c r="Q9" i="127"/>
  <c r="R9" i="127" s="1"/>
  <c r="P9" i="127"/>
  <c r="N9" i="127"/>
  <c r="M9" i="127"/>
  <c r="R8" i="127"/>
  <c r="Q8" i="127"/>
  <c r="P8" i="127"/>
  <c r="M8" i="127"/>
  <c r="N8" i="127" s="1"/>
  <c r="Q7" i="127"/>
  <c r="R7" i="127" s="1"/>
  <c r="P7" i="127"/>
  <c r="N7" i="127"/>
  <c r="M7" i="127"/>
  <c r="R6" i="127"/>
  <c r="Q6" i="127"/>
  <c r="P6" i="127"/>
  <c r="M6" i="127"/>
  <c r="N6" i="127" s="1"/>
  <c r="Q5" i="127"/>
  <c r="R5" i="127" s="1"/>
  <c r="P5" i="127"/>
  <c r="N5" i="127"/>
  <c r="M5" i="127"/>
  <c r="R4" i="127"/>
  <c r="Q4" i="127"/>
  <c r="P4" i="127"/>
  <c r="M4" i="127"/>
  <c r="N4" i="127" s="1"/>
  <c r="Q3" i="127"/>
  <c r="R3" i="127" s="1"/>
  <c r="P3" i="127"/>
  <c r="N3" i="127"/>
  <c r="M3" i="127"/>
  <c r="R2" i="127"/>
  <c r="Q2" i="127"/>
  <c r="P2" i="127"/>
  <c r="M2" i="127"/>
  <c r="N2" i="127" s="1"/>
  <c r="Q98" i="125"/>
  <c r="R98" i="125" s="1"/>
  <c r="P98" i="125"/>
  <c r="M98" i="125"/>
  <c r="N98" i="125" s="1"/>
  <c r="Q97" i="125"/>
  <c r="R97" i="125" s="1"/>
  <c r="P97" i="125"/>
  <c r="M97" i="125"/>
  <c r="N97" i="125" s="1"/>
  <c r="R96" i="125"/>
  <c r="Q96" i="125"/>
  <c r="P96" i="125"/>
  <c r="M96" i="125"/>
  <c r="N96" i="125" s="1"/>
  <c r="R95" i="125"/>
  <c r="Q95" i="125"/>
  <c r="P95" i="125"/>
  <c r="N95" i="125"/>
  <c r="M95" i="125"/>
  <c r="Q94" i="125"/>
  <c r="R94" i="125" s="1"/>
  <c r="P94" i="125"/>
  <c r="N94" i="125"/>
  <c r="M94" i="125"/>
  <c r="Q93" i="125"/>
  <c r="R93" i="125" s="1"/>
  <c r="P93" i="125"/>
  <c r="M93" i="125"/>
  <c r="N93" i="125" s="1"/>
  <c r="Q92" i="125"/>
  <c r="R92" i="125" s="1"/>
  <c r="P92" i="125"/>
  <c r="M92" i="125"/>
  <c r="N92" i="125" s="1"/>
  <c r="R91" i="125"/>
  <c r="Q91" i="125"/>
  <c r="P91" i="125"/>
  <c r="M91" i="125"/>
  <c r="N91" i="125" s="1"/>
  <c r="Q90" i="125"/>
  <c r="R90" i="125" s="1"/>
  <c r="P90" i="125"/>
  <c r="N90" i="125"/>
  <c r="M90" i="125"/>
  <c r="Q89" i="125"/>
  <c r="R89" i="125" s="1"/>
  <c r="P89" i="125"/>
  <c r="M89" i="125"/>
  <c r="N89" i="125" s="1"/>
  <c r="Q88" i="125"/>
  <c r="R88" i="125" s="1"/>
  <c r="P88" i="125"/>
  <c r="M88" i="125"/>
  <c r="N88" i="125" s="1"/>
  <c r="R87" i="125"/>
  <c r="Q87" i="125"/>
  <c r="P87" i="125"/>
  <c r="M87" i="125"/>
  <c r="N87" i="125" s="1"/>
  <c r="Q86" i="125"/>
  <c r="R86" i="125" s="1"/>
  <c r="P86" i="125"/>
  <c r="N86" i="125"/>
  <c r="M86" i="125"/>
  <c r="Q85" i="125"/>
  <c r="R85" i="125" s="1"/>
  <c r="P85" i="125"/>
  <c r="M85" i="125"/>
  <c r="N85" i="125" s="1"/>
  <c r="Q84" i="125"/>
  <c r="R84" i="125" s="1"/>
  <c r="P84" i="125"/>
  <c r="M84" i="125"/>
  <c r="N84" i="125" s="1"/>
  <c r="R83" i="125"/>
  <c r="Q83" i="125"/>
  <c r="P83" i="125"/>
  <c r="M83" i="125"/>
  <c r="N83" i="125" s="1"/>
  <c r="Q82" i="125"/>
  <c r="R82" i="125" s="1"/>
  <c r="P82" i="125"/>
  <c r="N82" i="125"/>
  <c r="M82" i="125"/>
  <c r="Q81" i="125"/>
  <c r="R81" i="125" s="1"/>
  <c r="P81" i="125"/>
  <c r="M81" i="125"/>
  <c r="N81" i="125" s="1"/>
  <c r="Q80" i="125"/>
  <c r="R80" i="125" s="1"/>
  <c r="P80" i="125"/>
  <c r="M80" i="125"/>
  <c r="N80" i="125" s="1"/>
  <c r="R79" i="125"/>
  <c r="Q79" i="125"/>
  <c r="P79" i="125"/>
  <c r="M79" i="125"/>
  <c r="N79" i="125" s="1"/>
  <c r="Q78" i="125"/>
  <c r="R78" i="125" s="1"/>
  <c r="P78" i="125"/>
  <c r="N78" i="125"/>
  <c r="M78" i="125"/>
  <c r="Q77" i="125"/>
  <c r="R77" i="125" s="1"/>
  <c r="P77" i="125"/>
  <c r="M77" i="125"/>
  <c r="N77" i="125" s="1"/>
  <c r="Q76" i="125"/>
  <c r="R76" i="125" s="1"/>
  <c r="P76" i="125"/>
  <c r="M76" i="125"/>
  <c r="N76" i="125" s="1"/>
  <c r="R75" i="125"/>
  <c r="Q75" i="125"/>
  <c r="P75" i="125"/>
  <c r="M75" i="125"/>
  <c r="N75" i="125" s="1"/>
  <c r="R74" i="125"/>
  <c r="Q74" i="125"/>
  <c r="P74" i="125"/>
  <c r="N74" i="125"/>
  <c r="M74" i="125"/>
  <c r="Q73" i="125"/>
  <c r="R73" i="125" s="1"/>
  <c r="P73" i="125"/>
  <c r="N73" i="125"/>
  <c r="Q72" i="125"/>
  <c r="R72" i="125" s="1"/>
  <c r="P72" i="125"/>
  <c r="N72" i="125"/>
  <c r="Q71" i="125"/>
  <c r="R71" i="125" s="1"/>
  <c r="P71" i="125"/>
  <c r="N71" i="125"/>
  <c r="Q70" i="125"/>
  <c r="R70" i="125" s="1"/>
  <c r="P70" i="125"/>
  <c r="N70" i="125"/>
  <c r="Q69" i="125"/>
  <c r="R69" i="125" s="1"/>
  <c r="P69" i="125"/>
  <c r="N69" i="125"/>
  <c r="Q68" i="125"/>
  <c r="R68" i="125" s="1"/>
  <c r="P68" i="125"/>
  <c r="N68" i="125"/>
  <c r="Q67" i="125"/>
  <c r="R67" i="125" s="1"/>
  <c r="P67" i="125"/>
  <c r="N67" i="125"/>
  <c r="M67" i="125"/>
  <c r="Q66" i="125"/>
  <c r="R66" i="125" s="1"/>
  <c r="P66" i="125"/>
  <c r="M66" i="125"/>
  <c r="N66" i="125" s="1"/>
  <c r="R65" i="125"/>
  <c r="Q65" i="125"/>
  <c r="P65" i="125"/>
  <c r="M65" i="125"/>
  <c r="N65" i="125" s="1"/>
  <c r="R64" i="125"/>
  <c r="Q64" i="125"/>
  <c r="P64" i="125"/>
  <c r="N64" i="125"/>
  <c r="M64" i="125"/>
  <c r="Q63" i="125"/>
  <c r="R63" i="125" s="1"/>
  <c r="P63" i="125"/>
  <c r="N63" i="125"/>
  <c r="M63" i="125"/>
  <c r="Q62" i="125"/>
  <c r="R62" i="125" s="1"/>
  <c r="P62" i="125"/>
  <c r="M62" i="125"/>
  <c r="N62" i="125" s="1"/>
  <c r="R61" i="125"/>
  <c r="Q61" i="125"/>
  <c r="P61" i="125"/>
  <c r="M61" i="125"/>
  <c r="N61" i="125" s="1"/>
  <c r="R60" i="125"/>
  <c r="Q60" i="125"/>
  <c r="P60" i="125"/>
  <c r="N60" i="125"/>
  <c r="M60" i="125"/>
  <c r="Q59" i="125"/>
  <c r="R59" i="125" s="1"/>
  <c r="P59" i="125"/>
  <c r="N59" i="125"/>
  <c r="M59" i="125"/>
  <c r="Q58" i="125"/>
  <c r="R58" i="125" s="1"/>
  <c r="P58" i="125"/>
  <c r="M58" i="125"/>
  <c r="N58" i="125" s="1"/>
  <c r="R57" i="125"/>
  <c r="Q57" i="125"/>
  <c r="P57" i="125"/>
  <c r="M57" i="125"/>
  <c r="N57" i="125" s="1"/>
  <c r="R56" i="125"/>
  <c r="Q56" i="125"/>
  <c r="P56" i="125"/>
  <c r="N56" i="125"/>
  <c r="M56" i="125"/>
  <c r="Q55" i="125"/>
  <c r="R55" i="125" s="1"/>
  <c r="P55" i="125"/>
  <c r="N55" i="125"/>
  <c r="M55" i="125"/>
  <c r="Q54" i="125"/>
  <c r="R54" i="125" s="1"/>
  <c r="P54" i="125"/>
  <c r="M54" i="125"/>
  <c r="N54" i="125" s="1"/>
  <c r="R53" i="125"/>
  <c r="Q53" i="125"/>
  <c r="P53" i="125"/>
  <c r="M53" i="125"/>
  <c r="N53" i="125" s="1"/>
  <c r="R52" i="125"/>
  <c r="Q52" i="125"/>
  <c r="P52" i="125"/>
  <c r="N52" i="125"/>
  <c r="M52" i="125"/>
  <c r="Q51" i="125"/>
  <c r="R51" i="125" s="1"/>
  <c r="P51" i="125"/>
  <c r="N51" i="125"/>
  <c r="M51" i="125"/>
  <c r="Q50" i="125"/>
  <c r="R50" i="125" s="1"/>
  <c r="P50" i="125"/>
  <c r="M50" i="125"/>
  <c r="N50" i="125" s="1"/>
  <c r="R49" i="125"/>
  <c r="Q49" i="125"/>
  <c r="P49" i="125"/>
  <c r="M49" i="125"/>
  <c r="N49" i="125" s="1"/>
  <c r="R48" i="125"/>
  <c r="Q48" i="125"/>
  <c r="P48" i="125"/>
  <c r="N48" i="125"/>
  <c r="M48" i="125"/>
  <c r="Q47" i="125"/>
  <c r="R47" i="125" s="1"/>
  <c r="P47" i="125"/>
  <c r="N47" i="125"/>
  <c r="M47" i="125"/>
  <c r="Q46" i="125"/>
  <c r="R46" i="125" s="1"/>
  <c r="P46" i="125"/>
  <c r="M46" i="125"/>
  <c r="N46" i="125" s="1"/>
  <c r="R45" i="125"/>
  <c r="Q45" i="125"/>
  <c r="P45" i="125"/>
  <c r="M45" i="125"/>
  <c r="N45" i="125" s="1"/>
  <c r="R44" i="125"/>
  <c r="Q44" i="125"/>
  <c r="P44" i="125"/>
  <c r="N44" i="125"/>
  <c r="M44" i="125"/>
  <c r="Q43" i="125"/>
  <c r="R43" i="125" s="1"/>
  <c r="P43" i="125"/>
  <c r="N43" i="125"/>
  <c r="M43" i="125"/>
  <c r="Q42" i="125"/>
  <c r="R42" i="125" s="1"/>
  <c r="P42" i="125"/>
  <c r="M42" i="125"/>
  <c r="N42" i="125" s="1"/>
  <c r="R41" i="125"/>
  <c r="Q41" i="125"/>
  <c r="P41" i="125"/>
  <c r="M41" i="125"/>
  <c r="N41" i="125" s="1"/>
  <c r="R40" i="125"/>
  <c r="Q40" i="125"/>
  <c r="P40" i="125"/>
  <c r="N40" i="125"/>
  <c r="M40" i="125"/>
  <c r="Q39" i="125"/>
  <c r="R39" i="125" s="1"/>
  <c r="P39" i="125"/>
  <c r="N39" i="125"/>
  <c r="M39" i="125"/>
  <c r="Q38" i="125"/>
  <c r="R38" i="125" s="1"/>
  <c r="P38" i="125"/>
  <c r="M38" i="125"/>
  <c r="N38" i="125" s="1"/>
  <c r="R37" i="125"/>
  <c r="Q37" i="125"/>
  <c r="P37" i="125"/>
  <c r="M37" i="125"/>
  <c r="N37" i="125" s="1"/>
  <c r="R36" i="125"/>
  <c r="Q36" i="125"/>
  <c r="P36" i="125"/>
  <c r="N36" i="125"/>
  <c r="M36" i="125"/>
  <c r="Q35" i="125"/>
  <c r="R35" i="125" s="1"/>
  <c r="P35" i="125"/>
  <c r="N35" i="125"/>
  <c r="M35" i="125"/>
  <c r="Q34" i="125"/>
  <c r="R34" i="125" s="1"/>
  <c r="P34" i="125"/>
  <c r="M34" i="125"/>
  <c r="N34" i="125" s="1"/>
  <c r="R33" i="125"/>
  <c r="Q33" i="125"/>
  <c r="P33" i="125"/>
  <c r="M33" i="125"/>
  <c r="N33" i="125" s="1"/>
  <c r="R32" i="125"/>
  <c r="Q32" i="125"/>
  <c r="P32" i="125"/>
  <c r="N32" i="125"/>
  <c r="M32" i="125"/>
  <c r="Q31" i="125"/>
  <c r="R31" i="125" s="1"/>
  <c r="P31" i="125"/>
  <c r="N31" i="125"/>
  <c r="M31" i="125"/>
  <c r="Q30" i="125"/>
  <c r="R30" i="125" s="1"/>
  <c r="P30" i="125"/>
  <c r="M30" i="125"/>
  <c r="N30" i="125" s="1"/>
  <c r="R29" i="125"/>
  <c r="Q29" i="125"/>
  <c r="P29" i="125"/>
  <c r="M29" i="125"/>
  <c r="N29" i="125" s="1"/>
  <c r="R28" i="125"/>
  <c r="Q28" i="125"/>
  <c r="P28" i="125"/>
  <c r="N28" i="125"/>
  <c r="M28" i="125"/>
  <c r="Q27" i="125"/>
  <c r="R27" i="125" s="1"/>
  <c r="P27" i="125"/>
  <c r="N27" i="125"/>
  <c r="M27" i="125"/>
  <c r="Q26" i="125"/>
  <c r="R26" i="125" s="1"/>
  <c r="P26" i="125"/>
  <c r="M26" i="125"/>
  <c r="N26" i="125" s="1"/>
  <c r="R25" i="125"/>
  <c r="Q25" i="125"/>
  <c r="P25" i="125"/>
  <c r="M25" i="125"/>
  <c r="N25" i="125" s="1"/>
  <c r="R24" i="125"/>
  <c r="Q24" i="125"/>
  <c r="P24" i="125"/>
  <c r="N24" i="125"/>
  <c r="M24" i="125"/>
  <c r="Q23" i="125"/>
  <c r="R23" i="125" s="1"/>
  <c r="P23" i="125"/>
  <c r="N23" i="125"/>
  <c r="M23" i="125"/>
  <c r="Q22" i="125"/>
  <c r="R22" i="125" s="1"/>
  <c r="P22" i="125"/>
  <c r="M22" i="125"/>
  <c r="N22" i="125" s="1"/>
  <c r="R21" i="125"/>
  <c r="Q21" i="125"/>
  <c r="P21" i="125"/>
  <c r="M21" i="125"/>
  <c r="N21" i="125" s="1"/>
  <c r="R20" i="125"/>
  <c r="Q20" i="125"/>
  <c r="P20" i="125"/>
  <c r="N20" i="125"/>
  <c r="M20" i="125"/>
  <c r="Q19" i="125"/>
  <c r="R19" i="125" s="1"/>
  <c r="P19" i="125"/>
  <c r="N19" i="125"/>
  <c r="M19" i="125"/>
  <c r="Q18" i="125"/>
  <c r="R18" i="125" s="1"/>
  <c r="P18" i="125"/>
  <c r="M18" i="125"/>
  <c r="N18" i="125" s="1"/>
  <c r="R17" i="125"/>
  <c r="Q17" i="125"/>
  <c r="P17" i="125"/>
  <c r="M17" i="125"/>
  <c r="N17" i="125" s="1"/>
  <c r="R16" i="125"/>
  <c r="Q16" i="125"/>
  <c r="P16" i="125"/>
  <c r="N16" i="125"/>
  <c r="M16" i="125"/>
  <c r="Q15" i="125"/>
  <c r="R15" i="125" s="1"/>
  <c r="P15" i="125"/>
  <c r="N15" i="125"/>
  <c r="M15" i="125"/>
  <c r="Q14" i="125"/>
  <c r="R14" i="125" s="1"/>
  <c r="P14" i="125"/>
  <c r="M14" i="125"/>
  <c r="N14" i="125" s="1"/>
  <c r="R13" i="125"/>
  <c r="Q13" i="125"/>
  <c r="P13" i="125"/>
  <c r="M13" i="125"/>
  <c r="N13" i="125" s="1"/>
  <c r="R12" i="125"/>
  <c r="Q12" i="125"/>
  <c r="P12" i="125"/>
  <c r="N12" i="125"/>
  <c r="M12" i="125"/>
  <c r="Q11" i="125"/>
  <c r="R11" i="125" s="1"/>
  <c r="P11" i="125"/>
  <c r="N11" i="125"/>
  <c r="M11" i="125"/>
  <c r="Q10" i="125"/>
  <c r="R10" i="125" s="1"/>
  <c r="P10" i="125"/>
  <c r="M10" i="125"/>
  <c r="N10" i="125" s="1"/>
  <c r="R9" i="125"/>
  <c r="Q9" i="125"/>
  <c r="P9" i="125"/>
  <c r="M9" i="125"/>
  <c r="N9" i="125" s="1"/>
  <c r="R8" i="125"/>
  <c r="Q8" i="125"/>
  <c r="P8" i="125"/>
  <c r="M8" i="125"/>
  <c r="N8" i="125" s="1"/>
  <c r="Q7" i="125"/>
  <c r="R7" i="125" s="1"/>
  <c r="P7" i="125"/>
  <c r="N7" i="125"/>
  <c r="M7" i="125"/>
  <c r="Q6" i="125"/>
  <c r="R6" i="125" s="1"/>
  <c r="P6" i="125"/>
  <c r="M6" i="125"/>
  <c r="N6" i="125" s="1"/>
  <c r="Q5" i="125"/>
  <c r="R5" i="125" s="1"/>
  <c r="P5" i="125"/>
  <c r="M5" i="125"/>
  <c r="N5" i="125" s="1"/>
  <c r="R4" i="125"/>
  <c r="Q4" i="125"/>
  <c r="P4" i="125"/>
  <c r="M4" i="125"/>
  <c r="N4" i="125" s="1"/>
  <c r="Q3" i="125"/>
  <c r="R3" i="125" s="1"/>
  <c r="P3" i="125"/>
  <c r="N3" i="125"/>
  <c r="M3" i="125"/>
  <c r="Q2" i="125"/>
  <c r="R2" i="125" s="1"/>
  <c r="P2" i="125"/>
  <c r="M2" i="125"/>
  <c r="N2" i="125" s="1"/>
  <c r="Q169" i="124"/>
  <c r="R169" i="124" s="1"/>
  <c r="P169" i="124"/>
  <c r="M169" i="124"/>
  <c r="N169" i="124" s="1"/>
  <c r="Q168" i="124"/>
  <c r="R168" i="124" s="1"/>
  <c r="P168" i="124"/>
  <c r="M168" i="124"/>
  <c r="N168" i="124" s="1"/>
  <c r="Q167" i="124"/>
  <c r="R167" i="124" s="1"/>
  <c r="P167" i="124"/>
  <c r="M167" i="124"/>
  <c r="N167" i="124" s="1"/>
  <c r="R166" i="124"/>
  <c r="Q166" i="124"/>
  <c r="P166" i="124"/>
  <c r="M166" i="124"/>
  <c r="N166" i="124" s="1"/>
  <c r="Q165" i="124"/>
  <c r="R165" i="124" s="1"/>
  <c r="P165" i="124"/>
  <c r="N165" i="124"/>
  <c r="M165" i="124"/>
  <c r="R164" i="124"/>
  <c r="Q164" i="124"/>
  <c r="P164" i="124"/>
  <c r="M164" i="124"/>
  <c r="N164" i="124" s="1"/>
  <c r="Q163" i="124"/>
  <c r="R163" i="124" s="1"/>
  <c r="P163" i="124"/>
  <c r="N163" i="124"/>
  <c r="M163" i="124"/>
  <c r="R162" i="124"/>
  <c r="Q162" i="124"/>
  <c r="P162" i="124"/>
  <c r="M162" i="124"/>
  <c r="N162" i="124" s="1"/>
  <c r="Q161" i="124"/>
  <c r="R161" i="124" s="1"/>
  <c r="P161" i="124"/>
  <c r="N161" i="124"/>
  <c r="M161" i="124"/>
  <c r="R160" i="124"/>
  <c r="Q160" i="124"/>
  <c r="P160" i="124"/>
  <c r="M160" i="124"/>
  <c r="N160" i="124" s="1"/>
  <c r="Q159" i="124"/>
  <c r="R159" i="124" s="1"/>
  <c r="P159" i="124"/>
  <c r="N159" i="124"/>
  <c r="M159" i="124"/>
  <c r="R158" i="124"/>
  <c r="Q158" i="124"/>
  <c r="P158" i="124"/>
  <c r="M158" i="124"/>
  <c r="N158" i="124" s="1"/>
  <c r="Q157" i="124"/>
  <c r="R157" i="124" s="1"/>
  <c r="P157" i="124"/>
  <c r="N157" i="124"/>
  <c r="M157" i="124"/>
  <c r="R156" i="124"/>
  <c r="Q156" i="124"/>
  <c r="P156" i="124"/>
  <c r="M156" i="124"/>
  <c r="N156" i="124" s="1"/>
  <c r="Q155" i="124"/>
  <c r="R155" i="124" s="1"/>
  <c r="P155" i="124"/>
  <c r="N155" i="124"/>
  <c r="M155" i="124"/>
  <c r="R154" i="124"/>
  <c r="Q154" i="124"/>
  <c r="P154" i="124"/>
  <c r="M154" i="124"/>
  <c r="N154" i="124" s="1"/>
  <c r="Q153" i="124"/>
  <c r="R153" i="124" s="1"/>
  <c r="P153" i="124"/>
  <c r="N153" i="124"/>
  <c r="M153" i="124"/>
  <c r="R152" i="124"/>
  <c r="Q152" i="124"/>
  <c r="P152" i="124"/>
  <c r="M152" i="124"/>
  <c r="N152" i="124" s="1"/>
  <c r="Q151" i="124"/>
  <c r="R151" i="124" s="1"/>
  <c r="P151" i="124"/>
  <c r="N151" i="124"/>
  <c r="M151" i="124"/>
  <c r="R150" i="124"/>
  <c r="Q150" i="124"/>
  <c r="P150" i="124"/>
  <c r="M150" i="124"/>
  <c r="N150" i="124" s="1"/>
  <c r="Q149" i="124"/>
  <c r="R149" i="124" s="1"/>
  <c r="P149" i="124"/>
  <c r="N149" i="124"/>
  <c r="M149" i="124"/>
  <c r="R148" i="124"/>
  <c r="Q148" i="124"/>
  <c r="P148" i="124"/>
  <c r="M148" i="124"/>
  <c r="N148" i="124" s="1"/>
  <c r="Q147" i="124"/>
  <c r="R147" i="124" s="1"/>
  <c r="P147" i="124"/>
  <c r="N147" i="124"/>
  <c r="M147" i="124"/>
  <c r="R146" i="124"/>
  <c r="Q146" i="124"/>
  <c r="P146" i="124"/>
  <c r="M146" i="124"/>
  <c r="N146" i="124" s="1"/>
  <c r="Q145" i="124"/>
  <c r="R145" i="124" s="1"/>
  <c r="P145" i="124"/>
  <c r="N145" i="124"/>
  <c r="M145" i="124"/>
  <c r="R144" i="124"/>
  <c r="Q144" i="124"/>
  <c r="P144" i="124"/>
  <c r="M144" i="124"/>
  <c r="N144" i="124" s="1"/>
  <c r="Q143" i="124"/>
  <c r="R143" i="124" s="1"/>
  <c r="P143" i="124"/>
  <c r="N143" i="124"/>
  <c r="M143" i="124"/>
  <c r="R142" i="124"/>
  <c r="Q142" i="124"/>
  <c r="P142" i="124"/>
  <c r="M142" i="124"/>
  <c r="N142" i="124" s="1"/>
  <c r="Q141" i="124"/>
  <c r="R141" i="124" s="1"/>
  <c r="P141" i="124"/>
  <c r="N141" i="124"/>
  <c r="M141" i="124"/>
  <c r="R140" i="124"/>
  <c r="Q140" i="124"/>
  <c r="P140" i="124"/>
  <c r="M140" i="124"/>
  <c r="N140" i="124" s="1"/>
  <c r="Q139" i="124"/>
  <c r="R139" i="124" s="1"/>
  <c r="P139" i="124"/>
  <c r="N139" i="124"/>
  <c r="M139" i="124"/>
  <c r="R138" i="124"/>
  <c r="Q138" i="124"/>
  <c r="P138" i="124"/>
  <c r="M138" i="124"/>
  <c r="N138" i="124" s="1"/>
  <c r="Q137" i="124"/>
  <c r="R137" i="124" s="1"/>
  <c r="P137" i="124"/>
  <c r="N137" i="124"/>
  <c r="M137" i="124"/>
  <c r="R136" i="124"/>
  <c r="Q136" i="124"/>
  <c r="P136" i="124"/>
  <c r="M136" i="124"/>
  <c r="N136" i="124" s="1"/>
  <c r="Q135" i="124"/>
  <c r="R135" i="124" s="1"/>
  <c r="P135" i="124"/>
  <c r="N135" i="124"/>
  <c r="Q134" i="124"/>
  <c r="R134" i="124" s="1"/>
  <c r="P134" i="124"/>
  <c r="N134" i="124"/>
  <c r="M134" i="124"/>
  <c r="R133" i="124"/>
  <c r="Q133" i="124"/>
  <c r="P133" i="124"/>
  <c r="N133" i="124"/>
  <c r="R132" i="124"/>
  <c r="Q132" i="124"/>
  <c r="P132" i="124"/>
  <c r="M132" i="124"/>
  <c r="N132" i="124" s="1"/>
  <c r="Q131" i="124"/>
  <c r="R131" i="124" s="1"/>
  <c r="P131" i="124"/>
  <c r="N131" i="124"/>
  <c r="Q130" i="124"/>
  <c r="R130" i="124" s="1"/>
  <c r="P130" i="124"/>
  <c r="N130" i="124"/>
  <c r="Q129" i="124"/>
  <c r="R129" i="124" s="1"/>
  <c r="P129" i="124"/>
  <c r="N129" i="124"/>
  <c r="Q128" i="124"/>
  <c r="R128" i="124" s="1"/>
  <c r="P128" i="124"/>
  <c r="N128" i="124"/>
  <c r="Q127" i="124"/>
  <c r="R127" i="124" s="1"/>
  <c r="P127" i="124"/>
  <c r="N127" i="124"/>
  <c r="M127" i="124"/>
  <c r="R126" i="124"/>
  <c r="Q126" i="124"/>
  <c r="P126" i="124"/>
  <c r="M126" i="124"/>
  <c r="N126" i="124" s="1"/>
  <c r="Q125" i="124"/>
  <c r="R125" i="124" s="1"/>
  <c r="P125" i="124"/>
  <c r="N125" i="124"/>
  <c r="M125" i="124"/>
  <c r="R124" i="124"/>
  <c r="Q124" i="124"/>
  <c r="P124" i="124"/>
  <c r="M124" i="124"/>
  <c r="N124" i="124" s="1"/>
  <c r="Q123" i="124"/>
  <c r="R123" i="124" s="1"/>
  <c r="P123" i="124"/>
  <c r="N123" i="124"/>
  <c r="M123" i="124"/>
  <c r="R122" i="124"/>
  <c r="Q122" i="124"/>
  <c r="P122" i="124"/>
  <c r="M122" i="124"/>
  <c r="N122" i="124" s="1"/>
  <c r="Q121" i="124"/>
  <c r="R121" i="124" s="1"/>
  <c r="P121" i="124"/>
  <c r="N121" i="124"/>
  <c r="M121" i="124"/>
  <c r="Q120" i="124"/>
  <c r="R120" i="124" s="1"/>
  <c r="P120" i="124"/>
  <c r="N120" i="124"/>
  <c r="R119" i="124"/>
  <c r="Q119" i="124"/>
  <c r="P119" i="124"/>
  <c r="M119" i="124"/>
  <c r="N119" i="124" s="1"/>
  <c r="Q118" i="124"/>
  <c r="R118" i="124" s="1"/>
  <c r="P118" i="124"/>
  <c r="N118" i="124"/>
  <c r="M118" i="124"/>
  <c r="R117" i="124"/>
  <c r="Q117" i="124"/>
  <c r="P117" i="124"/>
  <c r="M117" i="124"/>
  <c r="N117" i="124" s="1"/>
  <c r="Q116" i="124"/>
  <c r="R116" i="124" s="1"/>
  <c r="P116" i="124"/>
  <c r="N116" i="124"/>
  <c r="M116" i="124"/>
  <c r="R115" i="124"/>
  <c r="Q115" i="124"/>
  <c r="P115" i="124"/>
  <c r="M115" i="124"/>
  <c r="N115" i="124" s="1"/>
  <c r="Q114" i="124"/>
  <c r="R114" i="124" s="1"/>
  <c r="P114" i="124"/>
  <c r="N114" i="124"/>
  <c r="M114" i="124"/>
  <c r="R113" i="124"/>
  <c r="Q113" i="124"/>
  <c r="P113" i="124"/>
  <c r="M113" i="124"/>
  <c r="N113" i="124" s="1"/>
  <c r="Q112" i="124"/>
  <c r="R112" i="124" s="1"/>
  <c r="P112" i="124"/>
  <c r="N112" i="124"/>
  <c r="M112" i="124"/>
  <c r="R111" i="124"/>
  <c r="Q111" i="124"/>
  <c r="P111" i="124"/>
  <c r="M111" i="124"/>
  <c r="N111" i="124" s="1"/>
  <c r="Q110" i="124"/>
  <c r="R110" i="124" s="1"/>
  <c r="P110" i="124"/>
  <c r="N110" i="124"/>
  <c r="M110" i="124"/>
  <c r="R109" i="124"/>
  <c r="Q109" i="124"/>
  <c r="P109" i="124"/>
  <c r="M109" i="124"/>
  <c r="N109" i="124" s="1"/>
  <c r="Q108" i="124"/>
  <c r="R108" i="124" s="1"/>
  <c r="P108" i="124"/>
  <c r="N108" i="124"/>
  <c r="M108" i="124"/>
  <c r="R107" i="124"/>
  <c r="Q107" i="124"/>
  <c r="P107" i="124"/>
  <c r="M107" i="124"/>
  <c r="N107" i="124" s="1"/>
  <c r="Q106" i="124"/>
  <c r="R106" i="124" s="1"/>
  <c r="P106" i="124"/>
  <c r="N106" i="124"/>
  <c r="M106" i="124"/>
  <c r="R105" i="124"/>
  <c r="Q105" i="124"/>
  <c r="P105" i="124"/>
  <c r="M105" i="124"/>
  <c r="N105" i="124" s="1"/>
  <c r="Q104" i="124"/>
  <c r="R104" i="124" s="1"/>
  <c r="P104" i="124"/>
  <c r="N104" i="124"/>
  <c r="M104" i="124"/>
  <c r="R103" i="124"/>
  <c r="Q103" i="124"/>
  <c r="P103" i="124"/>
  <c r="M103" i="124"/>
  <c r="N103" i="124" s="1"/>
  <c r="Q102" i="124"/>
  <c r="R102" i="124" s="1"/>
  <c r="P102" i="124"/>
  <c r="N102" i="124"/>
  <c r="M102" i="124"/>
  <c r="R101" i="124"/>
  <c r="Q101" i="124"/>
  <c r="P101" i="124"/>
  <c r="M101" i="124"/>
  <c r="N101" i="124" s="1"/>
  <c r="Q100" i="124"/>
  <c r="R100" i="124" s="1"/>
  <c r="P100" i="124"/>
  <c r="N100" i="124"/>
  <c r="M100" i="124"/>
  <c r="R99" i="124"/>
  <c r="Q99" i="124"/>
  <c r="P99" i="124"/>
  <c r="M99" i="124"/>
  <c r="N99" i="124" s="1"/>
  <c r="Q98" i="124"/>
  <c r="R98" i="124" s="1"/>
  <c r="P98" i="124"/>
  <c r="N98" i="124"/>
  <c r="M98" i="124"/>
  <c r="R97" i="124"/>
  <c r="Q97" i="124"/>
  <c r="P97" i="124"/>
  <c r="M97" i="124"/>
  <c r="N97" i="124" s="1"/>
  <c r="Q96" i="124"/>
  <c r="R96" i="124" s="1"/>
  <c r="P96" i="124"/>
  <c r="N96" i="124"/>
  <c r="M96" i="124"/>
  <c r="R95" i="124"/>
  <c r="Q95" i="124"/>
  <c r="P95" i="124"/>
  <c r="M95" i="124"/>
  <c r="N95" i="124" s="1"/>
  <c r="Q94" i="124"/>
  <c r="R94" i="124" s="1"/>
  <c r="P94" i="124"/>
  <c r="N94" i="124"/>
  <c r="M94" i="124"/>
  <c r="R93" i="124"/>
  <c r="Q93" i="124"/>
  <c r="P93" i="124"/>
  <c r="M93" i="124"/>
  <c r="N93" i="124" s="1"/>
  <c r="Q92" i="124"/>
  <c r="R92" i="124" s="1"/>
  <c r="P92" i="124"/>
  <c r="N92" i="124"/>
  <c r="M92" i="124"/>
  <c r="R91" i="124"/>
  <c r="Q91" i="124"/>
  <c r="P91" i="124"/>
  <c r="M91" i="124"/>
  <c r="N91" i="124" s="1"/>
  <c r="Q90" i="124"/>
  <c r="R90" i="124" s="1"/>
  <c r="P90" i="124"/>
  <c r="N90" i="124"/>
  <c r="M90" i="124"/>
  <c r="R89" i="124"/>
  <c r="Q89" i="124"/>
  <c r="P89" i="124"/>
  <c r="M89" i="124"/>
  <c r="N89" i="124" s="1"/>
  <c r="Q88" i="124"/>
  <c r="R88" i="124" s="1"/>
  <c r="P88" i="124"/>
  <c r="N88" i="124"/>
  <c r="M88" i="124"/>
  <c r="R87" i="124"/>
  <c r="Q87" i="124"/>
  <c r="P87" i="124"/>
  <c r="M87" i="124"/>
  <c r="N87" i="124" s="1"/>
  <c r="Q86" i="124"/>
  <c r="R86" i="124" s="1"/>
  <c r="P86" i="124"/>
  <c r="N86" i="124"/>
  <c r="M86" i="124"/>
  <c r="R85" i="124"/>
  <c r="Q85" i="124"/>
  <c r="P85" i="124"/>
  <c r="M85" i="124"/>
  <c r="N85" i="124" s="1"/>
  <c r="Q84" i="124"/>
  <c r="R84" i="124" s="1"/>
  <c r="P84" i="124"/>
  <c r="N84" i="124"/>
  <c r="M84" i="124"/>
  <c r="R83" i="124"/>
  <c r="Q83" i="124"/>
  <c r="P83" i="124"/>
  <c r="M83" i="124"/>
  <c r="N83" i="124" s="1"/>
  <c r="Q82" i="124"/>
  <c r="R82" i="124" s="1"/>
  <c r="P82" i="124"/>
  <c r="N82" i="124"/>
  <c r="M82" i="124"/>
  <c r="R81" i="124"/>
  <c r="Q81" i="124"/>
  <c r="P81" i="124"/>
  <c r="M81" i="124"/>
  <c r="N81" i="124" s="1"/>
  <c r="Q80" i="124"/>
  <c r="R80" i="124" s="1"/>
  <c r="P80" i="124"/>
  <c r="N80" i="124"/>
  <c r="M80" i="124"/>
  <c r="R79" i="124"/>
  <c r="Q79" i="124"/>
  <c r="P79" i="124"/>
  <c r="M79" i="124"/>
  <c r="N79" i="124" s="1"/>
  <c r="Q78" i="124"/>
  <c r="R78" i="124" s="1"/>
  <c r="P78" i="124"/>
  <c r="N78" i="124"/>
  <c r="M78" i="124"/>
  <c r="R77" i="124"/>
  <c r="Q77" i="124"/>
  <c r="P77" i="124"/>
  <c r="M77" i="124"/>
  <c r="N77" i="124" s="1"/>
  <c r="Q76" i="124"/>
  <c r="R76" i="124" s="1"/>
  <c r="P76" i="124"/>
  <c r="N76" i="124"/>
  <c r="M76" i="124"/>
  <c r="R75" i="124"/>
  <c r="Q75" i="124"/>
  <c r="P75" i="124"/>
  <c r="M75" i="124"/>
  <c r="N75" i="124" s="1"/>
  <c r="Q74" i="124"/>
  <c r="R74" i="124" s="1"/>
  <c r="P74" i="124"/>
  <c r="N74" i="124"/>
  <c r="M74" i="124"/>
  <c r="R73" i="124"/>
  <c r="Q73" i="124"/>
  <c r="P73" i="124"/>
  <c r="M73" i="124"/>
  <c r="N73" i="124" s="1"/>
  <c r="Q72" i="124"/>
  <c r="R72" i="124" s="1"/>
  <c r="P72" i="124"/>
  <c r="N72" i="124"/>
  <c r="M72" i="124"/>
  <c r="R71" i="124"/>
  <c r="Q71" i="124"/>
  <c r="P71" i="124"/>
  <c r="M71" i="124"/>
  <c r="N71" i="124" s="1"/>
  <c r="Q70" i="124"/>
  <c r="R70" i="124" s="1"/>
  <c r="P70" i="124"/>
  <c r="N70" i="124"/>
  <c r="M70" i="124"/>
  <c r="R69" i="124"/>
  <c r="Q69" i="124"/>
  <c r="P69" i="124"/>
  <c r="M69" i="124"/>
  <c r="N69" i="124" s="1"/>
  <c r="Q68" i="124"/>
  <c r="R68" i="124" s="1"/>
  <c r="P68" i="124"/>
  <c r="N68" i="124"/>
  <c r="M68" i="124"/>
  <c r="R67" i="124"/>
  <c r="Q67" i="124"/>
  <c r="P67" i="124"/>
  <c r="M67" i="124"/>
  <c r="N67" i="124" s="1"/>
  <c r="Q66" i="124"/>
  <c r="R66" i="124" s="1"/>
  <c r="P66" i="124"/>
  <c r="N66" i="124"/>
  <c r="M66" i="124"/>
  <c r="R65" i="124"/>
  <c r="Q65" i="124"/>
  <c r="P65" i="124"/>
  <c r="M65" i="124"/>
  <c r="N65" i="124" s="1"/>
  <c r="Q64" i="124"/>
  <c r="R64" i="124" s="1"/>
  <c r="P64" i="124"/>
  <c r="N64" i="124"/>
  <c r="M64" i="124"/>
  <c r="R63" i="124"/>
  <c r="Q63" i="124"/>
  <c r="P63" i="124"/>
  <c r="M63" i="124"/>
  <c r="N63" i="124" s="1"/>
  <c r="Q62" i="124"/>
  <c r="R62" i="124" s="1"/>
  <c r="P62" i="124"/>
  <c r="N62" i="124"/>
  <c r="M62" i="124"/>
  <c r="R61" i="124"/>
  <c r="Q61" i="124"/>
  <c r="P61" i="124"/>
  <c r="M61" i="124"/>
  <c r="N61" i="124" s="1"/>
  <c r="Q60" i="124"/>
  <c r="R60" i="124" s="1"/>
  <c r="P60" i="124"/>
  <c r="N60" i="124"/>
  <c r="M60" i="124"/>
  <c r="R59" i="124"/>
  <c r="Q59" i="124"/>
  <c r="P59" i="124"/>
  <c r="M59" i="124"/>
  <c r="N59" i="124" s="1"/>
  <c r="Q58" i="124"/>
  <c r="R58" i="124" s="1"/>
  <c r="P58" i="124"/>
  <c r="N58" i="124"/>
  <c r="M58" i="124"/>
  <c r="R57" i="124"/>
  <c r="Q57" i="124"/>
  <c r="P57" i="124"/>
  <c r="M57" i="124"/>
  <c r="N57" i="124" s="1"/>
  <c r="Q56" i="124"/>
  <c r="R56" i="124" s="1"/>
  <c r="P56" i="124"/>
  <c r="N56" i="124"/>
  <c r="M56" i="124"/>
  <c r="R55" i="124"/>
  <c r="Q55" i="124"/>
  <c r="P55" i="124"/>
  <c r="M55" i="124"/>
  <c r="N55" i="124" s="1"/>
  <c r="Q54" i="124"/>
  <c r="R54" i="124" s="1"/>
  <c r="P54" i="124"/>
  <c r="N54" i="124"/>
  <c r="M54" i="124"/>
  <c r="R53" i="124"/>
  <c r="Q53" i="124"/>
  <c r="P53" i="124"/>
  <c r="M53" i="124"/>
  <c r="N53" i="124" s="1"/>
  <c r="Q52" i="124"/>
  <c r="R52" i="124" s="1"/>
  <c r="P52" i="124"/>
  <c r="N52" i="124"/>
  <c r="M52" i="124"/>
  <c r="R51" i="124"/>
  <c r="Q51" i="124"/>
  <c r="P51" i="124"/>
  <c r="M51" i="124"/>
  <c r="N51" i="124" s="1"/>
  <c r="Q50" i="124"/>
  <c r="R50" i="124" s="1"/>
  <c r="P50" i="124"/>
  <c r="N50" i="124"/>
  <c r="M50" i="124"/>
  <c r="R49" i="124"/>
  <c r="Q49" i="124"/>
  <c r="P49" i="124"/>
  <c r="M49" i="124"/>
  <c r="N49" i="124" s="1"/>
  <c r="Q48" i="124"/>
  <c r="R48" i="124" s="1"/>
  <c r="P48" i="124"/>
  <c r="N48" i="124"/>
  <c r="M48" i="124"/>
  <c r="R47" i="124"/>
  <c r="Q47" i="124"/>
  <c r="P47" i="124"/>
  <c r="M47" i="124"/>
  <c r="N47" i="124" s="1"/>
  <c r="Q46" i="124"/>
  <c r="R46" i="124" s="1"/>
  <c r="P46" i="124"/>
  <c r="N46" i="124"/>
  <c r="M46" i="124"/>
  <c r="R45" i="124"/>
  <c r="Q45" i="124"/>
  <c r="P45" i="124"/>
  <c r="M45" i="124"/>
  <c r="N45" i="124" s="1"/>
  <c r="Q44" i="124"/>
  <c r="R44" i="124" s="1"/>
  <c r="P44" i="124"/>
  <c r="N44" i="124"/>
  <c r="M44" i="124"/>
  <c r="R43" i="124"/>
  <c r="Q43" i="124"/>
  <c r="P43" i="124"/>
  <c r="M43" i="124"/>
  <c r="N43" i="124" s="1"/>
  <c r="Q42" i="124"/>
  <c r="R42" i="124" s="1"/>
  <c r="P42" i="124"/>
  <c r="N42" i="124"/>
  <c r="M42" i="124"/>
  <c r="R41" i="124"/>
  <c r="Q41" i="124"/>
  <c r="P41" i="124"/>
  <c r="M41" i="124"/>
  <c r="N41" i="124" s="1"/>
  <c r="Q40" i="124"/>
  <c r="R40" i="124" s="1"/>
  <c r="P40" i="124"/>
  <c r="N40" i="124"/>
  <c r="M40" i="124"/>
  <c r="R39" i="124"/>
  <c r="Q39" i="124"/>
  <c r="P39" i="124"/>
  <c r="M39" i="124"/>
  <c r="N39" i="124" s="1"/>
  <c r="Q38" i="124"/>
  <c r="R38" i="124" s="1"/>
  <c r="P38" i="124"/>
  <c r="N38" i="124"/>
  <c r="M38" i="124"/>
  <c r="R37" i="124"/>
  <c r="Q37" i="124"/>
  <c r="P37" i="124"/>
  <c r="M37" i="124"/>
  <c r="N37" i="124" s="1"/>
  <c r="Q36" i="124"/>
  <c r="R36" i="124" s="1"/>
  <c r="P36" i="124"/>
  <c r="N36" i="124"/>
  <c r="M36" i="124"/>
  <c r="R35" i="124"/>
  <c r="Q35" i="124"/>
  <c r="P35" i="124"/>
  <c r="M35" i="124"/>
  <c r="N35" i="124" s="1"/>
  <c r="Q34" i="124"/>
  <c r="R34" i="124" s="1"/>
  <c r="P34" i="124"/>
  <c r="N34" i="124"/>
  <c r="M34" i="124"/>
  <c r="R33" i="124"/>
  <c r="Q33" i="124"/>
  <c r="P33" i="124"/>
  <c r="M33" i="124"/>
  <c r="N33" i="124" s="1"/>
  <c r="Q32" i="124"/>
  <c r="R32" i="124" s="1"/>
  <c r="P32" i="124"/>
  <c r="N32" i="124"/>
  <c r="M32" i="124"/>
  <c r="R31" i="124"/>
  <c r="Q31" i="124"/>
  <c r="P31" i="124"/>
  <c r="M31" i="124"/>
  <c r="N31" i="124" s="1"/>
  <c r="Q30" i="124"/>
  <c r="R30" i="124" s="1"/>
  <c r="P30" i="124"/>
  <c r="N30" i="124"/>
  <c r="M30" i="124"/>
  <c r="R29" i="124"/>
  <c r="Q29" i="124"/>
  <c r="P29" i="124"/>
  <c r="M29" i="124"/>
  <c r="N29" i="124" s="1"/>
  <c r="Q28" i="124"/>
  <c r="R28" i="124" s="1"/>
  <c r="P28" i="124"/>
  <c r="N28" i="124"/>
  <c r="M28" i="124"/>
  <c r="R27" i="124"/>
  <c r="Q27" i="124"/>
  <c r="P27" i="124"/>
  <c r="M27" i="124"/>
  <c r="N27" i="124" s="1"/>
  <c r="Q26" i="124"/>
  <c r="R26" i="124" s="1"/>
  <c r="P26" i="124"/>
  <c r="N26" i="124"/>
  <c r="M26" i="124"/>
  <c r="R25" i="124"/>
  <c r="Q25" i="124"/>
  <c r="P25" i="124"/>
  <c r="M25" i="124"/>
  <c r="N25" i="124" s="1"/>
  <c r="Q24" i="124"/>
  <c r="R24" i="124" s="1"/>
  <c r="P24" i="124"/>
  <c r="N24" i="124"/>
  <c r="M24" i="124"/>
  <c r="R23" i="124"/>
  <c r="Q23" i="124"/>
  <c r="P23" i="124"/>
  <c r="M23" i="124"/>
  <c r="N23" i="124" s="1"/>
  <c r="Q22" i="124"/>
  <c r="R22" i="124" s="1"/>
  <c r="P22" i="124"/>
  <c r="N22" i="124"/>
  <c r="M22" i="124"/>
  <c r="R21" i="124"/>
  <c r="Q21" i="124"/>
  <c r="P21" i="124"/>
  <c r="M21" i="124"/>
  <c r="N21" i="124" s="1"/>
  <c r="Q20" i="124"/>
  <c r="R20" i="124" s="1"/>
  <c r="P20" i="124"/>
  <c r="N20" i="124"/>
  <c r="M20" i="124"/>
  <c r="R19" i="124"/>
  <c r="Q19" i="124"/>
  <c r="P19" i="124"/>
  <c r="M19" i="124"/>
  <c r="N19" i="124" s="1"/>
  <c r="Q18" i="124"/>
  <c r="R18" i="124" s="1"/>
  <c r="P18" i="124"/>
  <c r="N18" i="124"/>
  <c r="M18" i="124"/>
  <c r="R17" i="124"/>
  <c r="Q17" i="124"/>
  <c r="P17" i="124"/>
  <c r="M17" i="124"/>
  <c r="N17" i="124" s="1"/>
  <c r="Q16" i="124"/>
  <c r="R16" i="124" s="1"/>
  <c r="P16" i="124"/>
  <c r="N16" i="124"/>
  <c r="M16" i="124"/>
  <c r="R15" i="124"/>
  <c r="Q15" i="124"/>
  <c r="P15" i="124"/>
  <c r="M15" i="124"/>
  <c r="N15" i="124" s="1"/>
  <c r="Q14" i="124"/>
  <c r="R14" i="124" s="1"/>
  <c r="P14" i="124"/>
  <c r="N14" i="124"/>
  <c r="M14" i="124"/>
  <c r="R13" i="124"/>
  <c r="Q13" i="124"/>
  <c r="P13" i="124"/>
  <c r="M13" i="124"/>
  <c r="N13" i="124" s="1"/>
  <c r="Q12" i="124"/>
  <c r="R12" i="124" s="1"/>
  <c r="P12" i="124"/>
  <c r="N12" i="124"/>
  <c r="M12" i="124"/>
  <c r="R11" i="124"/>
  <c r="Q11" i="124"/>
  <c r="P11" i="124"/>
  <c r="M11" i="124"/>
  <c r="N11" i="124" s="1"/>
  <c r="Q10" i="124"/>
  <c r="R10" i="124" s="1"/>
  <c r="P10" i="124"/>
  <c r="N10" i="124"/>
  <c r="M10" i="124"/>
  <c r="R9" i="124"/>
  <c r="Q9" i="124"/>
  <c r="P9" i="124"/>
  <c r="M9" i="124"/>
  <c r="N9" i="124" s="1"/>
  <c r="Q8" i="124"/>
  <c r="R8" i="124" s="1"/>
  <c r="P8" i="124"/>
  <c r="N8" i="124"/>
  <c r="M8" i="124"/>
  <c r="R7" i="124"/>
  <c r="Q7" i="124"/>
  <c r="P7" i="124"/>
  <c r="M7" i="124"/>
  <c r="N7" i="124" s="1"/>
  <c r="Q6" i="124"/>
  <c r="R6" i="124" s="1"/>
  <c r="P6" i="124"/>
  <c r="N6" i="124"/>
  <c r="M6" i="124"/>
  <c r="R5" i="124"/>
  <c r="Q5" i="124"/>
  <c r="P5" i="124"/>
  <c r="M5" i="124"/>
  <c r="N5" i="124" s="1"/>
  <c r="Q4" i="124"/>
  <c r="R4" i="124" s="1"/>
  <c r="P4" i="124"/>
  <c r="N4" i="124"/>
  <c r="M4" i="124"/>
  <c r="R3" i="124"/>
  <c r="Q3" i="124"/>
  <c r="P3" i="124"/>
  <c r="M3" i="124"/>
  <c r="N3" i="124" s="1"/>
  <c r="Q2" i="124"/>
  <c r="R2" i="124" s="1"/>
  <c r="P2" i="124"/>
  <c r="M2" i="124"/>
  <c r="N2" i="124" s="1"/>
  <c r="R15" i="123"/>
  <c r="Q15" i="123"/>
  <c r="P15" i="123"/>
  <c r="R14" i="123"/>
  <c r="Q14" i="123"/>
  <c r="P14" i="123"/>
  <c r="R13" i="123"/>
  <c r="Q13" i="123"/>
  <c r="P13" i="123"/>
  <c r="R12" i="123"/>
  <c r="Q12" i="123"/>
  <c r="P12" i="123"/>
  <c r="R11" i="123"/>
  <c r="Q11" i="123"/>
  <c r="P11" i="123"/>
  <c r="R10" i="123"/>
  <c r="Q10" i="123"/>
  <c r="P10" i="123"/>
  <c r="R9" i="123"/>
  <c r="Q9" i="123"/>
  <c r="D9" i="123"/>
  <c r="P9" i="123" s="1"/>
  <c r="R8" i="123"/>
  <c r="Q8" i="123"/>
  <c r="P8" i="123"/>
  <c r="R7" i="123"/>
  <c r="Q7" i="123"/>
  <c r="P7" i="123"/>
  <c r="R6" i="123"/>
  <c r="R18" i="123" s="1"/>
  <c r="Q6" i="123"/>
  <c r="Q18" i="123" s="1"/>
  <c r="D6" i="123"/>
  <c r="P6" i="123" s="1"/>
  <c r="P18" i="123" s="1"/>
  <c r="K5" i="142" l="1"/>
  <c r="K7" i="142"/>
  <c r="K9" i="142"/>
  <c r="K11" i="142"/>
  <c r="K13" i="142"/>
  <c r="K15" i="142"/>
  <c r="K17" i="142"/>
  <c r="K19" i="142"/>
  <c r="K4" i="142"/>
  <c r="K6" i="142"/>
  <c r="K8" i="142"/>
  <c r="K10" i="142"/>
  <c r="K12" i="142"/>
  <c r="K14" i="142"/>
  <c r="K16" i="142"/>
  <c r="K18" i="142"/>
  <c r="K21" i="142"/>
  <c r="H24" i="144"/>
  <c r="F3" i="144"/>
  <c r="F4" i="144"/>
  <c r="F5" i="144"/>
  <c r="F7" i="144"/>
  <c r="F8" i="144"/>
  <c r="F9" i="144"/>
  <c r="F10" i="144"/>
  <c r="F11" i="144"/>
  <c r="F12" i="144"/>
  <c r="F13" i="144"/>
  <c r="F14" i="144"/>
  <c r="F15" i="144"/>
  <c r="F22" i="144"/>
  <c r="G2" i="144"/>
  <c r="G3" i="144"/>
  <c r="G4" i="144"/>
  <c r="G5" i="144"/>
  <c r="G6" i="144"/>
  <c r="G7" i="144"/>
  <c r="G8" i="144"/>
  <c r="G9" i="144"/>
  <c r="G10" i="144"/>
  <c r="G11" i="144"/>
  <c r="G12" i="144"/>
  <c r="G13" i="144"/>
  <c r="G14" i="144"/>
  <c r="G15" i="144"/>
  <c r="G16" i="144"/>
  <c r="G17" i="144"/>
  <c r="G18" i="144"/>
  <c r="G19" i="144"/>
  <c r="G20" i="144"/>
  <c r="G21" i="144"/>
  <c r="G22" i="144"/>
  <c r="F2" i="144"/>
  <c r="F6" i="144"/>
  <c r="F16" i="144"/>
  <c r="F17" i="144"/>
  <c r="F18" i="144"/>
  <c r="F19" i="144"/>
  <c r="F20" i="144"/>
  <c r="F21" i="144"/>
  <c r="G20" i="142"/>
  <c r="J20" i="142" s="1"/>
  <c r="G22" i="142"/>
  <c r="J22" i="142" s="1"/>
  <c r="H20" i="142"/>
  <c r="H22" i="142"/>
  <c r="K22" i="142" l="1"/>
  <c r="K20" i="142"/>
  <c r="F24" i="144"/>
  <c r="G24" i="144"/>
</calcChain>
</file>

<file path=xl/sharedStrings.xml><?xml version="1.0" encoding="utf-8"?>
<sst xmlns="http://schemas.openxmlformats.org/spreadsheetml/2006/main" count="19537" uniqueCount="1330">
  <si>
    <t>Name</t>
  </si>
  <si>
    <t>City</t>
  </si>
  <si>
    <t>Designation</t>
  </si>
  <si>
    <t>Mathew Haydan</t>
  </si>
  <si>
    <t>Perth</t>
  </si>
  <si>
    <t>Bat</t>
  </si>
  <si>
    <t>Adam Gilchrist</t>
  </si>
  <si>
    <t>Keep</t>
  </si>
  <si>
    <t>Rick Ponting</t>
  </si>
  <si>
    <t>Melborne</t>
  </si>
  <si>
    <t>Michale Slater</t>
  </si>
  <si>
    <t>Adlade</t>
  </si>
  <si>
    <t>Comment</t>
  </si>
  <si>
    <t>Sadagopan Ramesh</t>
  </si>
  <si>
    <t>Chennai</t>
  </si>
  <si>
    <t>Sandeep Patil</t>
  </si>
  <si>
    <t>Mumbai</t>
  </si>
  <si>
    <t>Select</t>
  </si>
  <si>
    <t>Zaheer Khan</t>
  </si>
  <si>
    <t>Baroda</t>
  </si>
  <si>
    <t>Bowl</t>
  </si>
  <si>
    <t>Rahul Dravid</t>
  </si>
  <si>
    <t>Bangalore</t>
  </si>
  <si>
    <t>Document No.</t>
  </si>
  <si>
    <t>DRAWING / DOCUMENT CONTROL INDEX</t>
  </si>
  <si>
    <t>FM-05-07 R0</t>
  </si>
  <si>
    <t>PROJECT:</t>
  </si>
  <si>
    <t>INDIA INTERNATIONAL CONVENTION CENTRE, Dwarka</t>
  </si>
  <si>
    <t>CATEGORY:- As per customer requirement or as below:
I - Information</t>
  </si>
  <si>
    <t>CLIENT:</t>
  </si>
  <si>
    <t>DMICDC</t>
  </si>
  <si>
    <t>T - Tender</t>
  </si>
  <si>
    <t>P - Preliminary</t>
  </si>
  <si>
    <t>Status as on</t>
  </si>
  <si>
    <t>DD</t>
  </si>
  <si>
    <t>CONSULTANT:</t>
  </si>
  <si>
    <t>A - Approval</t>
  </si>
  <si>
    <t>I - Information</t>
  </si>
  <si>
    <t>DTD-Foundation</t>
  </si>
  <si>
    <t>JOB No.</t>
  </si>
  <si>
    <t>O17203</t>
  </si>
  <si>
    <t>Title:</t>
  </si>
  <si>
    <t>B - As-built</t>
  </si>
  <si>
    <t>G - Good for Construction</t>
  </si>
  <si>
    <t>Sl. 
No.</t>
  </si>
  <si>
    <t>DRG. / DOC. No.</t>
  </si>
  <si>
    <t>DESCRIPTION</t>
  </si>
  <si>
    <t>CAT.</t>
  </si>
  <si>
    <t>Remarks</t>
  </si>
  <si>
    <t>GFC Foundation</t>
  </si>
  <si>
    <t>GFC Super structure</t>
  </si>
  <si>
    <t>A1</t>
  </si>
  <si>
    <t>Sch. Date</t>
  </si>
  <si>
    <t>0001</t>
  </si>
  <si>
    <t>Sub Date</t>
  </si>
  <si>
    <t>Appr. Date</t>
  </si>
  <si>
    <t>Rsn. for Delay</t>
  </si>
  <si>
    <t>Rsn. for Rev</t>
  </si>
  <si>
    <t>Code</t>
  </si>
  <si>
    <t>SUBMITTED</t>
  </si>
  <si>
    <t>DTD-Super structure</t>
  </si>
  <si>
    <t>DRG.
SIZE</t>
  </si>
  <si>
    <t>Convention Centre Car Park</t>
  </si>
  <si>
    <t>0A</t>
  </si>
  <si>
    <t>01</t>
  </si>
  <si>
    <t>02</t>
  </si>
  <si>
    <t>B1</t>
  </si>
  <si>
    <t>DTD</t>
  </si>
  <si>
    <t>IICC , DWARKA  - DESIGN SCHEDULE</t>
  </si>
  <si>
    <t>Design Drawings Schedule - Architecture</t>
  </si>
  <si>
    <t>Package ID</t>
  </si>
  <si>
    <t xml:space="preserve">Building Description </t>
  </si>
  <si>
    <t>DD Stage</t>
  </si>
  <si>
    <t>DTD Stage - WARM SHELL</t>
  </si>
  <si>
    <t>GFC Stage- WARM SHELL</t>
  </si>
  <si>
    <t>Sub- Packages</t>
  </si>
  <si>
    <t>Package A</t>
  </si>
  <si>
    <t>Package B</t>
  </si>
  <si>
    <t>Package C</t>
  </si>
  <si>
    <t>Package C1</t>
  </si>
  <si>
    <t>Package D</t>
  </si>
  <si>
    <t>Package E</t>
  </si>
  <si>
    <t>Package E1</t>
  </si>
  <si>
    <t>Package 1</t>
  </si>
  <si>
    <t>EH1 +  Part Grand Foyer + parking</t>
  </si>
  <si>
    <t>Package 2</t>
  </si>
  <si>
    <t>EH2 +  Part Grand Foyer +parking</t>
  </si>
  <si>
    <t>Package 3</t>
  </si>
  <si>
    <t>EH3  (Service Building)</t>
  </si>
  <si>
    <t>Package 4</t>
  </si>
  <si>
    <t>Convention Centre</t>
  </si>
  <si>
    <t>Package 5</t>
  </si>
  <si>
    <t>CC Parking</t>
  </si>
  <si>
    <t>Package 6</t>
  </si>
  <si>
    <t>Master &amp; External Plan</t>
  </si>
  <si>
    <t>Package 7</t>
  </si>
  <si>
    <t>Service Gallery ( L&amp;T to take lead )</t>
  </si>
  <si>
    <t>Package 8</t>
  </si>
  <si>
    <t>Vehicular Access Tunnels and Ramps</t>
  </si>
  <si>
    <t>Package 9</t>
  </si>
  <si>
    <t>DG Yard &amp; Electrical Sub Station( L&amp;T to take lead )</t>
  </si>
  <si>
    <t>Package 10</t>
  </si>
  <si>
    <t>Fire Station ( L&amp;T to take lead )</t>
  </si>
  <si>
    <t>Notes</t>
  </si>
  <si>
    <t>Landscape layouts will be apart of Package 6; Landscape finishing will be a separate package along interior package listed at the bottom of the page</t>
  </si>
  <si>
    <t>DD stage</t>
  </si>
  <si>
    <t xml:space="preserve">Package B /D </t>
  </si>
  <si>
    <t xml:space="preserve">Foundation </t>
  </si>
  <si>
    <t>Package C/E</t>
  </si>
  <si>
    <t>Superstructure Part1</t>
  </si>
  <si>
    <t>Superstructure Part 2</t>
  </si>
  <si>
    <t xml:space="preserve">Notes </t>
  </si>
  <si>
    <t>There are many items in Warm Shell pacakage which are actually interior design. Dates for those items will be provided in Interior DCI. Edited warm shell DCI is enclosed for clarity.</t>
  </si>
  <si>
    <t>One week margin has been kept for approval after each package, prior to start of next package for each item of work, for example between DTD foundation and GFC foundation</t>
  </si>
  <si>
    <t>Timelines indicated above assumes that all structural and MEP feedback of the preceeding package is received in full within two weeks of start of current package</t>
  </si>
  <si>
    <t>Similarly, all input required from external consultant for façade, acoustic, lighting, LEED / green building, etc are assumed to be received in full within two weeks of start of current package</t>
  </si>
  <si>
    <t>Any extension of assumed time margins in point 2 to 4 above will affect end time of each package accordingly</t>
  </si>
  <si>
    <t>Design Drawings Schedule - Interior &amp; landscape Finishes</t>
  </si>
  <si>
    <t>DTD STAGE</t>
  </si>
  <si>
    <t>GFC STAGE</t>
  </si>
  <si>
    <t>Package F</t>
  </si>
  <si>
    <t>Package G</t>
  </si>
  <si>
    <t>Package G1</t>
  </si>
  <si>
    <t>Package H</t>
  </si>
  <si>
    <t>Package H1</t>
  </si>
  <si>
    <t>EH1 +  Part Grand Foyer</t>
  </si>
  <si>
    <t xml:space="preserve">EH2 +  Part Grand Foyer </t>
  </si>
  <si>
    <t>Landscape Finishing</t>
  </si>
  <si>
    <t>A2</t>
  </si>
  <si>
    <t>Sheet</t>
  </si>
  <si>
    <t>1 of 1</t>
  </si>
  <si>
    <t>Rev. No.</t>
  </si>
  <si>
    <t xml:space="preserve"> </t>
  </si>
  <si>
    <t>GFC</t>
  </si>
  <si>
    <t>A0</t>
  </si>
  <si>
    <t>Prepared by</t>
  </si>
  <si>
    <t>Checked by</t>
  </si>
  <si>
    <t>REV.</t>
  </si>
  <si>
    <t>External Works</t>
  </si>
  <si>
    <t>mep</t>
  </si>
  <si>
    <t>MEP</t>
  </si>
  <si>
    <t>F_A</t>
  </si>
  <si>
    <t>SS_B</t>
  </si>
  <si>
    <t>SS_C</t>
  </si>
  <si>
    <t>INT_D</t>
  </si>
  <si>
    <t>INT_C</t>
  </si>
  <si>
    <t>Building Description / Design Stage</t>
  </si>
  <si>
    <t>DTD Stage - Warm Shell*</t>
  </si>
  <si>
    <t>GFC Stage - Warm Shell*</t>
  </si>
  <si>
    <t>DTD Stage - Interiors*</t>
  </si>
  <si>
    <t>GFC Stage - Interiors*</t>
  </si>
  <si>
    <t>dd</t>
  </si>
  <si>
    <t>dtd</t>
  </si>
  <si>
    <t>gfc</t>
  </si>
  <si>
    <t>Sub-Packages</t>
  </si>
  <si>
    <t>Consolidated</t>
  </si>
  <si>
    <t>Consolidated/</t>
  </si>
  <si>
    <t>SS Package B</t>
  </si>
  <si>
    <t>SS Package C</t>
  </si>
  <si>
    <t>Int. Package D</t>
  </si>
  <si>
    <t>Int. Package E</t>
  </si>
  <si>
    <t>Foundation A</t>
  </si>
  <si>
    <t>01 - Exhibition Hall 1 with Grand Foyer and EH1 Basement parking</t>
  </si>
  <si>
    <t>NA</t>
  </si>
  <si>
    <t>02 - Exhibition Hall 2 with Grand Foyer and EH2 Basement parking</t>
  </si>
  <si>
    <t>03 - Exhibition Hall 3 Service Building</t>
  </si>
  <si>
    <t>07 - Convention centre</t>
  </si>
  <si>
    <t>38 - CC Parking</t>
  </si>
  <si>
    <t>00 - MASTER PLAN AND EXTERNAL WORKS</t>
  </si>
  <si>
    <t>0A - Service Gallery</t>
  </si>
  <si>
    <t>30 - DG Yard and Electrical Sub Stations</t>
  </si>
  <si>
    <t>31 - Fire Station</t>
  </si>
  <si>
    <t>Vehicular Access Tunnels &amp; Ramps</t>
  </si>
  <si>
    <t>GRAND TOTAL</t>
  </si>
  <si>
    <t>Project Code</t>
  </si>
  <si>
    <t>Discipline</t>
  </si>
  <si>
    <t>Project Type</t>
  </si>
  <si>
    <t>Structure No</t>
  </si>
  <si>
    <t>DWG / DOC</t>
  </si>
  <si>
    <t>Doc Type</t>
  </si>
  <si>
    <t>Serial No</t>
  </si>
  <si>
    <t>Document No</t>
  </si>
  <si>
    <t>Size</t>
  </si>
  <si>
    <t>Title</t>
  </si>
  <si>
    <t>Section Head</t>
  </si>
  <si>
    <t>Multi Disciplinary Check</t>
  </si>
  <si>
    <t>DD - Date</t>
  </si>
  <si>
    <t>DTD - Date</t>
  </si>
  <si>
    <t>GFC - Date</t>
  </si>
  <si>
    <t>Workflow</t>
  </si>
  <si>
    <t>L</t>
  </si>
  <si>
    <t>SP</t>
  </si>
  <si>
    <t>07</t>
  </si>
  <si>
    <t>DWG</t>
  </si>
  <si>
    <t>LV</t>
  </si>
  <si>
    <t>1918</t>
  </si>
  <si>
    <t>O17203-L-SP-07-LV-1918</t>
  </si>
  <si>
    <t>Convention Center -B2- ELV System Layout Zone-1</t>
  </si>
  <si>
    <t>required</t>
  </si>
  <si>
    <t>CC-INT_D</t>
  </si>
  <si>
    <t>Main DCI DWG</t>
  </si>
  <si>
    <t>1929</t>
  </si>
  <si>
    <t>O17203-L-SP-07-LV-1929</t>
  </si>
  <si>
    <t>Convention Center -B2- ELV System layout Zone-2</t>
  </si>
  <si>
    <t>1930</t>
  </si>
  <si>
    <t>O17203-L-SP-07-LV-1930</t>
  </si>
  <si>
    <t>Convention Center -B2- ELV System layout Zone-3</t>
  </si>
  <si>
    <t>1941</t>
  </si>
  <si>
    <t>O17203-L-SP-07-LV-1941</t>
  </si>
  <si>
    <t>Convention Center -B2- ELV System layout Zone-4</t>
  </si>
  <si>
    <t>1952</t>
  </si>
  <si>
    <t>O17203-L-SP-07-LV-1952</t>
  </si>
  <si>
    <t>Convention Center -B2- ELV System layout Zone-5</t>
  </si>
  <si>
    <t>1963</t>
  </si>
  <si>
    <t>O17203-L-SP-07-LV-1963</t>
  </si>
  <si>
    <t>Convention Center -B2- ELV System layout Zone-6</t>
  </si>
  <si>
    <t>1974</t>
  </si>
  <si>
    <t>O17203-L-SP-07-LV-1974</t>
  </si>
  <si>
    <t>Convention Center -B2- ELV System layout Zone-7,8,9</t>
  </si>
  <si>
    <t>1915</t>
  </si>
  <si>
    <t>O17203-L-SP-07-LV-1915</t>
  </si>
  <si>
    <t>Convention Center -B1- ELV System layout Zone-1</t>
  </si>
  <si>
    <t>1926</t>
  </si>
  <si>
    <t>O17203-L-SP-07-LV-1926</t>
  </si>
  <si>
    <t>Convention Center -B1- ELV System layout Zone-2</t>
  </si>
  <si>
    <t>1937</t>
  </si>
  <si>
    <t>O17203-L-SP-07-LV-1937</t>
  </si>
  <si>
    <t>Convention Center -B1- ELV System layout Zone-3</t>
  </si>
  <si>
    <t>1948</t>
  </si>
  <si>
    <t>O17203-L-SP-07-LV-1948</t>
  </si>
  <si>
    <t>Convention Center -B1- ELV System layout Zone-4</t>
  </si>
  <si>
    <t>1959</t>
  </si>
  <si>
    <t>O17203-L-SP-07-LV-1959</t>
  </si>
  <si>
    <t>Convention Center -B1- ELV System layout Zone-5</t>
  </si>
  <si>
    <t>1960</t>
  </si>
  <si>
    <t>O17203-L-SP-07-LV-1960</t>
  </si>
  <si>
    <t>Convention Center -B1- ELV System layout Zone-6</t>
  </si>
  <si>
    <t>1971</t>
  </si>
  <si>
    <t>O17203-L-SP-07-LV-1971</t>
  </si>
  <si>
    <t>Convention Center -B1- ELV System layout Zone-7,8,9</t>
  </si>
  <si>
    <t>1011</t>
  </si>
  <si>
    <t>O17203-L-SP-07-LV-1011</t>
  </si>
  <si>
    <t>Convention Center -GF- ELV System layout Zone-1</t>
  </si>
  <si>
    <t>1022</t>
  </si>
  <si>
    <t>O17203-L-SP-07-LV-1022</t>
  </si>
  <si>
    <t>Convention Center -GF- ELV System layout Zone-2</t>
  </si>
  <si>
    <t>1033</t>
  </si>
  <si>
    <t>O17203-L-SP-07-LV-1033</t>
  </si>
  <si>
    <t>Convention Center -GF- ELV System layout Zone-3</t>
  </si>
  <si>
    <t>1044</t>
  </si>
  <si>
    <t>O17203-L-SP-07-LV-1044</t>
  </si>
  <si>
    <t>Convention Center -GF- ELV System layout Zone-4</t>
  </si>
  <si>
    <t>1055</t>
  </si>
  <si>
    <t>O17203-L-SP-07-LV-1055</t>
  </si>
  <si>
    <t>Convention Center -GF- ELV System layout Zone-5</t>
  </si>
  <si>
    <t>1066</t>
  </si>
  <si>
    <t>O17203-L-SP-07-LV-1066</t>
  </si>
  <si>
    <t>Convention Center -GF- ELV System layout Zone-6</t>
  </si>
  <si>
    <t>1077</t>
  </si>
  <si>
    <t>O17203-L-SP-07-LV-1077</t>
  </si>
  <si>
    <t>Convention Center -GF- ELV System layout Zone-7,8,9</t>
  </si>
  <si>
    <t>1111</t>
  </si>
  <si>
    <t>O17203-L-SP-07-LV-1111</t>
  </si>
  <si>
    <t>Convention Center -FF- ELV System layout Zone-1</t>
  </si>
  <si>
    <t>1122</t>
  </si>
  <si>
    <t>O17203-L-SP-07-LV-1122</t>
  </si>
  <si>
    <t>Convention Center -FF- ELV System layout Zone-2</t>
  </si>
  <si>
    <t>1133</t>
  </si>
  <si>
    <t>O17203-L-SP-07-LV-1133</t>
  </si>
  <si>
    <t>Convention Center -FF- ELV System layout Zone-3</t>
  </si>
  <si>
    <t>1144</t>
  </si>
  <si>
    <t>O17203-L-SP-07-LV-1144</t>
  </si>
  <si>
    <t>Convention Center -FF- ELV System layout Zone-4</t>
  </si>
  <si>
    <t>1155</t>
  </si>
  <si>
    <t>O17203-L-SP-07-LV-1155</t>
  </si>
  <si>
    <t>Convention Center -FF- ELV System layout Zone-5</t>
  </si>
  <si>
    <t>1166</t>
  </si>
  <si>
    <t>O17203-L-SP-07-LV-1166</t>
  </si>
  <si>
    <t>Convention Center -FF- ELV System layout Zone-6</t>
  </si>
  <si>
    <t>1177</t>
  </si>
  <si>
    <t>O17203-L-SP-07-LV-1177</t>
  </si>
  <si>
    <t>Convention Center -FF- ELV System layout Zone-7,8,9</t>
  </si>
  <si>
    <t>1211</t>
  </si>
  <si>
    <t>O17203-L-SP-07-LV-1211</t>
  </si>
  <si>
    <t>Convention Center -2F- ELV System layout Zone-1</t>
  </si>
  <si>
    <t>1222</t>
  </si>
  <si>
    <t>O17203-L-SP-07-LV-1222</t>
  </si>
  <si>
    <t>Convention Center -2F- ELV System layout Zone-2</t>
  </si>
  <si>
    <t>1233</t>
  </si>
  <si>
    <t>O17203-L-SP-07-LV-1233</t>
  </si>
  <si>
    <t>Convention Center -2F- ELV System layout Zone-3</t>
  </si>
  <si>
    <t>1244</t>
  </si>
  <si>
    <t>O17203-L-SP-07-LV-1244</t>
  </si>
  <si>
    <t>Convention Center -2F- ELV System layout Zone-4</t>
  </si>
  <si>
    <t>1255</t>
  </si>
  <si>
    <t>O17203-L-SP-07-LV-1255</t>
  </si>
  <si>
    <t>Convention Center -2F- ELV System layout Zone-5</t>
  </si>
  <si>
    <t>1266</t>
  </si>
  <si>
    <t>O17203-L-SP-07-LV-1266</t>
  </si>
  <si>
    <t>Convention Center -2F- ELV System layout Zone-6</t>
  </si>
  <si>
    <t>1277</t>
  </si>
  <si>
    <t>O17203-L-SP-07-LV-1277</t>
  </si>
  <si>
    <t>Convention Center -2F- ELV System layout Zone-7,8,9</t>
  </si>
  <si>
    <t>1311</t>
  </si>
  <si>
    <t>O17203-L-SP-07-LV-1311</t>
  </si>
  <si>
    <t>Convention Center -3F- ELV System layout Zone-1</t>
  </si>
  <si>
    <t>CC-INT_E</t>
  </si>
  <si>
    <t>1322</t>
  </si>
  <si>
    <t>O17203-L-SP-07-LV-1322</t>
  </si>
  <si>
    <t>Convention Center -3F- ELV System layout Zone-2</t>
  </si>
  <si>
    <t>1333</t>
  </si>
  <si>
    <t>O17203-L-SP-07-LV-1333</t>
  </si>
  <si>
    <t>Convention Center -3F- ELV System layout Zone-3</t>
  </si>
  <si>
    <t>1344</t>
  </si>
  <si>
    <t>O17203-L-SP-07-LV-1344</t>
  </si>
  <si>
    <t>Convention Center -3F- ELV System layout Zone-4</t>
  </si>
  <si>
    <t>1355</t>
  </si>
  <si>
    <t>O17203-L-SP-07-LV-1355</t>
  </si>
  <si>
    <t>Convention Center -3F- ELV System layout Zone-5</t>
  </si>
  <si>
    <t>1366</t>
  </si>
  <si>
    <t>O17203-L-SP-07-LV-1366</t>
  </si>
  <si>
    <t>Convention Center -3F- ELV System layout Zone-6</t>
  </si>
  <si>
    <t>1377</t>
  </si>
  <si>
    <t>O17203-L-SP-07-LV-1377</t>
  </si>
  <si>
    <t>Convention Center -3F- ELV System layout Zone-7,8,9</t>
  </si>
  <si>
    <t>1411</t>
  </si>
  <si>
    <t>O17203-L-SP-07-LV-1411</t>
  </si>
  <si>
    <t>Convention Center -4F- ELV System layout Zone-1</t>
  </si>
  <si>
    <t>1422</t>
  </si>
  <si>
    <t>O17203-L-SP-07-LV-1422</t>
  </si>
  <si>
    <t>Convention Center -4F- ELV System layout Zone-2</t>
  </si>
  <si>
    <t>1433</t>
  </si>
  <si>
    <t>O17203-L-SP-07-LV-1433</t>
  </si>
  <si>
    <t>Convention Center -4F- ELV System layout Zone-3</t>
  </si>
  <si>
    <t>1444</t>
  </si>
  <si>
    <t>O17203-L-SP-07-LV-1444</t>
  </si>
  <si>
    <t>Convention Center -4F- ELV System layout Zone-4</t>
  </si>
  <si>
    <t>1455</t>
  </si>
  <si>
    <t>O17203-L-SP-07-LV-1455</t>
  </si>
  <si>
    <t>Convention Center -4F- ELV System layout Zone-5</t>
  </si>
  <si>
    <t>1466</t>
  </si>
  <si>
    <t>O17203-L-SP-07-LV-1466</t>
  </si>
  <si>
    <t>Convention Center -4F- ELV System layout Zone-6</t>
  </si>
  <si>
    <t>1477</t>
  </si>
  <si>
    <t>O17203-L-SP-07-LV-1477</t>
  </si>
  <si>
    <t>Convention Center -4F- ELV System layout Zone-7,8,9</t>
  </si>
  <si>
    <t>1511</t>
  </si>
  <si>
    <t>O17203-L-SP-07-LV-1511</t>
  </si>
  <si>
    <t>Convention Center -5F- ELV System layout Zone-1</t>
  </si>
  <si>
    <t>1522</t>
  </si>
  <si>
    <t>O17203-L-SP-07-LV-1522</t>
  </si>
  <si>
    <t>Convention Center -5F- ELV System layout Zone-2</t>
  </si>
  <si>
    <t>1533</t>
  </si>
  <si>
    <t>O17203-L-SP-07-LV-1533</t>
  </si>
  <si>
    <t>Convention Center -5F- ELV System layout Zone-3</t>
  </si>
  <si>
    <t>1544</t>
  </si>
  <si>
    <t>O17203-L-SP-07-LV-1544</t>
  </si>
  <si>
    <t>Convention Center -5F- ELV System layout Zone-4</t>
  </si>
  <si>
    <t>1555</t>
  </si>
  <si>
    <t>O17203-L-SP-07-LV-1555</t>
  </si>
  <si>
    <t>Convention Center -5F- ELV System layout Zone-5</t>
  </si>
  <si>
    <t>1566</t>
  </si>
  <si>
    <t>O17203-L-SP-07-LV-1566</t>
  </si>
  <si>
    <t>Convention Center -5F- ELV System layout Zone-6</t>
  </si>
  <si>
    <t>1577</t>
  </si>
  <si>
    <t>O17203-L-SP-07-LV-1577</t>
  </si>
  <si>
    <t>Convention Center -5F- ELV System layout Zone-7,8,9</t>
  </si>
  <si>
    <t>1611</t>
  </si>
  <si>
    <t>O17203-L-SP-07-LV-1611</t>
  </si>
  <si>
    <t>Convention Center -6F- ELV System layout Zone-1</t>
  </si>
  <si>
    <t>1622</t>
  </si>
  <si>
    <t>O17203-L-SP-07-LV-1622</t>
  </si>
  <si>
    <t>Convention Center -6F- ELV System layout Zone-2</t>
  </si>
  <si>
    <t>1633</t>
  </si>
  <si>
    <t>O17203-L-SP-07-LV-1633</t>
  </si>
  <si>
    <t>Convention Center -6F- ELV System layout Zone-3</t>
  </si>
  <si>
    <t>1644</t>
  </si>
  <si>
    <t>O17203-L-SP-07-LV-1644</t>
  </si>
  <si>
    <t>Convention Center -6F- ELV System layout Zone-4</t>
  </si>
  <si>
    <t>1655</t>
  </si>
  <si>
    <t>O17203-L-SP-07-LV-1655</t>
  </si>
  <si>
    <t>Convention Center -6F- ELV System layout Zone-5</t>
  </si>
  <si>
    <t>1666</t>
  </si>
  <si>
    <t>O17203-L-SP-07-LV-1666</t>
  </si>
  <si>
    <t>Convention Center -6F- ELV System layout Zone-6</t>
  </si>
  <si>
    <t>1677</t>
  </si>
  <si>
    <t>O17203-L-SP-07-LV-1677</t>
  </si>
  <si>
    <t>Convention Center -6F- ELV System layout Zone-7,8,9</t>
  </si>
  <si>
    <t>1711</t>
  </si>
  <si>
    <t>O17203-L-SP-07-LV-1711</t>
  </si>
  <si>
    <t>Convention Center -7F- ELV System layout Zone-1</t>
  </si>
  <si>
    <t>1722</t>
  </si>
  <si>
    <t>O17203-L-SP-07-LV-1722</t>
  </si>
  <si>
    <t>Convention Center -7F- ELV System layout Zone-2</t>
  </si>
  <si>
    <t>1733</t>
  </si>
  <si>
    <t>O17203-L-SP-07-LV-1733</t>
  </si>
  <si>
    <t>Convention Center -7F- ELV System layout Zone-3</t>
  </si>
  <si>
    <t>1744</t>
  </si>
  <si>
    <t>O17203-L-SP-07-LV-1744</t>
  </si>
  <si>
    <t>Convention Center -7F- ELV System layout Zone-4</t>
  </si>
  <si>
    <t>1755</t>
  </si>
  <si>
    <t>O17203-L-SP-07-LV-1755</t>
  </si>
  <si>
    <t>Convention Center -7F- ELV System layout Zone-5</t>
  </si>
  <si>
    <t>1766</t>
  </si>
  <si>
    <t>O17203-L-SP-07-LV-1766</t>
  </si>
  <si>
    <t>Convention Center -7F- ELV System layout Zone-6</t>
  </si>
  <si>
    <t>1777</t>
  </si>
  <si>
    <t>O17203-L-SP-07-LV-1777</t>
  </si>
  <si>
    <t>Convention Center -7F- ELV System layout Zone-7,8,9</t>
  </si>
  <si>
    <t>1811</t>
  </si>
  <si>
    <t>O17203-L-SP-07-LV-1811</t>
  </si>
  <si>
    <t>Convention Center -8F- ELV System layout Zone-1</t>
  </si>
  <si>
    <t>1822</t>
  </si>
  <si>
    <t>O17203-L-SP-07-LV-1822</t>
  </si>
  <si>
    <t>Convention Center -8F- ELV System layout Zone-2</t>
  </si>
  <si>
    <t>1833</t>
  </si>
  <si>
    <t>O17203-L-SP-07-LV-1833</t>
  </si>
  <si>
    <t>Convention Center -8F- ELV System layout Zone-3</t>
  </si>
  <si>
    <t>1844</t>
  </si>
  <si>
    <t>O17203-L-SP-07-LV-1844</t>
  </si>
  <si>
    <t>Convention Center -8F- ELV System layout Zone-4</t>
  </si>
  <si>
    <t>1855</t>
  </si>
  <si>
    <t>O17203-L-SP-07-LV-1855</t>
  </si>
  <si>
    <t>Convention Center -8F- ELV System layout Zone-5</t>
  </si>
  <si>
    <t>1866</t>
  </si>
  <si>
    <t>O17203-L-SP-07-LV-1866</t>
  </si>
  <si>
    <t>Convention Center -8F- ELV System layout Zone-6</t>
  </si>
  <si>
    <t>1877</t>
  </si>
  <si>
    <t>O17203-L-SP-07-LV-1877</t>
  </si>
  <si>
    <t>Convention Center -8F- ELV System layout Zone-7,8,9</t>
  </si>
  <si>
    <t>1911</t>
  </si>
  <si>
    <t>O17203-L-SP-07-LV-1911</t>
  </si>
  <si>
    <t>Convention Center -Terrace- ELV System &amp; Power layout Zone-1</t>
  </si>
  <si>
    <t>1922</t>
  </si>
  <si>
    <t>O17203-L-SP-07-LV-1922</t>
  </si>
  <si>
    <t>Convention Center -Terrace- ELV System &amp; Power layout Zone-2</t>
  </si>
  <si>
    <t>1933</t>
  </si>
  <si>
    <t>O17203-L-SP-07-LV-1933</t>
  </si>
  <si>
    <t>Convention Center -Terrace- ELV System &amp; Power layout Zone-3</t>
  </si>
  <si>
    <t>1944</t>
  </si>
  <si>
    <t>O17203-L-SP-07-LV-1944</t>
  </si>
  <si>
    <t>Convention Center -Terrace- ELV System &amp; Power layout Zone-4</t>
  </si>
  <si>
    <t>1955</t>
  </si>
  <si>
    <t>O17203-L-SP-07-LV-1955</t>
  </si>
  <si>
    <t>Convention Center -Terrace- ELV System &amp; Power layout Zone-5</t>
  </si>
  <si>
    <t>1966</t>
  </si>
  <si>
    <t>O17203-L-SP-07-LV-1966</t>
  </si>
  <si>
    <t>Convention Center -Terrace- ELV System &amp; Power layout Zone-6</t>
  </si>
  <si>
    <t>1977</t>
  </si>
  <si>
    <t>O17203-L-SP-07-LV-1977</t>
  </si>
  <si>
    <t>Convention Center -Terrace- ELV System &amp; Power layout Zone-7,8,9</t>
  </si>
  <si>
    <t>DV</t>
  </si>
  <si>
    <t>2901</t>
  </si>
  <si>
    <t>O17203-L-SP-07-DV-2901</t>
  </si>
  <si>
    <t xml:space="preserve">Convention Center -B2- Over All Data &amp; Voice layout </t>
  </si>
  <si>
    <t>2902</t>
  </si>
  <si>
    <t>O17203-L-SP-07-DV-2902</t>
  </si>
  <si>
    <t xml:space="preserve">Convention Center -B1- Over All Data &amp; Voice layout </t>
  </si>
  <si>
    <t>2000</t>
  </si>
  <si>
    <t>O17203-L-SP-07-DV-2000</t>
  </si>
  <si>
    <t xml:space="preserve">Convention Center -GF- Over All Data &amp; Voice layout </t>
  </si>
  <si>
    <t>2100</t>
  </si>
  <si>
    <t>O17203-L-SP-07-DV-2100</t>
  </si>
  <si>
    <t xml:space="preserve">Convention Center -FF- Over All Data &amp; Voice layout </t>
  </si>
  <si>
    <t>2200</t>
  </si>
  <si>
    <t>O17203-L-SP-07-DV-2200</t>
  </si>
  <si>
    <t xml:space="preserve">Convention Center -2F- Over All Data &amp; Voice layout </t>
  </si>
  <si>
    <t>2300</t>
  </si>
  <si>
    <t>O17203-L-SP-07-DV-2300</t>
  </si>
  <si>
    <t xml:space="preserve">Convention Center -3F- Over All Data &amp; Voice layout </t>
  </si>
  <si>
    <t>2400</t>
  </si>
  <si>
    <t>O17203-L-SP-07-DV-2400</t>
  </si>
  <si>
    <t xml:space="preserve">Convention Center -4F- Over All Data &amp; Voice layout </t>
  </si>
  <si>
    <t>2500</t>
  </si>
  <si>
    <t>O17203-L-SP-07-DV-2500</t>
  </si>
  <si>
    <t xml:space="preserve">Convention Center -5F- Over All Data &amp; Voice layout </t>
  </si>
  <si>
    <t>2600</t>
  </si>
  <si>
    <t>O17203-L-SP-07-DV-2600</t>
  </si>
  <si>
    <t xml:space="preserve">Convention Center -6F- Over All Data &amp; Voice layout </t>
  </si>
  <si>
    <t>2700</t>
  </si>
  <si>
    <t>O17203-L-SP-07-DV-2700</t>
  </si>
  <si>
    <t xml:space="preserve">Convention Center -7F- Over All Data &amp; Voice layout </t>
  </si>
  <si>
    <t>2800</t>
  </si>
  <si>
    <t>O17203-L-SP-07-DV-2800</t>
  </si>
  <si>
    <t xml:space="preserve">Convention Center -8F- Over All Data &amp; Voice layout </t>
  </si>
  <si>
    <t>1901</t>
  </si>
  <si>
    <t>O17203-L-SP-07-LV-1901</t>
  </si>
  <si>
    <t xml:space="preserve">Convention Center -B2- Over All ELV System layout </t>
  </si>
  <si>
    <t>1902</t>
  </si>
  <si>
    <t>O17203-L-SP-07-LV-1902</t>
  </si>
  <si>
    <t xml:space="preserve">Convention Center -B1- Over All ELV System layout </t>
  </si>
  <si>
    <t>1000</t>
  </si>
  <si>
    <t>O17203-L-SP-07-LV-1000</t>
  </si>
  <si>
    <t xml:space="preserve">Convention Center -GF- Over All ELV System layout </t>
  </si>
  <si>
    <t>1100</t>
  </si>
  <si>
    <t>O17203-L-SP-07-LV-1100</t>
  </si>
  <si>
    <t xml:space="preserve">Convention Center -FF- Over All ELV System layout </t>
  </si>
  <si>
    <t>1200</t>
  </si>
  <si>
    <t>O17203-L-SP-07-LV-1200</t>
  </si>
  <si>
    <t xml:space="preserve">Convention Center -2F- Over All ELV System layout </t>
  </si>
  <si>
    <t>1300</t>
  </si>
  <si>
    <t>O17203-L-SP-07-LV-1300</t>
  </si>
  <si>
    <t xml:space="preserve">Convention Center -3F- Over All ELV System layout </t>
  </si>
  <si>
    <t>1400</t>
  </si>
  <si>
    <t>O17203-L-SP-07-LV-1400</t>
  </si>
  <si>
    <t xml:space="preserve">Convention Center -4F- Over All ELV System layout </t>
  </si>
  <si>
    <t>1500</t>
  </si>
  <si>
    <t>O17203-L-SP-07-LV-1500</t>
  </si>
  <si>
    <t xml:space="preserve">Convention Center -5F- Over All ELV System layout </t>
  </si>
  <si>
    <t>1600</t>
  </si>
  <si>
    <t>O17203-L-SP-07-LV-1600</t>
  </si>
  <si>
    <t xml:space="preserve">Convention Center -6F- Over All ELV System layout </t>
  </si>
  <si>
    <t>1700</t>
  </si>
  <si>
    <t>O17203-L-SP-07-LV-1700</t>
  </si>
  <si>
    <t xml:space="preserve">Convention Center -7F- Over All ELV System layout </t>
  </si>
  <si>
    <t>1800</t>
  </si>
  <si>
    <t>O17203-L-SP-07-LV-1800</t>
  </si>
  <si>
    <t xml:space="preserve">Convention Center -8F- Over All ELV System layout </t>
  </si>
  <si>
    <t>1900</t>
  </si>
  <si>
    <t>O17203-L-SP-07-LV-1900</t>
  </si>
  <si>
    <t xml:space="preserve">Convention Center -Terrace- Over All ELV System layout </t>
  </si>
  <si>
    <t>AV</t>
  </si>
  <si>
    <t>3011</t>
  </si>
  <si>
    <t>O17203-L-SP-07-AV-3011</t>
  </si>
  <si>
    <t>Audio Visual System Layout for Convention center Auditorium A</t>
  </si>
  <si>
    <t>3022</t>
  </si>
  <si>
    <t>O17203-L-SP-07-AV-3022</t>
  </si>
  <si>
    <t>Audio Visual System Layout for Convention center Auditorium B</t>
  </si>
  <si>
    <t>3033</t>
  </si>
  <si>
    <t>O17203-L-SP-07-AV-3033</t>
  </si>
  <si>
    <t>Audio Visual System Layout for Convention center Combined Auditorium</t>
  </si>
  <si>
    <t>3001</t>
  </si>
  <si>
    <t>O17203-L-SP-07-AV-3001</t>
  </si>
  <si>
    <t>Audio Visual System Layout for Convention center CC Room</t>
  </si>
  <si>
    <t>3002</t>
  </si>
  <si>
    <t>O17203-L-SP-07-AV-3002</t>
  </si>
  <si>
    <t>Audio Visual System Layout for Convention center Typical 200-230 Pax Meeting Room</t>
  </si>
  <si>
    <t>3003</t>
  </si>
  <si>
    <t>O17203-L-SP-07-AV-3003</t>
  </si>
  <si>
    <t>Audio Visual System Layout for Convention center Typical 100 Pax Meeting Room</t>
  </si>
  <si>
    <t>3004</t>
  </si>
  <si>
    <t>O17203-L-SP-07-AV-3004</t>
  </si>
  <si>
    <t>Audio Visual System Layout for Convention center Typical 133 Pax Meeting Room</t>
  </si>
  <si>
    <t>3005</t>
  </si>
  <si>
    <t>O17203-L-SP-07-AV-3005</t>
  </si>
  <si>
    <t>Audio Visual System Layout for Convention center Typical 69 Pax Meeting Room</t>
  </si>
  <si>
    <t>3006</t>
  </si>
  <si>
    <t>O17203-L-SP-07-AV-3006</t>
  </si>
  <si>
    <t>Audio Visual System Layout for Convention center Typical 266 Pax Meeting Room</t>
  </si>
  <si>
    <t>3007</t>
  </si>
  <si>
    <t>O17203-L-SP-07-AV-3007</t>
  </si>
  <si>
    <t>Audio Visual System Layout for Convention center Typical 150 Pax Meeting Room</t>
  </si>
  <si>
    <t>3008</t>
  </si>
  <si>
    <t>O17203-L-SP-07-AV-3008</t>
  </si>
  <si>
    <t>Audio Visual System Layout for Convention center Typical Grand Ball Room</t>
  </si>
  <si>
    <t>SC</t>
  </si>
  <si>
    <t>O17203-L-SP-07-SC-0001</t>
  </si>
  <si>
    <t>BLOCK SCHEMATIC DIAGRAM FOR DATA NETWORK  SYSTEM -Convention center</t>
  </si>
  <si>
    <t>Not Required</t>
  </si>
  <si>
    <t>COC-SCHEME</t>
  </si>
  <si>
    <t>CC-SS_B</t>
  </si>
  <si>
    <t>0002</t>
  </si>
  <si>
    <t>O17203-L-SP-07-SC-0002</t>
  </si>
  <si>
    <t>BLOCK SCHEMATIC DIAGRAM FOR DIGITAL SIGNAGE SYSTEM -Convention center</t>
  </si>
  <si>
    <t>0003</t>
  </si>
  <si>
    <t>O17203-L-SP-07-SC-0003</t>
  </si>
  <si>
    <t>BLOCK SCHEMATIC DIAGRAM FOR PA SYSTEM -Convention center</t>
  </si>
  <si>
    <t>0004</t>
  </si>
  <si>
    <t>O17203-L-SP-07-SC-0004</t>
  </si>
  <si>
    <t>BLOCK SCHEMATIC DIAGRAM FOR CCTV SYSTEM -Convention center</t>
  </si>
  <si>
    <t>0005</t>
  </si>
  <si>
    <t>O17203-L-SP-07-SC-0005</t>
  </si>
  <si>
    <t>BLOCK SCHEMATIC DIAGRAM FOR ACS SYSTEM -Convention center</t>
  </si>
  <si>
    <t>0006</t>
  </si>
  <si>
    <t>O17203-L-SP-07-SC-0006</t>
  </si>
  <si>
    <t>BLOCK SCHEMATIC DIAGRAM FOR BMS SYSTEM -Convention center</t>
  </si>
  <si>
    <t>0007</t>
  </si>
  <si>
    <t>O17203-L-SP-07-SC-0007</t>
  </si>
  <si>
    <t>BLOCK SCHEMATIC DIAGRAM FOR AUDIO VISUAL SYSTEM -Convention center Auditorium</t>
  </si>
  <si>
    <t>0008</t>
  </si>
  <si>
    <t>O17203-L-SP-07-SC-0008</t>
  </si>
  <si>
    <t>BLOCK SCHEMATIC DIAGRAM FOR AUDIO VISUAL SYSTEM -Convention center CC Room</t>
  </si>
  <si>
    <t>0009</t>
  </si>
  <si>
    <t>O17203-L-SP-07-SC-0009</t>
  </si>
  <si>
    <t>BLOCK SCHEMATIC DIAGRAM FOR AUDIO VISUAL SYSTEM -Convention center Typical 200-230 Pax Meeting Room</t>
  </si>
  <si>
    <t>0010</t>
  </si>
  <si>
    <t>O17203-L-SP-07-SC-0010</t>
  </si>
  <si>
    <t>BLOCK SCHEMATIC DIAGRAM FOR AUDIO VISUAL SYSTEM -Convention center Typical 100 Pax Meeting Room</t>
  </si>
  <si>
    <t>0011</t>
  </si>
  <si>
    <t>O17203-L-SP-07-SC-0011</t>
  </si>
  <si>
    <t>BLOCK SCHEMATIC DIAGRAM FOR AUDIO VISUAL SYSTEM -Convention center Typical 133 Pax Meeting Room</t>
  </si>
  <si>
    <t>0012</t>
  </si>
  <si>
    <t>O17203-L-SP-07-SC-0012</t>
  </si>
  <si>
    <t>BLOCK SCHEMATIC DIAGRAM FOR AUDIO VISUAL SYSTEM -Convention center Typical 69 Pax Meeting Room</t>
  </si>
  <si>
    <t>0013</t>
  </si>
  <si>
    <t>O17203-L-SP-07-SC-0013</t>
  </si>
  <si>
    <t>BLOCK SCHEMATIC DIAGRAM FOR AUDIO VISUAL SYSTEM -Convention center Typical 266 Pax Meeting Room</t>
  </si>
  <si>
    <t>0014</t>
  </si>
  <si>
    <t>O17203-L-SP-07-SC-0014</t>
  </si>
  <si>
    <t>BLOCK SCHEMATIC DIAGRAM FOR AUDIO VISUAL SYSTEM -Convention center Typical 150 Pax Meeting Room</t>
  </si>
  <si>
    <t>0015</t>
  </si>
  <si>
    <t>O17203-L-SP-07-SC-0015</t>
  </si>
  <si>
    <t>BLOCK SCHEMATIC DIAGRAM FOR AUDIO VISUAL SYSTEM -Convention center Typical Grand Ball Room</t>
  </si>
  <si>
    <t>0016</t>
  </si>
  <si>
    <t>O17203-L-SP-07-SC-0016</t>
  </si>
  <si>
    <t>BLOCK SCHEMATIC DIAGRAM FOR AUDIO VISUAL SYSTEM -Convention center Typical 8 Pax Meeting Room</t>
  </si>
  <si>
    <t>0017</t>
  </si>
  <si>
    <t>O17203-L-SP-07-SC-0017</t>
  </si>
  <si>
    <t xml:space="preserve">BLOCK SCHEMATIC DIAGRAM FOR BGM SYSTEM -Convention center </t>
  </si>
  <si>
    <t>LE</t>
  </si>
  <si>
    <t>5001</t>
  </si>
  <si>
    <t>O17203-L-SP-07-LE-5001</t>
  </si>
  <si>
    <t>CC PTR rooms ELV Layout</t>
  </si>
  <si>
    <t>DC</t>
  </si>
  <si>
    <t>2002</t>
  </si>
  <si>
    <t>O17203-L-SP-07-DC-2002</t>
  </si>
  <si>
    <t>CC Main datacenter ELV Layout</t>
  </si>
  <si>
    <t>5003</t>
  </si>
  <si>
    <t>O17203-L-SP-07-LE-5003</t>
  </si>
  <si>
    <t>CC Main Security control room ELV Layout</t>
  </si>
  <si>
    <t>5004</t>
  </si>
  <si>
    <t>O17203-L-SP-07-LE-5004</t>
  </si>
  <si>
    <t>CC OCC ELV Layout</t>
  </si>
  <si>
    <t>5005</t>
  </si>
  <si>
    <t>O17203-L-SP-07-LE-5005</t>
  </si>
  <si>
    <t>CC  COR-1 ELV Layout</t>
  </si>
  <si>
    <t>5006</t>
  </si>
  <si>
    <t>O17203-L-SP-07-LE-5006</t>
  </si>
  <si>
    <t>CC  COR-2 ELV Layout</t>
  </si>
  <si>
    <t>5901</t>
  </si>
  <si>
    <t>O17203-L-SP-07-LE-5901</t>
  </si>
  <si>
    <t>CC-STR-ELV-Layout-B1</t>
  </si>
  <si>
    <t>5902</t>
  </si>
  <si>
    <t>O17203-L-SP-07-LE-5902</t>
  </si>
  <si>
    <t>CC-STR-ELV-Layout-B2</t>
  </si>
  <si>
    <t>5000</t>
  </si>
  <si>
    <t>O17203-L-SP-07-LE-5000</t>
  </si>
  <si>
    <t>CC-STR-ELV-Layout-GF</t>
  </si>
  <si>
    <t>5100</t>
  </si>
  <si>
    <t>O17203-L-SP-07-LE-5100</t>
  </si>
  <si>
    <t>CC-STR-ELV-Layout-F1</t>
  </si>
  <si>
    <t>5200</t>
  </si>
  <si>
    <t>O17203-L-SP-07-LE-5200</t>
  </si>
  <si>
    <t>CC-STR-ELV-Layout-F2</t>
  </si>
  <si>
    <t>5300</t>
  </si>
  <si>
    <t>O17203-L-SP-07-LE-5300</t>
  </si>
  <si>
    <t>CC-STR-ELV-Layout-F3</t>
  </si>
  <si>
    <t>CC-SS_C</t>
  </si>
  <si>
    <t>5400</t>
  </si>
  <si>
    <t>O17203-L-SP-07-LE-5400</t>
  </si>
  <si>
    <t>CC-STR-ELV-Layout-F4</t>
  </si>
  <si>
    <t>5500</t>
  </si>
  <si>
    <t>O17203-L-SP-07-LE-5500</t>
  </si>
  <si>
    <t>CC-STR-ELV-Layout-F5</t>
  </si>
  <si>
    <t>5600</t>
  </si>
  <si>
    <t>O17203-L-SP-07-LE-5600</t>
  </si>
  <si>
    <t>CC-STR-ELV-Layout-F6</t>
  </si>
  <si>
    <t>5700</t>
  </si>
  <si>
    <t>O17203-L-SP-07-LE-5700</t>
  </si>
  <si>
    <t>CC-STR-ELV-Layout-F7</t>
  </si>
  <si>
    <t>5800</t>
  </si>
  <si>
    <t>O17203-L-SP-07-LE-5800</t>
  </si>
  <si>
    <t>CC-STR-ELV-Layout-F8</t>
  </si>
  <si>
    <t>IO</t>
  </si>
  <si>
    <t>4901</t>
  </si>
  <si>
    <t>O17203-L-SP-07-IO-4901</t>
  </si>
  <si>
    <t>CC BMS_IO_summary_B1</t>
  </si>
  <si>
    <t>4902</t>
  </si>
  <si>
    <t>O17203-L-SP-07-IO-4902</t>
  </si>
  <si>
    <t>CC BMS_IO_summary_B2</t>
  </si>
  <si>
    <t>4000</t>
  </si>
  <si>
    <t>O17203-L-SP-07-IO-4000</t>
  </si>
  <si>
    <t>CC BMS_IO_summary_GF</t>
  </si>
  <si>
    <t>4100</t>
  </si>
  <si>
    <t>O17203-L-SP-07-IO-4100</t>
  </si>
  <si>
    <t>CC BMS_IO_summary_F1</t>
  </si>
  <si>
    <t>4200</t>
  </si>
  <si>
    <t>O17203-L-SP-07-IO-4200</t>
  </si>
  <si>
    <t>CC BMS_IO_summary_F2</t>
  </si>
  <si>
    <t>4300</t>
  </si>
  <si>
    <t>O17203-L-SP-07-IO-4300</t>
  </si>
  <si>
    <t>CC BMS_IO_summary_F3</t>
  </si>
  <si>
    <t>4400</t>
  </si>
  <si>
    <t>O17203-L-SP-07-IO-4400</t>
  </si>
  <si>
    <t>CC BMS_IO_summary_F4</t>
  </si>
  <si>
    <t>4500</t>
  </si>
  <si>
    <t>O17203-L-SP-07-IO-4500</t>
  </si>
  <si>
    <t>CC BMS_IO_summary_F5</t>
  </si>
  <si>
    <t>4600</t>
  </si>
  <si>
    <t>O17203-L-SP-07-IO-4600</t>
  </si>
  <si>
    <t>CC BMS_IO_summary_F6</t>
  </si>
  <si>
    <t>4700</t>
  </si>
  <si>
    <t>O17203-L-SP-07-IO-4700</t>
  </si>
  <si>
    <t>CC BMS_IO_summary_F7</t>
  </si>
  <si>
    <t>4800</t>
  </si>
  <si>
    <t>O17203-L-SP-07-IO-4800</t>
  </si>
  <si>
    <t>CC BMS_IO_summary_F8</t>
  </si>
  <si>
    <t>4900</t>
  </si>
  <si>
    <t>O17203-L-SP-07-IO-4900</t>
  </si>
  <si>
    <t>CC BMS_IO_summary_Terrace</t>
  </si>
  <si>
    <t>3015</t>
  </si>
  <si>
    <t>O17203-L-SP-07-AV-3015</t>
  </si>
  <si>
    <t>Convention Center -LED FAÇADE LAYOUT 1/4</t>
  </si>
  <si>
    <t>3026</t>
  </si>
  <si>
    <t>O17203-L-SP-07-AV-3026</t>
  </si>
  <si>
    <t>Convention Center -LED FAÇADE LAYOUT 2/4</t>
  </si>
  <si>
    <t>3037</t>
  </si>
  <si>
    <t>O17203-L-SP-07-AV-3037</t>
  </si>
  <si>
    <t>Convention Center -LED FAÇADE LAYOUT 3/4</t>
  </si>
  <si>
    <t>3048</t>
  </si>
  <si>
    <t>O17203-L-SP-07-AV-3048</t>
  </si>
  <si>
    <t>Convention Center -LED FAÇADE LAYOUT 4/4</t>
  </si>
  <si>
    <t>O17203-L-SP-01-LV-1511</t>
  </si>
  <si>
    <t>Exhibition Hall 1 + Foyer Basement-1 ELV System layout Zone-1</t>
  </si>
  <si>
    <t>EH1-INT_D</t>
  </si>
  <si>
    <t>O17203-L-SP-01-LV-1522</t>
  </si>
  <si>
    <t>Exhibition Hall 1 + Foyer Basement-1 ELV System layout Zone-2</t>
  </si>
  <si>
    <t>O17203-L-SP-01-LV-1533</t>
  </si>
  <si>
    <t>Exhibition Hall 1 + Foyer Basement-1 ELV System layout Zone-3</t>
  </si>
  <si>
    <t>O17203-L-SP-01-LV-1544</t>
  </si>
  <si>
    <t>Exhibition Hall 1 + Foyer Basement-1 ELV System layout Zone-4</t>
  </si>
  <si>
    <t>O17203-L-SP-01-LV-1555</t>
  </si>
  <si>
    <t>Exhibition Hall 1 + Foyer Basement-1 ELV System layout Zone-5</t>
  </si>
  <si>
    <t>O17203-L-SP-01-LV-1566</t>
  </si>
  <si>
    <t>Exhibition Hall 1 + Foyer Basement-1 ELV System layout Zone-6</t>
  </si>
  <si>
    <t>O17203-L-SP-01-LV-1011</t>
  </si>
  <si>
    <t>Exhibition Hall 1 + Foyer GF ELV System Zone-1</t>
  </si>
  <si>
    <t>O17203-L-SP-01-LV-1022</t>
  </si>
  <si>
    <t>Exhibition Hall 1 + Foyer GF ELV System Zone-2</t>
  </si>
  <si>
    <t>O17203-L-SP-01-LV-1033</t>
  </si>
  <si>
    <t>Exhibition Hall 1 + Foyer GF ELV System Zone-3</t>
  </si>
  <si>
    <t>O17203-L-SP-01-LV-1044</t>
  </si>
  <si>
    <t>Exhibition Hall 1 + Foyer GF ELV System Zone-4</t>
  </si>
  <si>
    <t>O17203-L-SP-01-LV-1055</t>
  </si>
  <si>
    <t>Exhibition Hall 1 + Foyer GF ELV System Zone-5</t>
  </si>
  <si>
    <t>O17203-L-SP-01-LV-1066</t>
  </si>
  <si>
    <t>Exhibition Hall 1 + Foyer GF ELV System Zone-6</t>
  </si>
  <si>
    <t>O17203-L-SP-01-LV-1077</t>
  </si>
  <si>
    <t>Exhibition Hall 1 + Foyer GF ELV System Zone-7</t>
  </si>
  <si>
    <t>1088</t>
  </si>
  <si>
    <t>O17203-L-SP-01-LV-1088</t>
  </si>
  <si>
    <t>Exhibition Hall 1 + Foyer GF ELV System Zone-8</t>
  </si>
  <si>
    <t>1099</t>
  </si>
  <si>
    <t>O17203-L-SP-01-LV-1099</t>
  </si>
  <si>
    <t>Exhibition Hall 1 + Foyer GF ELV System Zone-9</t>
  </si>
  <si>
    <t>1910</t>
  </si>
  <si>
    <t>O17203-L-SP-01-LV-1910</t>
  </si>
  <si>
    <t>Exhibition Hall 1 + Foyer Mezzanine ELV System Zone-1</t>
  </si>
  <si>
    <t>1921</t>
  </si>
  <si>
    <t>O17203-L-SP-01-LV-1921</t>
  </si>
  <si>
    <t>Exhibition Hall 1 + Foyer Mezzanine ELV System Zone-2</t>
  </si>
  <si>
    <t>O17203-L-SP-01-LV-1111</t>
  </si>
  <si>
    <t>Exhibition Hall 1 + Foyer FF ELV System layout Zone-1</t>
  </si>
  <si>
    <t>O17203-L-SP-01-LV-1122</t>
  </si>
  <si>
    <t>Exhibition Hall 1 + Foyer FF ELV System layout Zone-2</t>
  </si>
  <si>
    <t>O17203-L-SP-01-LV-1133</t>
  </si>
  <si>
    <t>Exhibition Hall 1 + Foyer FF ELV System layout Zone-3</t>
  </si>
  <si>
    <t>O17203-L-SP-01-LV-1144</t>
  </si>
  <si>
    <t>Exhibition Hall 1 + Foyer FF ELV System layout Zone-4</t>
  </si>
  <si>
    <t>O17203-L-SP-01-LV-1155</t>
  </si>
  <si>
    <t>Exhibition Hall 1 + Foyer FF ELV System layout Zone-5</t>
  </si>
  <si>
    <t>O17203-L-SP-01-LV-1166</t>
  </si>
  <si>
    <t>Exhibition Hall 1 + Foyer FF ELV System layout Zone-6</t>
  </si>
  <si>
    <t>O17203-L-SP-01-LV-1211</t>
  </si>
  <si>
    <t>Exhibition Hall 1 + Foyer 2F ELV System layout Zone-1</t>
  </si>
  <si>
    <t>O17203-L-SP-01-LV-1222</t>
  </si>
  <si>
    <t>Exhibition Hall 1 + Foyer 2F ELV System layout Zone-2</t>
  </si>
  <si>
    <t>O17203-L-SP-01-LV-1233</t>
  </si>
  <si>
    <t>Exhibition Hall 1 + Foyer 2F ELV System layout Zone-3</t>
  </si>
  <si>
    <t>O17203-L-SP-01-LV-1244</t>
  </si>
  <si>
    <t>Exhibition Hall 1 + Foyer 2F ELV System layout Zone-4</t>
  </si>
  <si>
    <t>O17203-L-SP-01-LV-1255</t>
  </si>
  <si>
    <t>Exhibition Hall 1 + Foyer 2F ELV System layout Zone-5</t>
  </si>
  <si>
    <t>O17203-L-SP-01-LV-1266</t>
  </si>
  <si>
    <t>Exhibition Hall 1 + Foyer 2F ELV System layout Zone-6</t>
  </si>
  <si>
    <t>O17203-L-SP-01-LV-1311</t>
  </si>
  <si>
    <t>Exhibition Hall 1 + Foyer 3F ELV System layout Zone-1</t>
  </si>
  <si>
    <t>O17203-L-SP-01-LV-1322</t>
  </si>
  <si>
    <t>Exhibition Hall 1 + Foyer 3F ELV System layout Zone-2</t>
  </si>
  <si>
    <t>O17203-L-SP-01-LV-1333</t>
  </si>
  <si>
    <t>Exhibition Hall 1 + Foyer 3F ELV System layout Zone-3</t>
  </si>
  <si>
    <t>O17203-L-SP-01-LV-1344</t>
  </si>
  <si>
    <t>Exhibition Hall 1 + Foyer 3F ELV System layout Zone-4</t>
  </si>
  <si>
    <t>O17203-L-SP-01-LV-1355</t>
  </si>
  <si>
    <t>Exhibition Hall 1 + Foyer 3F ELV System layout Zone-5</t>
  </si>
  <si>
    <t>O17203-L-SP-01-LV-1366</t>
  </si>
  <si>
    <t>Exhibition Hall 1 + Foyer 3F ELV System layout Zone-6</t>
  </si>
  <si>
    <t>O17203-L-SP-01-LV-1411</t>
  </si>
  <si>
    <t>Exhibition Hall 1 + Foyer terrace ELV System layout Zone-1</t>
  </si>
  <si>
    <t>O17203-L-SP-01-LV-1422</t>
  </si>
  <si>
    <t>Exhibition Hall 1 + Foyer terrace ELV System layout Zone-2</t>
  </si>
  <si>
    <t>O17203-L-SP-01-LV-1433</t>
  </si>
  <si>
    <t>Exhibition Hall 1 + Foyer terrace ELV System layout Zone-3</t>
  </si>
  <si>
    <t>O17203-L-SP-01-LV-1444</t>
  </si>
  <si>
    <t>Exhibition Hall 1 + Foyer terrace ELV System layout Zone-4</t>
  </si>
  <si>
    <t>O17203-L-SP-01-LV-1455</t>
  </si>
  <si>
    <t>Exhibition Hall 1 + Foyer terrace ELV System layout Zone-5</t>
  </si>
  <si>
    <t>O17203-L-SP-01-LV-1466</t>
  </si>
  <si>
    <t>Exhibition Hall 1 + Foyer terrace ELV System layout Zone-6</t>
  </si>
  <si>
    <t>1501</t>
  </si>
  <si>
    <t>O17203-L-SP-01-LV-1501</t>
  </si>
  <si>
    <t>Exhibition Hall 1 + Foyer Basement-1 Over All ELV System Layout</t>
  </si>
  <si>
    <t>O17203-L-SP-01-LV-1000</t>
  </si>
  <si>
    <t>Exhibition Hall 1 + Foyer GF Over All ELV System Layout</t>
  </si>
  <si>
    <t>O17203-L-SP-01-LV-1900</t>
  </si>
  <si>
    <t>Exhibition Hall 1 + Foyer Mezzanin Over All ELV System Layout</t>
  </si>
  <si>
    <t>O17203-L-SP-01-LV-1100</t>
  </si>
  <si>
    <t>Exhibition Hall 1 + Foyer 1F Over All ELV System Layout</t>
  </si>
  <si>
    <t>O17203-L-SP-01-LV-1200</t>
  </si>
  <si>
    <t>Exhibition Hall 1 + Foyer 2F Over All ELV System Layout</t>
  </si>
  <si>
    <t>O17203-L-SP-01-LV-1300</t>
  </si>
  <si>
    <t>Exhibition Hall 1 + Foyer 3F Over All ELV System Layout</t>
  </si>
  <si>
    <t>O17203-L-SP-01-LV-1400</t>
  </si>
  <si>
    <t>Exhibition Hall 1 + Foyer Terrace Over All ELV System Layout</t>
  </si>
  <si>
    <t>O17203-L-SP-01-AV-3011</t>
  </si>
  <si>
    <t>Exhibition Hall 1 + Foyer Auditorium Option-1 Audio Visual System Layout</t>
  </si>
  <si>
    <t>O17203-L-SP-01-AV-3022</t>
  </si>
  <si>
    <t>Exhibition Hall 1 + Foyer Auditorium Option-2 Audio Visual System Layout</t>
  </si>
  <si>
    <t>O17203-L-SP-01-AV-3033</t>
  </si>
  <si>
    <t>Exhibition Hall 1 + Foyer Auditorium Option-3 Audio Visual System Layout</t>
  </si>
  <si>
    <t>3044</t>
  </si>
  <si>
    <t>O17203-L-SP-01-AV-3044</t>
  </si>
  <si>
    <t>Exhibition Hall 1 + Foyer Auditorium Option-4 Audio Visual System Layout</t>
  </si>
  <si>
    <t>3000</t>
  </si>
  <si>
    <t>O17203-L-SP-01-AV-3000</t>
  </si>
  <si>
    <t>Exhibition Hall 1 + Foyer 100 Pax Meeting Room Audio Visual System Layout</t>
  </si>
  <si>
    <t>O17203-L-SP-01-DV-2000</t>
  </si>
  <si>
    <t>Exhibition Hall 1 + Foyer GF Over All Data &amp; Voice Layout</t>
  </si>
  <si>
    <t>2900</t>
  </si>
  <si>
    <t>O17203-L-SP-01-DV-2900</t>
  </si>
  <si>
    <t>Exhibition Hall 1 + Foyer Mezzanine Over All Data &amp; Voice Layout</t>
  </si>
  <si>
    <t>O17203-L-SP-01-DV-2100</t>
  </si>
  <si>
    <t>Exhibition Hall 1 + Foyer 1F Over All Data &amp; Voice Layout</t>
  </si>
  <si>
    <t>O17203-L-SP-01-DV-2200</t>
  </si>
  <si>
    <t>Exhibition Hall 1 + Foyer 2F Over All Data &amp; Voice Layout</t>
  </si>
  <si>
    <t>O17203-L-SP-01-DV-2300</t>
  </si>
  <si>
    <t>Exhibition Hall 1 + Foyer 3F Over All Data &amp; Voice Layout</t>
  </si>
  <si>
    <t>O17203-L-SP-01-LE-5000</t>
  </si>
  <si>
    <t>Exhibition Hall 1 + Foyer GF STR rooms Layout</t>
  </si>
  <si>
    <t>5900</t>
  </si>
  <si>
    <t>O17203-L-SP-01-LE-5900</t>
  </si>
  <si>
    <t>Exhibition Hall 1 + Foyer Mezzanine STR rooms Layout</t>
  </si>
  <si>
    <t>O17203-L-SP-01-LE-5100</t>
  </si>
  <si>
    <t>Exhibition Hall 1 + Foyer 1F STR rooms Layout</t>
  </si>
  <si>
    <t>EH1-SS_B</t>
  </si>
  <si>
    <t>O17203-L-SP-01-LE-5200</t>
  </si>
  <si>
    <t>Exhibition Hall 1 + Foyer 2F STR rooms Layout</t>
  </si>
  <si>
    <t>O17203-L-SP-01-LE-5300</t>
  </si>
  <si>
    <t>Exhibition Hall 1 + Foyer 3F STR rooms Layout</t>
  </si>
  <si>
    <t>5501</t>
  </si>
  <si>
    <t>O17203-L-SP-01-LE-5501</t>
  </si>
  <si>
    <t>Exhibition Hall 1 + Foyer Basement-1 STR rooms Layout</t>
  </si>
  <si>
    <t>5002</t>
  </si>
  <si>
    <t>O17203-L-SP-01-LE-5002</t>
  </si>
  <si>
    <t>Exhibition Hall 1 + Foyer PTR rooms Layout</t>
  </si>
  <si>
    <t>O17203-L-SP-01-LE-5003</t>
  </si>
  <si>
    <t>Exhibition Hall 1 + Foyer OCC Layout</t>
  </si>
  <si>
    <t>O17203-L-SP-01-SC-0001</t>
  </si>
  <si>
    <t>BLOCK SCHEMATIC DIAGRAM FOR DATA NETWORK  SYSTEM -EX-HALL-1</t>
  </si>
  <si>
    <t>not required</t>
  </si>
  <si>
    <t>EH1-SCHEME</t>
  </si>
  <si>
    <t>O17203-L-SP-01-SC-0002</t>
  </si>
  <si>
    <t>BLOCK SCHEMATIC DIAGRAM FOR DIGITAL SIGNAGE SYSTEM -EX-HALL-1</t>
  </si>
  <si>
    <t>O17203-L-SP-01-SC-0003</t>
  </si>
  <si>
    <t>BLOCK SCHEMATIC DIAGRAM FOR PA SYSTEM -EX-HALL-1</t>
  </si>
  <si>
    <t>O17203-L-SP-01-SC-0004</t>
  </si>
  <si>
    <t>BLOCK SCHEMATIC DIAGRAM FOR CCTV  SYSTEM -EX-HALL-1</t>
  </si>
  <si>
    <t>O17203-L-SP-01-SC-0005</t>
  </si>
  <si>
    <t>BLOCK SCHEMATIC DIAGRAM FOR ACS SYSTEM -EX-HALL-1</t>
  </si>
  <si>
    <t>O17203-L-SP-01-SC-0006</t>
  </si>
  <si>
    <t>BLOCK SCHEMATIC DIAGRAM FOR BMS SYSTEM -EX-HALL-1</t>
  </si>
  <si>
    <t>O17203-L-SP-01-SC-0007</t>
  </si>
  <si>
    <t>BLOCK SCHEMATIC DIAGRAM FOR AUDIO VISUAL SYSTEM -Exhibition Hall 1 Auditorium</t>
  </si>
  <si>
    <t>O17203-L-SP-01-SC-0008</t>
  </si>
  <si>
    <t>BLOCK SCHEMATIC DIAGRAM FOR AUDIO VISUAL SYSTEM -Exhibition Hall 1 100 Pax Meeting Room</t>
  </si>
  <si>
    <t>O17203-L-SP-01-SC-0009</t>
  </si>
  <si>
    <t xml:space="preserve">BLOCK SCHEMATIC DIAGRAM FOR BGM SYSTEM -Exhibition Hall 1 </t>
  </si>
  <si>
    <t>4501</t>
  </si>
  <si>
    <t>O17203-L-SP-01-IO-4501</t>
  </si>
  <si>
    <t>BMS IO SUMMARY-B1</t>
  </si>
  <si>
    <t>O17203-L-SP-01-IO-4000</t>
  </si>
  <si>
    <t>BMS IO SUMMARY-GF</t>
  </si>
  <si>
    <t>O17203-L-SP-01-IO-4100</t>
  </si>
  <si>
    <t>BMS IO SUMMARY-F1</t>
  </si>
  <si>
    <t>O17203-L-SP-01-IO-4200</t>
  </si>
  <si>
    <t>BMS IO SUMMARY-F2</t>
  </si>
  <si>
    <t>O17203-L-SP-01-IO-4300</t>
  </si>
  <si>
    <t>BMS IO SUMMARY-F3</t>
  </si>
  <si>
    <t>O17203-L-SP-01-IO-4400</t>
  </si>
  <si>
    <t>BMS IO SUMMARY-TF</t>
  </si>
  <si>
    <t>O17203-L-SP-01-LV-1577</t>
  </si>
  <si>
    <t>Foyer-1 Basement-1 ELV System layout-Zone-1</t>
  </si>
  <si>
    <t>1588</t>
  </si>
  <si>
    <t>O17203-L-SP-01-LV-1588</t>
  </si>
  <si>
    <t>Foyer-1 Basement-1 ELV System layout-Zone-2</t>
  </si>
  <si>
    <t>1599</t>
  </si>
  <si>
    <t>O17203-L-SP-01-LV-1599</t>
  </si>
  <si>
    <t>Foyer-1 Basement-1 ELV System layout-Zone-3</t>
  </si>
  <si>
    <t>O17203-L-SP-01-LV-1677</t>
  </si>
  <si>
    <t>Foyer-1 Basement-2 ELV System layout-Zone-1</t>
  </si>
  <si>
    <t>1688</t>
  </si>
  <si>
    <t>O17203-L-SP-01-LV-1688</t>
  </si>
  <si>
    <t>Foyer-1 Basement-2 ELV System layout-Zone-2</t>
  </si>
  <si>
    <t>1699</t>
  </si>
  <si>
    <t>O17203-L-SP-01-LV-1699</t>
  </si>
  <si>
    <t>Foyer-1 Basement-2 ELV System layout-Zone-3</t>
  </si>
  <si>
    <t>O17203-L-SP-01-LV-1777</t>
  </si>
  <si>
    <t>Foyer-1 Basement-3 ELV System layout-Zone-1</t>
  </si>
  <si>
    <t>1788</t>
  </si>
  <si>
    <t>O17203-L-SP-01-LV-1788</t>
  </si>
  <si>
    <t>Foyer-1 Basement-3 ELV System layout-Zone-2</t>
  </si>
  <si>
    <t>1799</t>
  </si>
  <si>
    <t>O17203-L-SP-01-LV-1799</t>
  </si>
  <si>
    <t>Foyer-1 Basement-3 ELV System layout-Zone-3</t>
  </si>
  <si>
    <t>O17203-L-SP-01-LV-1500</t>
  </si>
  <si>
    <t>Foyer-1 Basement-1 Overall ELV System layout</t>
  </si>
  <si>
    <t>O17203-L-SP-01-LV-1600</t>
  </si>
  <si>
    <t>Foyer-1 Basement-2 Overall ELV System layout</t>
  </si>
  <si>
    <t>O17203-L-SP-01-LV-1700</t>
  </si>
  <si>
    <t>Foyer-1 Basement-3 Overall ELV System layout</t>
  </si>
  <si>
    <t>O17203-L-SP-01-IO-4500</t>
  </si>
  <si>
    <t>Foyer-1 BMS_IO_summary_B1</t>
  </si>
  <si>
    <t>O17203-L-SP-01-IO-4600</t>
  </si>
  <si>
    <t>Foyer-1 BMS_IO_summary_B2</t>
  </si>
  <si>
    <t>O17203-L-SP-01-IO-4700</t>
  </si>
  <si>
    <t>Foyer-1 BMS_IO_summary_B3</t>
  </si>
  <si>
    <t>4801</t>
  </si>
  <si>
    <t>O17203-L-SP-01-IO-4801</t>
  </si>
  <si>
    <t>Foyer-1 BMS_IO_summary_B4</t>
  </si>
  <si>
    <t>O17203-L-SP-02-LV-1511</t>
  </si>
  <si>
    <t>Exhibition Hall 2 + Foyer Basement-1 ELV System layout Zone-1</t>
  </si>
  <si>
    <t>EH2-INT_D</t>
  </si>
  <si>
    <t>O17203-L-SP-02-LV-1522</t>
  </si>
  <si>
    <t>Exhibition Hall 2 + Foyer Basement-1 ELV System layout Zone-2</t>
  </si>
  <si>
    <t>O17203-L-SP-02-LV-1533</t>
  </si>
  <si>
    <t>Exhibition Hall 2 + Foyer Basement-1 ELV System layout Zone-3</t>
  </si>
  <si>
    <t>O17203-L-SP-02-LV-1544</t>
  </si>
  <si>
    <t>Exhibition Hall 2 + Foyer Basement-1 ELV System layout Zone-4</t>
  </si>
  <si>
    <t>O17203-L-SP-02-LV-1555</t>
  </si>
  <si>
    <t>Exhibition Hall 2 + Foyer Basement-1 ELV System layout Zone-5</t>
  </si>
  <si>
    <t>O17203-L-SP-02-LV-1566</t>
  </si>
  <si>
    <t>Exhibition Hall 2 + Foyer Basement-1 ELV System layout Zone-6</t>
  </si>
  <si>
    <t>O17203-L-SP-02-LV-1011</t>
  </si>
  <si>
    <t>Exhibition Hall 2 + Foyer GF ELV System Zone-1</t>
  </si>
  <si>
    <t>O17203-L-SP-02-LV-1022</t>
  </si>
  <si>
    <t>Exhibition Hall 2 + Foyer GF ELV System Zone-2</t>
  </si>
  <si>
    <t>O17203-L-SP-02-LV-1033</t>
  </si>
  <si>
    <t>Exhibition Hall 2 + Foyer GF ELV System Zone-3</t>
  </si>
  <si>
    <t>O17203-L-SP-02-LV-1044</t>
  </si>
  <si>
    <t>Exhibition Hall 2 + Foyer GF ELV System Zone-4</t>
  </si>
  <si>
    <t>O17203-L-SP-02-LV-1055</t>
  </si>
  <si>
    <t>Exhibition Hall 2 + Foyer GF ELV System Zone-5</t>
  </si>
  <si>
    <t>O17203-L-SP-02-LV-1066</t>
  </si>
  <si>
    <t>Exhibition Hall 2 + Foyer GF ELV System Zone-6</t>
  </si>
  <si>
    <t>O17203-L-SP-02-LV-1077</t>
  </si>
  <si>
    <t>Exhibition Hall 2 + Foyer GF ELV System Zone-7</t>
  </si>
  <si>
    <t>O17203-L-SP-02-LV-1088</t>
  </si>
  <si>
    <t>Exhibition Hall 2 + Foyer GF ELV System Zone-8</t>
  </si>
  <si>
    <t>O17203-L-SP-02-LV-1099</t>
  </si>
  <si>
    <t>Exhibition Hall 2 + Foyer GF ELV System Zone-9</t>
  </si>
  <si>
    <t>O17203-L-SP-02-LV-1911</t>
  </si>
  <si>
    <t>Exhibition Hall 2 + Foyer Mezzanine ELV System Zone-1</t>
  </si>
  <si>
    <t>O17203-L-SP-02-LV-1922</t>
  </si>
  <si>
    <t>Exhibition Hall 2 + Foyer Mezzanine ELV System Zone-2</t>
  </si>
  <si>
    <t>O17203-L-SP-02-LV-1111</t>
  </si>
  <si>
    <t>Exhibition Hall 2 + Foyer FF ELV System layout Zone-1</t>
  </si>
  <si>
    <t>O17203-L-SP-02-LV-1122</t>
  </si>
  <si>
    <t>Exhibition Hall 2 + Foyer FF ELV System layout Zone-2</t>
  </si>
  <si>
    <t>O17203-L-SP-02-LV-1133</t>
  </si>
  <si>
    <t>Exhibition Hall 2 + Foyer FF ELV System layout Zone-3</t>
  </si>
  <si>
    <t>O17203-L-SP-02-LV-1144</t>
  </si>
  <si>
    <t>Exhibition Hall 2 + Foyer FF ELV System layout Zone-4</t>
  </si>
  <si>
    <t>O17203-L-SP-02-LV-1155</t>
  </si>
  <si>
    <t>Exhibition Hall 2 + Foyer FF ELV System layout Zone-5</t>
  </si>
  <si>
    <t>O17203-L-SP-02-LV-1166</t>
  </si>
  <si>
    <t>Exhibition Hall 2 + Foyer FF ELV System layout Zone-6</t>
  </si>
  <si>
    <t>O17203-L-SP-02-LV-1211</t>
  </si>
  <si>
    <t>Exhibition Hall 2 + Foyer 2F ELV System layout Zone-1</t>
  </si>
  <si>
    <t>O17203-L-SP-02-LV-1222</t>
  </si>
  <si>
    <t>Exhibition Hall 2 + Foyer 2F ELV System layout Zone-2</t>
  </si>
  <si>
    <t>O17203-L-SP-02-LV-1233</t>
  </si>
  <si>
    <t>Exhibition Hall 2 + Foyer 2F ELV System layout Zone-3</t>
  </si>
  <si>
    <t>O17203-L-SP-02-LV-1244</t>
  </si>
  <si>
    <t>Exhibition Hall 2 + Foyer 2F ELV System layout Zone-4</t>
  </si>
  <si>
    <t>O17203-L-SP-02-LV-1255</t>
  </si>
  <si>
    <t>Exhibition Hall 2 + Foyer 2F ELV System layout Zone-5</t>
  </si>
  <si>
    <t>O17203-L-SP-02-LV-1266</t>
  </si>
  <si>
    <t>Exhibition Hall 2 + Foyer 2F ELV System layout Zone-6</t>
  </si>
  <si>
    <t>O17203-L-SP-02-LV-1311</t>
  </si>
  <si>
    <t>Exhibition Hall 2 + Foyer 3F ELV System layout Zone-1</t>
  </si>
  <si>
    <t>O17203-L-SP-02-LV-1322</t>
  </si>
  <si>
    <t>Exhibition Hall 2 + Foyer 3F ELV System layout Zone-2</t>
  </si>
  <si>
    <t>O17203-L-SP-02-LV-1333</t>
  </si>
  <si>
    <t>Exhibition Hall 2 + Foyer 3F ELV System layout Zone-3</t>
  </si>
  <si>
    <t>O17203-L-SP-02-LV-1344</t>
  </si>
  <si>
    <t>Exhibition Hall 2 + Foyer 3F ELV System layout Zone-4</t>
  </si>
  <si>
    <t>O17203-L-SP-02-LV-1355</t>
  </si>
  <si>
    <t>Exhibition Hall 2 + Foyer 3F ELV System layout Zone-5</t>
  </si>
  <si>
    <t>O17203-L-SP-02-LV-1366</t>
  </si>
  <si>
    <t>Exhibition Hall 2 + Foyer 3F ELV System layout Zone-6</t>
  </si>
  <si>
    <t>O17203-L-SP-02-LV-1411</t>
  </si>
  <si>
    <t>Exhibition Hall 2 + Foyer terrace ELV System layout Zone-1</t>
  </si>
  <si>
    <t>O17203-L-SP-02-LV-1422</t>
  </si>
  <si>
    <t>Exhibition Hall 2 + Foyer terrace ELV System layout Zone-2</t>
  </si>
  <si>
    <t>O17203-L-SP-02-LV-1433</t>
  </si>
  <si>
    <t>Exhibition Hall 2 + Foyer terrace ELV System layout Zone-3</t>
  </si>
  <si>
    <t>O17203-L-SP-02-LV-1444</t>
  </si>
  <si>
    <t>Exhibition Hall 2 + Foyer terrace ELV System layout Zone-4</t>
  </si>
  <si>
    <t>O17203-L-SP-02-LV-1455</t>
  </si>
  <si>
    <t>Exhibition Hall 2 + Foyer terrace ELV System layout Zone-5</t>
  </si>
  <si>
    <t>O17203-L-SP-02-LV-1466</t>
  </si>
  <si>
    <t>Exhibition Hall 2 + Foyer terrace ELV System layout Zone-6</t>
  </si>
  <si>
    <t>O17203-L-SP-02-LV-1501</t>
  </si>
  <si>
    <t>Exhibition Hall 2 + Foyer Basement-1 Over All ELV System Layout</t>
  </si>
  <si>
    <t>O17203-L-SP-02-LV-1000</t>
  </si>
  <si>
    <t>Exhibition Hall 2 + Foyer GF Over All ELV System Layout</t>
  </si>
  <si>
    <t>O17203-L-SP-02-LV-1900</t>
  </si>
  <si>
    <t>Exhibition Hall 2 + Foyer Mezzanin Over All ELV System Layout</t>
  </si>
  <si>
    <t>O17203-L-SP-02-LV-1100</t>
  </si>
  <si>
    <t>Exhibition Hall 2 + Foyer 1F Over All ELV System Layout</t>
  </si>
  <si>
    <t>O17203-L-SP-02-LV-1200</t>
  </si>
  <si>
    <t>Exhibition Hall 2 + Foyer 2F Over All ELV System Layout</t>
  </si>
  <si>
    <t>O17203-L-SP-02-LV-1300</t>
  </si>
  <si>
    <t>Exhibition Hall 2 + Foyer 3F Over All ELV System Layout</t>
  </si>
  <si>
    <t>O17203-L-SP-02-LV-1400</t>
  </si>
  <si>
    <t>Exhibition Hall 2 + Foyer Terrace Over All ELV System Layout</t>
  </si>
  <si>
    <t>O17203-L-SP-02-DV-2000</t>
  </si>
  <si>
    <t>Exhibition Hall 2 + Foyer GF Over All Data &amp; Voice Layout</t>
  </si>
  <si>
    <t>O17203-L-SP-02-DV-2900</t>
  </si>
  <si>
    <t>Exhibition Hall 2 + Foyer Mezzanine Over All Data &amp; Voice Layout</t>
  </si>
  <si>
    <t>O17203-L-SP-02-DV-2100</t>
  </si>
  <si>
    <t>Exhibition Hall 2 + Foyer 1F Over All Data &amp; Voice Layout</t>
  </si>
  <si>
    <t>O17203-L-SP-02-DV-2200</t>
  </si>
  <si>
    <t>Exhibition Hall 2 + Foyer 2F Over All Data &amp; Voice Layout</t>
  </si>
  <si>
    <t>O17203-L-SP-02-DV-2300</t>
  </si>
  <si>
    <t>Exhibition Hall 2 + Foyer 3F Over All Data &amp; Voice Layout</t>
  </si>
  <si>
    <t>O17203-L-SP-02-LE-5000</t>
  </si>
  <si>
    <t>Exhibition Hall 2 + Foyer GF STR rooms Layout</t>
  </si>
  <si>
    <t>O17203-L-SP-02-LE-5900</t>
  </si>
  <si>
    <t>Exhibition Hall 2 + Foyer Mezzanine STR rooms Layout</t>
  </si>
  <si>
    <t>O17203-L-SP-02-LE-5100</t>
  </si>
  <si>
    <t>Exhibition Hall 2 + Foyer 1F STR rooms Layout</t>
  </si>
  <si>
    <t>EH2-SS_B</t>
  </si>
  <si>
    <t>O17203-L-SP-02-LE-5200</t>
  </si>
  <si>
    <t>Exhibition Hall 2 + Foyer 2F STR rooms Layout</t>
  </si>
  <si>
    <t>O17203-L-SP-02-LE-5300</t>
  </si>
  <si>
    <t>Exhibition Hall 2 + Foyer 3F STR rooms Layout</t>
  </si>
  <si>
    <t>O17203-L-SP-02-LE-5501</t>
  </si>
  <si>
    <t>Exhibition Hall 2 + Foyer Basement-1 STR rooms Layout</t>
  </si>
  <si>
    <t>O17203-L-SP-02-LE-5002</t>
  </si>
  <si>
    <t>Exhibition Hall 2 + Foyer PTR rooms Layout</t>
  </si>
  <si>
    <t>2001</t>
  </si>
  <si>
    <t>O17203-L-SP-02-DC-2001</t>
  </si>
  <si>
    <t>Exhibition Hall 2 + Foyer Backup datacenter Layout</t>
  </si>
  <si>
    <t>O17203-L-SP-02-LE-5003</t>
  </si>
  <si>
    <t>Exhibition Hall 2 + Foyer Main Security control room Layout</t>
  </si>
  <si>
    <t>O17203-L-SP-02-LE-5004</t>
  </si>
  <si>
    <t>Exhibition Hall 2 + Foyer SCC Layout</t>
  </si>
  <si>
    <t>O17203-L-SP-02-LE-5005</t>
  </si>
  <si>
    <t>Exhibition Hall 2 + Foyer  COR-1 Layout</t>
  </si>
  <si>
    <t>O17203-L-SP-02-LE-5006</t>
  </si>
  <si>
    <t>Exhibition Hall 2 + Foyer  COR-1Layout</t>
  </si>
  <si>
    <t>O17203-L-SP-02-SC-0001</t>
  </si>
  <si>
    <t>BLOCK SCHEMATIC DIAGRAM FOR DATA NETWORK  SYSTEM -EX-HALL-2</t>
  </si>
  <si>
    <t>EH2-SCHEME</t>
  </si>
  <si>
    <t>O17203-L-SP-02-SC-0002</t>
  </si>
  <si>
    <t>BLOCK SCHEMATIC DIAGRAM FOR DIGITAL SIGNAGE SYSTEM -EX-HALL-2</t>
  </si>
  <si>
    <t>O17203-L-SP-02-SC-0003</t>
  </si>
  <si>
    <t>BLOCK SCHEMATIC DIAGRAM FOR PA  SYSTEM -EX-HALL-2</t>
  </si>
  <si>
    <t>O17203-L-SP-02-SC-0004</t>
  </si>
  <si>
    <t>BLOCK SCHEMATIC DIAGRAM FOR CCTV  SYSTEM -EX-HALL-2</t>
  </si>
  <si>
    <t>O17203-L-SP-02-SC-0005</t>
  </si>
  <si>
    <t>BLOCK SCHEMATIC DIAGRAM FOR ACS  SYSTEM -EX-HALL-2</t>
  </si>
  <si>
    <t>O17203-L-SP-02-SC-0006</t>
  </si>
  <si>
    <t>BLOCK SCHEMATIC DIAGRAM FOR BMS SYSTEM -EX-HALL-2</t>
  </si>
  <si>
    <t>O17203-L-SP-02-SC-0007</t>
  </si>
  <si>
    <t>BLOCK SCHEMATIC DIAGRAM FOR BGM SYSTEM -Exhibition Hall 2</t>
  </si>
  <si>
    <t>4507</t>
  </si>
  <si>
    <t>O17203-L-SP-02-IO-4507</t>
  </si>
  <si>
    <t>4008</t>
  </si>
  <si>
    <t>O17203-L-SP-02-IO-4008</t>
  </si>
  <si>
    <t>4109</t>
  </si>
  <si>
    <t>O17203-L-SP-02-IO-4109</t>
  </si>
  <si>
    <t>O17203-L-SP-02-IO-4200</t>
  </si>
  <si>
    <t>O17203-L-SP-02-IO-4300</t>
  </si>
  <si>
    <t>O17203-L-SP-02-IO-4400</t>
  </si>
  <si>
    <t>O17203-L-SP-02-LV-1577</t>
  </si>
  <si>
    <t>Foyer-2 Basement-1 ELV System layout-Zone-1</t>
  </si>
  <si>
    <t>O17203-L-SP-02-LV-1588</t>
  </si>
  <si>
    <t>Foyer-2 Basement-1 ELV System layout-Zone-2</t>
  </si>
  <si>
    <t>O17203-L-SP-02-LV-1599</t>
  </si>
  <si>
    <t>Foyer-2 Basement-1 ELV System layout-Zone-3</t>
  </si>
  <si>
    <t>O17203-L-SP-02-LV-1677</t>
  </si>
  <si>
    <t>Foyer-2 Basement-2 ELV System layout-Zone-1</t>
  </si>
  <si>
    <t>O17203-L-SP-02-LV-1688</t>
  </si>
  <si>
    <t>Foyer-2 Basement-2 ELV System layout-Zone-2</t>
  </si>
  <si>
    <t>O17203-L-SP-02-LV-1699</t>
  </si>
  <si>
    <t>Foyer-2 Basement-2 ELV System layout-Zone-3</t>
  </si>
  <si>
    <t>O17203-L-SP-02-LV-1777</t>
  </si>
  <si>
    <t>Foyer-2 Basement-3 ELV System layout-Zone-1</t>
  </si>
  <si>
    <t>O17203-L-SP-02-LV-1788</t>
  </si>
  <si>
    <t>Foyer-2 Basement-3 ELV System layout-Zone-2</t>
  </si>
  <si>
    <t>O17203-L-SP-02-LV-1799</t>
  </si>
  <si>
    <t>Foyer-2 Basement-3 ELV System layout-Zone-3</t>
  </si>
  <si>
    <t>O17203-L-SP-02-LV-1500</t>
  </si>
  <si>
    <t>Foyer-2 Basement-1 Overall ELV System layout</t>
  </si>
  <si>
    <t>O17203-L-SP-02-LV-1600</t>
  </si>
  <si>
    <t>Foyer-2 Basement-2 Overall ELV System layout</t>
  </si>
  <si>
    <t>O17203-L-SP-02-LV-1700</t>
  </si>
  <si>
    <t>Foyer-2 Basement-3 Overall ELV System layout</t>
  </si>
  <si>
    <t>O17203-L-SP-02-IO-4500</t>
  </si>
  <si>
    <t>O17203-L-SP-02-IO-4600</t>
  </si>
  <si>
    <t>O17203-L-SP-02-IO-4700</t>
  </si>
  <si>
    <t>O17203-L-SP-02-IO-4801</t>
  </si>
  <si>
    <t>03</t>
  </si>
  <si>
    <t>O17203-L-SP-03-LV-1111</t>
  </si>
  <si>
    <t>Ex-Hall-3-Basement-1- ELV System layout-Zone-1</t>
  </si>
  <si>
    <t>EH3-SS_B</t>
  </si>
  <si>
    <t>O17203-L-SP-03-LV-1122</t>
  </si>
  <si>
    <t>Ex-Hall-3-Basement-1- ELV System layout-Zone-2</t>
  </si>
  <si>
    <t>O17203-L-SP-03-LV-1133</t>
  </si>
  <si>
    <t>Ex-Hall-3-Basement-1- ELV System layout-Zone-3</t>
  </si>
  <si>
    <t>O17203-L-SP-03-LV-1144</t>
  </si>
  <si>
    <t>Ex-Hall-3-Basement-1- ELV System layout-Zone-4</t>
  </si>
  <si>
    <t>O17203-L-SP-03-LV-1155</t>
  </si>
  <si>
    <t>Ex-Hall-3-Basement-1- ELV System layout-Zone-5</t>
  </si>
  <si>
    <t>O17203-L-SP-03-LV-1166</t>
  </si>
  <si>
    <t>Ex-Hall-3-Basement-1- ELV System layout-Zone-6</t>
  </si>
  <si>
    <t>O17203-L-SP-03-LV-1100</t>
  </si>
  <si>
    <t>Ex-Hall-3-Basement-1 Over All ELV System layout</t>
  </si>
  <si>
    <t>O17203-L-SP-03-LV-1211</t>
  </si>
  <si>
    <t>Ex-Hall-3-Basement-2- ELV System layout-Zone-1</t>
  </si>
  <si>
    <t>O17203-L-SP-03-LV-1222</t>
  </si>
  <si>
    <t>Ex-Hall-3-Basement-2- ELV System layout-Zone-2</t>
  </si>
  <si>
    <t>O17203-L-SP-03-LV-1233</t>
  </si>
  <si>
    <t>Ex-Hall-3-Basement-2- ELV System layout-Zone-3</t>
  </si>
  <si>
    <t>O17203-L-SP-03-LV-1244</t>
  </si>
  <si>
    <t>Ex-Hall-3-Basement-2- ELV System layout-Zone-4</t>
  </si>
  <si>
    <t>O17203-L-SP-03-LV-1255</t>
  </si>
  <si>
    <t>Ex-Hall-3-Basement-2- ELV System layout-Zone-5</t>
  </si>
  <si>
    <t>O17203-L-SP-03-LV-1266</t>
  </si>
  <si>
    <t>Ex-Hall-3-Basement-2- ELV System layout-Zone-6</t>
  </si>
  <si>
    <t>O17203-L-SP-03-LV-1200</t>
  </si>
  <si>
    <t>Ex-Hall-3-Basement-2 Over All ELV System layout</t>
  </si>
  <si>
    <t>4111</t>
  </si>
  <si>
    <t>O17203-L-SP-03-IO-4111</t>
  </si>
  <si>
    <t>BMS IO SUMMARY-B1-1/2</t>
  </si>
  <si>
    <t>4122</t>
  </si>
  <si>
    <t>O17203-L-SP-03-IO-4122</t>
  </si>
  <si>
    <t>BMS IO SUMMARY-B1-2/2</t>
  </si>
  <si>
    <t>4211</t>
  </si>
  <si>
    <t>O17203-L-SP-03-IO-4211</t>
  </si>
  <si>
    <t>BMS IO SUMMARY-B2-1/2</t>
  </si>
  <si>
    <t>4222</t>
  </si>
  <si>
    <t>O17203-L-SP-03-IO-4222</t>
  </si>
  <si>
    <t>BMS IO SUMMARY-B2-2/2</t>
  </si>
  <si>
    <t>38</t>
  </si>
  <si>
    <t>O17203-L-SP-38-LV-1311</t>
  </si>
  <si>
    <t>CC-Parking- B3 ELV System layout 1/2</t>
  </si>
  <si>
    <t>CCP-SS_B</t>
  </si>
  <si>
    <t>O17203-L-SP-38-LV-1322</t>
  </si>
  <si>
    <t>CC-Parking- B3 ELV System layout 2/2</t>
  </si>
  <si>
    <t>O17203-L-SP-38-LV-1211</t>
  </si>
  <si>
    <t>CC-Parking- B2 ELV System layout 1/2</t>
  </si>
  <si>
    <t>O17203-L-SP-38-LV-1222</t>
  </si>
  <si>
    <t>CC-Parking- B2 ELV System layout 2/2</t>
  </si>
  <si>
    <t>O17203-L-SP-38-LV-1111</t>
  </si>
  <si>
    <t>CC-Parking- B1 ELV System layout 1/2</t>
  </si>
  <si>
    <t>O17203-L-SP-38-LV-1122</t>
  </si>
  <si>
    <t>CC-Parking- B1 ELV System layout 2/2</t>
  </si>
  <si>
    <t>O17203-L-SP-38-LV-1300</t>
  </si>
  <si>
    <t xml:space="preserve">CC-Parking- B3 ELV Over All System layout </t>
  </si>
  <si>
    <t>O17203-L-SP-38-LV-1200</t>
  </si>
  <si>
    <t xml:space="preserve">CC-Parking- B2 ELV Over All System layout </t>
  </si>
  <si>
    <t>O17203-L-SP-38-LV-1100</t>
  </si>
  <si>
    <t xml:space="preserve">CC-Parking- B1 ELV Over All System layout </t>
  </si>
  <si>
    <t>O17203-L-SP-38-IO-4100</t>
  </si>
  <si>
    <t>CC Parking_BMS_IO_SUMMARY_B1</t>
  </si>
  <si>
    <t>O17203-L-SP-38-IO-4300</t>
  </si>
  <si>
    <t>CC Parking_BMS_IO_SUMMARY_B2</t>
  </si>
  <si>
    <t>O17203-L-SP-38-IO-4400</t>
  </si>
  <si>
    <t>CC Parking_BMS_IO_SUMMARY_B3</t>
  </si>
  <si>
    <t>00</t>
  </si>
  <si>
    <t>1101</t>
  </si>
  <si>
    <t>O17203-L-SP-00-LV-1101</t>
  </si>
  <si>
    <t>External ELV System Layout Part-1</t>
  </si>
  <si>
    <t>MSP-F_A</t>
  </si>
  <si>
    <t>2102</t>
  </si>
  <si>
    <t>O17203-L-SP-00-LV-2102</t>
  </si>
  <si>
    <t>External ELV System Layout Part-2</t>
  </si>
  <si>
    <t>3103</t>
  </si>
  <si>
    <t>O17203-L-SP-00-LV-3103</t>
  </si>
  <si>
    <t>External ELV System Layout Part-3</t>
  </si>
  <si>
    <t>4104</t>
  </si>
  <si>
    <t>O17203-L-SP-00-LV-4104</t>
  </si>
  <si>
    <t>External ELV System Layout Part-4</t>
  </si>
  <si>
    <t>5105</t>
  </si>
  <si>
    <t>O17203-L-SP-00-LV-5105</t>
  </si>
  <si>
    <t>External ELV System Layout Part-5</t>
  </si>
  <si>
    <t>6106</t>
  </si>
  <si>
    <t>O17203-L-SP-00-LV-6106</t>
  </si>
  <si>
    <t>External ELV System Layout Part-6</t>
  </si>
  <si>
    <t>7107</t>
  </si>
  <si>
    <t>O17203-L-SP-00-LV-7107</t>
  </si>
  <si>
    <t>External ELV System Layout Part-7</t>
  </si>
  <si>
    <t>8108</t>
  </si>
  <si>
    <t>O17203-L-SP-00-LV-8108</t>
  </si>
  <si>
    <t>External ELV System Layout Part-8</t>
  </si>
  <si>
    <t>0100</t>
  </si>
  <si>
    <t>O17203-L-SP-00-LV-0100</t>
  </si>
  <si>
    <t>Over All External ELV System Layout</t>
  </si>
  <si>
    <t>1201</t>
  </si>
  <si>
    <t>O17203-L-SP-00-DV-1201</t>
  </si>
  <si>
    <t>External Data voice Layout Part-1</t>
  </si>
  <si>
    <t>2202</t>
  </si>
  <si>
    <t>O17203-L-SP-00-DV-2202</t>
  </si>
  <si>
    <t>External Data voice Layout Part-2</t>
  </si>
  <si>
    <t>3203</t>
  </si>
  <si>
    <t>O17203-L-SP-00-DV-3203</t>
  </si>
  <si>
    <t>External Data voice Layout Part-3</t>
  </si>
  <si>
    <t>4204</t>
  </si>
  <si>
    <t>O17203-L-SP-00-DV-4204</t>
  </si>
  <si>
    <t>External Data voice Layout Part-4</t>
  </si>
  <si>
    <t>0200</t>
  </si>
  <si>
    <t>O17203-L-SP-00-DV-0200</t>
  </si>
  <si>
    <t>Over All External Data voice Layout</t>
  </si>
  <si>
    <t>1301</t>
  </si>
  <si>
    <t>O17203-L-SP-00-AV-1301</t>
  </si>
  <si>
    <t>Virtual reality/Auguemnted reality layout 1/2</t>
  </si>
  <si>
    <t>2302</t>
  </si>
  <si>
    <t>O17203-L-SP-00-AV-2302</t>
  </si>
  <si>
    <t>Virtual reality/Auguemnted reality layout 2/2</t>
  </si>
  <si>
    <t>O17203-L-SP-00-SC-0001</t>
  </si>
  <si>
    <t>BLOCK SCHEMATIC DIAGRAM FOR PEOPLE COUNT SYSTEM</t>
  </si>
  <si>
    <t>not requried</t>
  </si>
  <si>
    <t>O17203-L-SP-00-SC-0002</t>
  </si>
  <si>
    <t>BLOCK SCHEMATIC DIAGRAM FOR PARKING MANAGEMENT SYSTEM</t>
  </si>
  <si>
    <t>O17203-L-SP-00-SC-0003</t>
  </si>
  <si>
    <t>BLOCK SCHEMATIC DIAGRAM FOR OVER ALL IT NETWORK</t>
  </si>
  <si>
    <t>O17203-L-SP-00-SC-0004</t>
  </si>
  <si>
    <t>BLOCK SCHEMATIC DIAGRAM FOR OVER ALL ELV NETWORK</t>
  </si>
  <si>
    <t>O17203-L-SP-00-SC-0005</t>
  </si>
  <si>
    <t>BLOCK SCHEMATIC DIAGRAM OB Van Connectivity</t>
  </si>
  <si>
    <t>O17203-L-SP-00-SC-0006</t>
  </si>
  <si>
    <t xml:space="preserve">BLOCK SCHEMATIC DIAGRAM FOR Outdoor LED Façade </t>
  </si>
  <si>
    <t>O17203-L-SP-00-SC-0007</t>
  </si>
  <si>
    <t>BLOCK SCHEMATIC DIAGRAM FOR Digital Signage</t>
  </si>
  <si>
    <t>0302</t>
  </si>
  <si>
    <t>O17203-L-SP-00-AV-0302</t>
  </si>
  <si>
    <t>Augmented Reality/Virtual Reality Detail Drawing</t>
  </si>
  <si>
    <t>DB</t>
  </si>
  <si>
    <t>0609</t>
  </si>
  <si>
    <t>O17203-L-SP-00-DB-0609</t>
  </si>
  <si>
    <t>ELV System DBR</t>
  </si>
  <si>
    <t>0121</t>
  </si>
  <si>
    <t>O17203-L-SP-00-LV-0121</t>
  </si>
  <si>
    <t>Security building GF- ELV System layout</t>
  </si>
  <si>
    <t>0122</t>
  </si>
  <si>
    <t>O17203-L-SP-00-LV-0122</t>
  </si>
  <si>
    <t>Security building Terrace- ELV System layout</t>
  </si>
  <si>
    <t>1131</t>
  </si>
  <si>
    <t>O17203-L-SP-00-LV-1131</t>
  </si>
  <si>
    <t>Type-1-Gate house-GF- ELV System layout</t>
  </si>
  <si>
    <t>2132</t>
  </si>
  <si>
    <t>O17203-L-SP-00-LV-2132</t>
  </si>
  <si>
    <t>Type-2-Gate house-GF- ELV System layout</t>
  </si>
  <si>
    <t>3133</t>
  </si>
  <si>
    <t>O17203-L-SP-00-LV-3133</t>
  </si>
  <si>
    <t>Type-3-Gate house-GF- ELV System layout</t>
  </si>
  <si>
    <t>O17203-L-SP-0A-LV-1011</t>
  </si>
  <si>
    <t>Service Gallery - ELV System layout 1/10</t>
  </si>
  <si>
    <t>SG-F_A</t>
  </si>
  <si>
    <t>O17203-L-SP-0A-LV-1022</t>
  </si>
  <si>
    <t>Service Gallery -  ELV System layout 2/10</t>
  </si>
  <si>
    <t>O17203-L-SP-0A-LV-1033</t>
  </si>
  <si>
    <t>Service Gallery -  ELV System layout 3/10</t>
  </si>
  <si>
    <t>O17203-L-SP-0A-LV-1044</t>
  </si>
  <si>
    <t>Service Gallery -  ELV System layout 4/10</t>
  </si>
  <si>
    <t>O17203-L-SP-0A-LV-1055</t>
  </si>
  <si>
    <t>Service Gallery -  ELV System layout 5/10</t>
  </si>
  <si>
    <t>O17203-L-SP-0A-LV-1066</t>
  </si>
  <si>
    <t>Service Gallery - ELV System layout 6/10</t>
  </si>
  <si>
    <t>O17203-L-SP-0A-LV-1077</t>
  </si>
  <si>
    <t>Service Gallery - ELV System layout 7/10</t>
  </si>
  <si>
    <t>O17203-L-SP-0A-LV-1088</t>
  </si>
  <si>
    <t>Service Gallery -  ELV System layout 8/10</t>
  </si>
  <si>
    <t>O17203-L-SP-0A-LV-1099</t>
  </si>
  <si>
    <t>Service Gallery - ELV System layout 9/10</t>
  </si>
  <si>
    <t>1010</t>
  </si>
  <si>
    <t>O17203-L-SP-0A-LV-1010</t>
  </si>
  <si>
    <t>Service Gallery -  ELV System layout 10/10</t>
  </si>
  <si>
    <t>O17203-L-SP-0A-LV-1000</t>
  </si>
  <si>
    <t>Service Gallery -  Over All ELV System layout</t>
  </si>
  <si>
    <t>30</t>
  </si>
  <si>
    <t>O17203-L-SP-30-LV-1111</t>
  </si>
  <si>
    <t>GIS-1-Basement- ELV System layout</t>
  </si>
  <si>
    <t>DG-F_A</t>
  </si>
  <si>
    <t>O17203-L-SP-30-LV-1122</t>
  </si>
  <si>
    <t>GIS-1-GF- ELV System  layout</t>
  </si>
  <si>
    <t>O17203-L-SP-30-LV-1133</t>
  </si>
  <si>
    <t>GIS-1-Terrace- ELV System  layout</t>
  </si>
  <si>
    <t>O17203-L-SP-30-LV-1211</t>
  </si>
  <si>
    <t>GIS-2-Basement- ELV System layout</t>
  </si>
  <si>
    <t>O17203-L-SP-30-LV-1222</t>
  </si>
  <si>
    <t>GIS-2-GF- ELV System layout</t>
  </si>
  <si>
    <t>O17203-L-SP-30-LV-1233</t>
  </si>
  <si>
    <t>GIS-2-Terrace- ELV System layout</t>
  </si>
  <si>
    <t>O17203-L-SP-30-LV-1311</t>
  </si>
  <si>
    <t xml:space="preserve">DG Building-GF- ELV System layout </t>
  </si>
  <si>
    <t>O17203-L-SP-30-LV-1322</t>
  </si>
  <si>
    <t>DG Building-1F- ELV System layout</t>
  </si>
  <si>
    <t>O17203-L-SP-30-LV-1333</t>
  </si>
  <si>
    <t>DG Building-TF- ELV System layout</t>
  </si>
  <si>
    <t>31</t>
  </si>
  <si>
    <t>O17203-L-SP-31-LV-1011</t>
  </si>
  <si>
    <t>Fire station GF- ELV System layout</t>
  </si>
  <si>
    <t>FS-F_A</t>
  </si>
  <si>
    <t>O17203-L-SP-31-LV-1022</t>
  </si>
  <si>
    <t>Fire station Terrace- ELV System layout</t>
  </si>
  <si>
    <t>Document Set Name</t>
  </si>
  <si>
    <t>today</t>
  </si>
  <si>
    <t>L - ELV systems</t>
  </si>
  <si>
    <t>_</t>
  </si>
  <si>
    <t>DG-SCHEME</t>
  </si>
  <si>
    <t>EH3-SCHEME</t>
  </si>
  <si>
    <t>OA-SCHEME</t>
  </si>
  <si>
    <t>SG-SCHEME</t>
  </si>
  <si>
    <t>Design Drawings Schedule</t>
  </si>
  <si>
    <t>Landscape layouts will be apart of Package 6; Landscape finishing will be a separate package along interior package</t>
  </si>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</sst>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dd/mm/yyyy;@"/>
    <numFmt numFmtId="165" formatCode="[$-409]d\-mmm\-yy;@"/>
    <numFmt numFmtId="166" formatCode="dddd"/>
    <numFmt numFmtId="167" formatCode="00"/>
  </numFmts>
  <fonts count="38" x14ac:knownFonts="1">
    <font>
      <sz val="11"/>
      <color theme="1"/>
      <name val="Calibri"/>
      <family val="2"/>
      <scheme val="minor"/>
    </font>
    <font>
      <sz val="11"/>
      <color rgb="FF9C0006"/>
      <name val="Calibri"/>
      <family val="2"/>
      <scheme val="minor"/>
    </font>
    <font>
      <sz val="11"/>
      <color theme="0"/>
      <name val="Calibri"/>
      <family val="2"/>
      <scheme val="minor"/>
    </font>
    <font>
      <sz val="12"/>
      <name val="Times New Roman"/>
      <family val="1"/>
    </font>
    <font>
      <sz val="12"/>
      <name val="Arial Narrow"/>
      <family val="2"/>
    </font>
    <font>
      <b/>
      <sz val="11"/>
      <name val="Arial Narrow"/>
      <family val="2"/>
    </font>
    <font>
      <b/>
      <sz val="12"/>
      <color indexed="10"/>
      <name val="Arial Narrow"/>
      <family val="2"/>
    </font>
    <font>
      <b/>
      <sz val="11"/>
      <color indexed="18"/>
      <name val="Arial Narrow"/>
      <family val="2"/>
    </font>
    <font>
      <b/>
      <sz val="12"/>
      <name val="Arial Narrow"/>
      <family val="2"/>
    </font>
    <font>
      <b/>
      <sz val="14"/>
      <color indexed="12"/>
      <name val="Arial Narrow"/>
      <family val="2"/>
    </font>
    <font>
      <sz val="10"/>
      <name val="Arial"/>
      <family val="2"/>
    </font>
    <font>
      <b/>
      <sz val="10"/>
      <name val="Arial"/>
      <family val="2"/>
    </font>
    <font>
      <b/>
      <sz val="10"/>
      <color indexed="12"/>
      <name val="Arial Narrow"/>
      <family val="2"/>
    </font>
    <font>
      <b/>
      <sz val="8"/>
      <name val="Arial"/>
      <family val="2"/>
    </font>
    <font>
      <sz val="10"/>
      <color indexed="12"/>
      <name val="Arial Narrow"/>
      <family val="2"/>
    </font>
    <font>
      <b/>
      <sz val="9"/>
      <name val="Arial"/>
      <family val="2"/>
    </font>
    <font>
      <sz val="9"/>
      <name val="Arial"/>
      <family val="2"/>
    </font>
    <font>
      <sz val="8"/>
      <name val="Arial"/>
      <family val="2"/>
    </font>
    <font>
      <sz val="7"/>
      <name val="Arial"/>
      <family val="2"/>
    </font>
    <font>
      <b/>
      <sz val="14"/>
      <color theme="1"/>
      <name val="Century Gothic"/>
      <family val="2"/>
    </font>
    <font>
      <b/>
      <sz val="12"/>
      <color theme="1"/>
      <name val="Century Gothic"/>
      <family val="2"/>
    </font>
    <font>
      <b/>
      <i/>
      <sz val="12"/>
      <color theme="1"/>
      <name val="Century Gothic"/>
      <family val="2"/>
    </font>
    <font>
      <b/>
      <sz val="10"/>
      <color theme="1"/>
      <name val="Century Gothic"/>
      <family val="2"/>
    </font>
    <font>
      <b/>
      <sz val="11"/>
      <color theme="1"/>
      <name val="Century Gothic"/>
      <family val="2"/>
    </font>
    <font>
      <sz val="11"/>
      <color theme="1"/>
      <name val="Century Gothic"/>
      <family val="2"/>
    </font>
    <font>
      <sz val="9"/>
      <color theme="1"/>
      <name val="Century Gothic"/>
      <family val="2"/>
    </font>
    <font>
      <sz val="10"/>
      <color theme="1"/>
      <name val="Century Gothic"/>
      <family val="2"/>
    </font>
    <font>
      <b/>
      <sz val="10"/>
      <name val="Century Gothic"/>
      <family val="2"/>
    </font>
    <font>
      <b/>
      <sz val="10"/>
      <color rgb="FFFF0000"/>
      <name val="Century Gothic"/>
      <family val="2"/>
    </font>
    <font>
      <b/>
      <i/>
      <sz val="10"/>
      <color theme="1"/>
      <name val="Century Gothic"/>
      <family val="2"/>
    </font>
    <font>
      <sz val="11"/>
      <color rgb="FFFF0000"/>
      <name val="Century Gothic"/>
      <family val="2"/>
    </font>
    <font>
      <i/>
      <sz val="11"/>
      <color theme="1"/>
      <name val="Calibri"/>
      <family val="2"/>
      <scheme val="minor"/>
    </font>
    <font>
      <sz val="11"/>
      <color indexed="18"/>
      <name val="Arial Narrow"/>
      <family val="2"/>
    </font>
    <font>
      <sz val="11"/>
      <color rgb="FF000000"/>
      <name val="Calibri"/>
      <family val="2"/>
      <scheme val="minor"/>
    </font>
    <font>
      <b/>
      <u/>
      <sz val="11"/>
      <color rgb="FF000000"/>
      <name val="Calibri"/>
      <family val="2"/>
    </font>
    <font>
      <sz val="10"/>
      <color rgb="FF000000"/>
      <name val="Times New Roman"/>
      <family val="1"/>
    </font>
    <font>
      <b/>
      <sz val="11"/>
      <color rgb="FF000000"/>
      <name val="Calibri"/>
      <family val="2"/>
    </font>
    <font>
      <sz val="11"/>
      <color rgb="FF000000"/>
      <name val="Calibri"/>
      <family val="2"/>
    </font>
  </fonts>
  <fills count="14">
    <fill>
      <patternFill patternType="none"/>
    </fill>
    <fill>
      <patternFill patternType="gray125"/>
    </fill>
    <fill>
      <patternFill patternType="solid">
        <fgColor theme="2"/>
        <bgColor indexed="64"/>
      </patternFill>
    </fill>
    <fill>
      <patternFill patternType="solid">
        <fgColor rgb="FFFFC7CE"/>
      </patternFill>
    </fill>
    <fill>
      <patternFill patternType="solid">
        <fgColor rgb="FFFFFF00"/>
        <bgColor indexed="64"/>
      </patternFill>
    </fill>
    <fill>
      <patternFill patternType="solid">
        <fgColor theme="0"/>
        <bgColor indexed="64"/>
      </patternFill>
    </fill>
    <fill>
      <patternFill patternType="solid">
        <fgColor theme="3"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rgb="FFBDD7EE"/>
        <bgColor indexed="64"/>
      </patternFill>
    </fill>
    <fill>
      <patternFill patternType="solid">
        <fgColor rgb="FFD9D9D9"/>
        <bgColor indexed="64"/>
      </patternFill>
    </fill>
    <fill>
      <patternFill patternType="solid">
        <fgColor theme="3"/>
        <bgColor indexed="64"/>
      </patternFill>
    </fill>
    <fill>
      <patternFill patternType="solid">
        <fgColor rgb="FFFFFFFF"/>
        <bgColor indexed="64"/>
      </patternFill>
    </fill>
    <fill>
      <patternFill patternType="solid">
        <fgColor rgb="FFC4E2FF"/>
        <bgColor indexed="64"/>
      </patternFill>
    </fill>
  </fills>
  <borders count="5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thin">
        <color indexed="64"/>
      </top>
      <bottom/>
      <diagonal/>
    </border>
    <border>
      <left/>
      <right style="hair">
        <color indexed="64"/>
      </right>
      <top style="thin">
        <color indexed="64"/>
      </top>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top/>
      <bottom/>
      <diagonal/>
    </border>
    <border>
      <left/>
      <right style="hair">
        <color indexed="64"/>
      </right>
      <top/>
      <bottom/>
      <diagonal/>
    </border>
    <border>
      <left style="hair">
        <color indexed="64"/>
      </left>
      <right/>
      <top style="hair">
        <color indexed="64"/>
      </top>
      <bottom/>
      <diagonal/>
    </border>
    <border>
      <left/>
      <right style="thin">
        <color indexed="64"/>
      </right>
      <top style="hair">
        <color indexed="64"/>
      </top>
      <bottom/>
      <diagonal/>
    </border>
    <border>
      <left style="thin">
        <color indexed="64"/>
      </left>
      <right/>
      <top style="hair">
        <color indexed="64"/>
      </top>
      <bottom/>
      <diagonal/>
    </border>
    <border>
      <left/>
      <right style="hair">
        <color indexed="64"/>
      </right>
      <top style="hair">
        <color indexed="64"/>
      </top>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thin">
        <color indexed="64"/>
      </left>
      <right style="hair">
        <color indexed="64"/>
      </right>
      <top style="hair">
        <color indexed="64"/>
      </top>
      <bottom/>
      <diagonal/>
    </border>
    <border>
      <left/>
      <right style="thin">
        <color indexed="64"/>
      </right>
      <top/>
      <bottom style="hair">
        <color indexed="64"/>
      </bottom>
      <diagonal/>
    </border>
    <border>
      <left style="hair">
        <color indexed="64"/>
      </left>
      <right style="hair">
        <color indexed="64"/>
      </right>
      <top/>
      <bottom style="hair">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right style="medium">
        <color indexed="64"/>
      </right>
      <top/>
      <bottom style="medium">
        <color indexed="64"/>
      </bottom>
      <diagonal/>
    </border>
    <border>
      <left/>
      <right style="thin">
        <color rgb="FF000000"/>
      </right>
      <top/>
      <bottom style="thin">
        <color rgb="FF000000"/>
      </bottom>
      <diagonal/>
    </border>
    <border>
      <left style="thin">
        <color indexed="64"/>
      </left>
      <right style="thin">
        <color indexed="64"/>
      </right>
      <top style="thin">
        <color indexed="64"/>
      </top>
      <bottom/>
      <diagonal/>
    </border>
  </borders>
  <cellStyleXfs count="7">
    <xf numFmtId="0" fontId="0" fillId="0" borderId="0"/>
    <xf numFmtId="0" fontId="1" fillId="3" borderId="0" applyNumberFormat="0" applyBorder="0" applyAlignment="0" applyProtection="0"/>
    <xf numFmtId="0" fontId="3" fillId="0" borderId="0"/>
    <xf numFmtId="0" fontId="3" fillId="0" borderId="0"/>
    <xf numFmtId="0" fontId="3" fillId="0" borderId="0"/>
    <xf numFmtId="0" fontId="10" fillId="0" borderId="0"/>
    <xf numFmtId="0" fontId="33" fillId="0" borderId="0"/>
  </cellStyleXfs>
  <cellXfs count="280">
    <xf numFmtId="0" fontId="0" fillId="0" borderId="0" xfId="0"/>
    <xf numFmtId="0" fontId="0" fillId="2" borderId="0" xfId="0" applyFill="1"/>
    <xf numFmtId="0" fontId="8" fillId="0" borderId="10" xfId="2" applyFont="1" applyFill="1" applyBorder="1" applyAlignment="1" applyProtection="1">
      <alignment vertical="center"/>
    </xf>
    <xf numFmtId="0" fontId="8" fillId="0" borderId="11" xfId="2" applyFont="1" applyFill="1" applyBorder="1" applyAlignment="1" applyProtection="1">
      <alignment vertical="center"/>
    </xf>
    <xf numFmtId="0" fontId="9" fillId="0" borderId="0" xfId="4" applyFont="1" applyFill="1" applyAlignment="1" applyProtection="1">
      <alignment vertical="center"/>
      <protection locked="0"/>
    </xf>
    <xf numFmtId="0" fontId="8" fillId="0" borderId="0" xfId="4" applyFont="1" applyFill="1" applyAlignment="1" applyProtection="1">
      <alignment vertical="center"/>
      <protection locked="0"/>
    </xf>
    <xf numFmtId="0" fontId="12" fillId="0" borderId="0" xfId="2" applyFont="1" applyFill="1" applyBorder="1" applyAlignment="1" applyProtection="1">
      <alignment horizontal="centerContinuous" vertical="center"/>
      <protection locked="0"/>
    </xf>
    <xf numFmtId="0" fontId="4" fillId="0" borderId="10" xfId="2" applyFont="1" applyFill="1" applyBorder="1" applyAlignment="1" applyProtection="1">
      <alignment vertical="center"/>
    </xf>
    <xf numFmtId="0" fontId="4" fillId="0" borderId="11" xfId="2" applyFont="1" applyFill="1" applyBorder="1" applyAlignment="1" applyProtection="1">
      <alignment vertical="center"/>
    </xf>
    <xf numFmtId="0" fontId="14" fillId="0" borderId="10" xfId="2" applyFont="1" applyFill="1" applyBorder="1" applyAlignment="1" applyProtection="1">
      <alignment horizontal="left" vertical="center"/>
    </xf>
    <xf numFmtId="0" fontId="14" fillId="0" borderId="11" xfId="2" applyFont="1" applyFill="1" applyBorder="1" applyAlignment="1" applyProtection="1">
      <alignment horizontal="left" vertical="center"/>
    </xf>
    <xf numFmtId="0" fontId="12" fillId="0" borderId="0" xfId="2" applyFont="1" applyFill="1" applyBorder="1" applyAlignment="1" applyProtection="1">
      <alignment horizontal="left" vertical="center"/>
      <protection locked="0"/>
    </xf>
    <xf numFmtId="0" fontId="4" fillId="0" borderId="0" xfId="2" applyFont="1" applyAlignment="1" applyProtection="1">
      <alignment vertical="center"/>
    </xf>
    <xf numFmtId="0" fontId="8" fillId="0" borderId="0" xfId="2" applyFont="1" applyBorder="1" applyAlignment="1" applyProtection="1">
      <alignment vertical="center"/>
    </xf>
    <xf numFmtId="0" fontId="8" fillId="0" borderId="11" xfId="2" applyFont="1" applyBorder="1" applyAlignment="1" applyProtection="1">
      <alignment vertical="center"/>
    </xf>
    <xf numFmtId="0" fontId="12" fillId="0" borderId="0" xfId="2" applyFont="1" applyBorder="1" applyAlignment="1" applyProtection="1">
      <alignment horizontal="centerContinuous" vertical="center"/>
      <protection locked="0"/>
    </xf>
    <xf numFmtId="0" fontId="8" fillId="0" borderId="0" xfId="2" applyFont="1" applyAlignment="1" applyProtection="1">
      <alignment vertical="center"/>
    </xf>
    <xf numFmtId="0" fontId="10" fillId="0" borderId="0" xfId="5" applyBorder="1" applyProtection="1"/>
    <xf numFmtId="0" fontId="11" fillId="0" borderId="22" xfId="5" applyFont="1" applyBorder="1" applyAlignment="1" applyProtection="1">
      <alignment vertical="top" wrapText="1"/>
    </xf>
    <xf numFmtId="0" fontId="11" fillId="0" borderId="30" xfId="5" applyFont="1" applyBorder="1" applyAlignment="1" applyProtection="1">
      <protection locked="0"/>
    </xf>
    <xf numFmtId="0" fontId="11" fillId="0" borderId="30" xfId="5" applyFont="1" applyBorder="1" applyAlignment="1" applyProtection="1">
      <alignment horizontal="center" vertical="center"/>
    </xf>
    <xf numFmtId="0" fontId="11" fillId="0" borderId="24" xfId="5" applyFont="1" applyBorder="1" applyAlignment="1" applyProtection="1">
      <alignment horizontal="center" vertical="center"/>
      <protection locked="0"/>
    </xf>
    <xf numFmtId="0" fontId="4" fillId="0" borderId="0" xfId="2" applyFont="1" applyBorder="1" applyAlignment="1" applyProtection="1">
      <alignment vertical="center"/>
    </xf>
    <xf numFmtId="0" fontId="16" fillId="0" borderId="30" xfId="5" applyFont="1" applyBorder="1" applyAlignment="1" applyProtection="1">
      <alignment horizontal="center" vertical="center"/>
      <protection locked="0"/>
    </xf>
    <xf numFmtId="0" fontId="15" fillId="0" borderId="30" xfId="5" applyFont="1" applyBorder="1" applyAlignment="1" applyProtection="1">
      <alignment horizontal="center" vertical="center"/>
      <protection locked="0"/>
    </xf>
    <xf numFmtId="0" fontId="16" fillId="0" borderId="0" xfId="5" applyFont="1" applyBorder="1" applyAlignment="1" applyProtection="1">
      <alignment horizontal="center" vertical="center"/>
      <protection locked="0"/>
    </xf>
    <xf numFmtId="0" fontId="15" fillId="0" borderId="36" xfId="5" applyFont="1" applyBorder="1" applyAlignment="1" applyProtection="1">
      <alignment horizontal="center" vertical="center"/>
      <protection locked="0"/>
    </xf>
    <xf numFmtId="0" fontId="18" fillId="0" borderId="20" xfId="5" applyFont="1" applyBorder="1" applyAlignment="1" applyProtection="1">
      <alignment vertical="center"/>
      <protection locked="0"/>
    </xf>
    <xf numFmtId="14" fontId="17" fillId="0" borderId="20" xfId="5" applyNumberFormat="1" applyFont="1" applyBorder="1" applyAlignment="1" applyProtection="1">
      <alignment horizontal="center" vertical="center"/>
      <protection locked="0"/>
    </xf>
    <xf numFmtId="0" fontId="17" fillId="0" borderId="20" xfId="5" applyNumberFormat="1" applyFont="1" applyBorder="1" applyAlignment="1" applyProtection="1">
      <alignment horizontal="center" vertical="center"/>
      <protection locked="0"/>
    </xf>
    <xf numFmtId="0" fontId="4" fillId="0" borderId="10" xfId="2" applyFont="1" applyBorder="1" applyAlignment="1" applyProtection="1">
      <alignment vertical="center"/>
    </xf>
    <xf numFmtId="0" fontId="4" fillId="0" borderId="11" xfId="2" applyFont="1" applyBorder="1" applyAlignment="1" applyProtection="1">
      <alignment vertical="center"/>
    </xf>
    <xf numFmtId="0" fontId="18" fillId="0" borderId="30" xfId="5" applyFont="1" applyBorder="1" applyAlignment="1" applyProtection="1">
      <alignment vertical="center"/>
      <protection locked="0"/>
    </xf>
    <xf numFmtId="0" fontId="17" fillId="0" borderId="30" xfId="5" applyNumberFormat="1" applyFont="1" applyBorder="1" applyAlignment="1" applyProtection="1">
      <alignment horizontal="center" vertical="center"/>
      <protection locked="0"/>
    </xf>
    <xf numFmtId="0" fontId="10" fillId="0" borderId="2" xfId="5" applyBorder="1" applyAlignment="1" applyProtection="1">
      <alignment vertical="center"/>
      <protection locked="0"/>
    </xf>
    <xf numFmtId="0" fontId="10" fillId="0" borderId="2" xfId="5" applyBorder="1" applyAlignment="1" applyProtection="1">
      <alignment vertical="center" wrapText="1"/>
      <protection locked="0"/>
    </xf>
    <xf numFmtId="0" fontId="17" fillId="0" borderId="2" xfId="5" applyFont="1" applyBorder="1" applyAlignment="1" applyProtection="1">
      <alignment vertical="center"/>
      <protection locked="0"/>
    </xf>
    <xf numFmtId="0" fontId="18" fillId="0" borderId="2" xfId="5" applyFont="1" applyBorder="1" applyAlignment="1" applyProtection="1">
      <alignment vertical="center"/>
      <protection locked="0"/>
    </xf>
    <xf numFmtId="14" fontId="17" fillId="0" borderId="2" xfId="5" applyNumberFormat="1" applyFont="1" applyBorder="1" applyAlignment="1" applyProtection="1">
      <alignment horizontal="center" vertical="center"/>
      <protection locked="0"/>
    </xf>
    <xf numFmtId="14" fontId="10" fillId="0" borderId="2" xfId="5" applyNumberFormat="1" applyFont="1" applyBorder="1" applyAlignment="1" applyProtection="1">
      <alignment vertical="center"/>
      <protection locked="0"/>
    </xf>
    <xf numFmtId="0" fontId="10" fillId="0" borderId="0" xfId="5" applyBorder="1" applyAlignment="1" applyProtection="1">
      <alignment vertical="center"/>
      <protection locked="0"/>
    </xf>
    <xf numFmtId="0" fontId="10" fillId="0" borderId="0" xfId="5" applyBorder="1" applyAlignment="1" applyProtection="1">
      <alignment vertical="center" wrapText="1"/>
      <protection locked="0"/>
    </xf>
    <xf numFmtId="0" fontId="17" fillId="0" borderId="0" xfId="5" applyFont="1" applyBorder="1" applyAlignment="1" applyProtection="1">
      <alignment vertical="center"/>
      <protection locked="0"/>
    </xf>
    <xf numFmtId="0" fontId="18" fillId="0" borderId="0" xfId="5" applyFont="1" applyBorder="1" applyAlignment="1" applyProtection="1">
      <alignment vertical="center"/>
      <protection locked="0"/>
    </xf>
    <xf numFmtId="14" fontId="17" fillId="0" borderId="0" xfId="5" applyNumberFormat="1" applyFont="1" applyBorder="1" applyAlignment="1" applyProtection="1">
      <alignment horizontal="center" vertical="center"/>
      <protection locked="0"/>
    </xf>
    <xf numFmtId="14" fontId="10" fillId="0" borderId="0" xfId="5" applyNumberFormat="1" applyFont="1" applyBorder="1" applyAlignment="1" applyProtection="1">
      <alignment vertical="center"/>
      <protection locked="0"/>
    </xf>
    <xf numFmtId="0" fontId="4" fillId="0" borderId="7" xfId="2" applyFont="1" applyBorder="1" applyAlignment="1" applyProtection="1">
      <alignment vertical="center"/>
    </xf>
    <xf numFmtId="0" fontId="10" fillId="0" borderId="8" xfId="5" applyBorder="1" applyAlignment="1" applyProtection="1">
      <alignment vertical="center"/>
      <protection locked="0"/>
    </xf>
    <xf numFmtId="0" fontId="10" fillId="0" borderId="8" xfId="5" applyBorder="1" applyAlignment="1" applyProtection="1">
      <alignment vertical="center" wrapText="1"/>
      <protection locked="0"/>
    </xf>
    <xf numFmtId="0" fontId="17" fillId="0" borderId="8" xfId="5" applyFont="1" applyBorder="1" applyAlignment="1" applyProtection="1">
      <alignment vertical="center"/>
      <protection locked="0"/>
    </xf>
    <xf numFmtId="0" fontId="18" fillId="0" borderId="8" xfId="5" applyFont="1" applyBorder="1" applyAlignment="1" applyProtection="1">
      <alignment vertical="center"/>
      <protection locked="0"/>
    </xf>
    <xf numFmtId="14" fontId="17" fillId="0" borderId="8" xfId="5" applyNumberFormat="1" applyFont="1" applyBorder="1" applyAlignment="1" applyProtection="1">
      <alignment horizontal="center" vertical="center"/>
      <protection locked="0"/>
    </xf>
    <xf numFmtId="14" fontId="10" fillId="0" borderId="8" xfId="5" applyNumberFormat="1" applyFont="1" applyBorder="1" applyAlignment="1" applyProtection="1">
      <alignment vertical="center"/>
      <protection locked="0"/>
    </xf>
    <xf numFmtId="0" fontId="4" fillId="0" borderId="9" xfId="2" applyFont="1" applyBorder="1" applyAlignment="1" applyProtection="1">
      <alignment vertical="center"/>
    </xf>
    <xf numFmtId="0" fontId="4" fillId="0" borderId="0" xfId="2" applyFont="1" applyAlignment="1" applyProtection="1"/>
    <xf numFmtId="0" fontId="0" fillId="0" borderId="37" xfId="0" applyBorder="1"/>
    <xf numFmtId="0" fontId="4" fillId="5" borderId="1" xfId="2" applyFont="1" applyFill="1" applyBorder="1" applyAlignment="1" applyProtection="1">
      <alignment vertical="center"/>
    </xf>
    <xf numFmtId="0" fontId="4" fillId="5" borderId="2" xfId="2" applyFont="1" applyFill="1" applyBorder="1" applyAlignment="1" applyProtection="1">
      <alignment vertical="center"/>
    </xf>
    <xf numFmtId="0" fontId="4" fillId="5" borderId="3" xfId="2" applyFont="1" applyFill="1" applyBorder="1" applyAlignment="1" applyProtection="1">
      <alignment vertical="center"/>
    </xf>
    <xf numFmtId="14" fontId="0" fillId="0" borderId="0" xfId="0" applyNumberFormat="1"/>
    <xf numFmtId="0" fontId="12" fillId="0" borderId="0" xfId="2" applyFont="1" applyBorder="1" applyAlignment="1" applyProtection="1">
      <alignment horizontal="left" vertical="center"/>
      <protection locked="0"/>
    </xf>
    <xf numFmtId="0" fontId="4" fillId="0" borderId="10" xfId="2" applyFont="1" applyBorder="1" applyAlignment="1" applyProtection="1"/>
    <xf numFmtId="0" fontId="4" fillId="0" borderId="11" xfId="2" applyFont="1" applyBorder="1" applyAlignment="1" applyProtection="1"/>
    <xf numFmtId="0" fontId="17" fillId="0" borderId="0" xfId="5" applyNumberFormat="1" applyFont="1" applyBorder="1" applyAlignment="1" applyProtection="1">
      <alignment horizontal="center" vertical="center"/>
      <protection locked="0"/>
    </xf>
    <xf numFmtId="0" fontId="19" fillId="6" borderId="0" xfId="0" applyFont="1" applyFill="1"/>
    <xf numFmtId="0" fontId="20" fillId="6" borderId="0" xfId="0" applyFont="1" applyFill="1"/>
    <xf numFmtId="14" fontId="21" fillId="6" borderId="0" xfId="0" applyNumberFormat="1" applyFont="1" applyFill="1"/>
    <xf numFmtId="0" fontId="22" fillId="6" borderId="37" xfId="0" applyFont="1" applyFill="1" applyBorder="1" applyAlignment="1">
      <alignment horizontal="center" vertical="center"/>
    </xf>
    <xf numFmtId="0" fontId="22" fillId="6" borderId="4" xfId="0" applyFont="1" applyFill="1" applyBorder="1" applyAlignment="1">
      <alignment horizontal="center" vertical="center"/>
    </xf>
    <xf numFmtId="0" fontId="23" fillId="6" borderId="37" xfId="0" applyFont="1" applyFill="1" applyBorder="1"/>
    <xf numFmtId="0" fontId="22" fillId="6" borderId="40" xfId="0" applyFont="1" applyFill="1" applyBorder="1" applyAlignment="1">
      <alignment horizontal="center" vertical="center"/>
    </xf>
    <xf numFmtId="0" fontId="22" fillId="7" borderId="40" xfId="0" applyFont="1" applyFill="1" applyBorder="1" applyAlignment="1">
      <alignment horizontal="center" vertical="center"/>
    </xf>
    <xf numFmtId="0" fontId="22" fillId="7" borderId="37" xfId="0" applyFont="1" applyFill="1" applyBorder="1" applyAlignment="1">
      <alignment horizontal="center" vertical="center"/>
    </xf>
    <xf numFmtId="0" fontId="22" fillId="7" borderId="41" xfId="0" applyFont="1" applyFill="1" applyBorder="1" applyAlignment="1">
      <alignment horizontal="center" vertical="center"/>
    </xf>
    <xf numFmtId="0" fontId="22" fillId="8" borderId="40" xfId="0" applyFont="1" applyFill="1" applyBorder="1" applyAlignment="1">
      <alignment horizontal="center" vertical="center"/>
    </xf>
    <xf numFmtId="0" fontId="22" fillId="8" borderId="37" xfId="0" applyFont="1" applyFill="1" applyBorder="1" applyAlignment="1">
      <alignment horizontal="center" vertical="center"/>
    </xf>
    <xf numFmtId="0" fontId="22" fillId="8" borderId="41" xfId="0" applyFont="1" applyFill="1" applyBorder="1" applyAlignment="1">
      <alignment horizontal="center" vertical="center"/>
    </xf>
    <xf numFmtId="0" fontId="24" fillId="0" borderId="37" xfId="0" applyFont="1" applyBorder="1"/>
    <xf numFmtId="0" fontId="24" fillId="0" borderId="4" xfId="0" applyFont="1" applyBorder="1"/>
    <xf numFmtId="0" fontId="24" fillId="0" borderId="42" xfId="0" applyFont="1" applyFill="1" applyBorder="1"/>
    <xf numFmtId="0" fontId="24" fillId="0" borderId="38" xfId="0" applyFont="1" applyFill="1" applyBorder="1"/>
    <xf numFmtId="0" fontId="25" fillId="0" borderId="40" xfId="0" applyFont="1" applyBorder="1" applyAlignment="1">
      <alignment horizontal="center" vertical="center"/>
    </xf>
    <xf numFmtId="0" fontId="25" fillId="0" borderId="37" xfId="0" applyFont="1" applyBorder="1" applyAlignment="1">
      <alignment horizontal="center" vertical="center"/>
    </xf>
    <xf numFmtId="0" fontId="25" fillId="0" borderId="41" xfId="0" applyFont="1" applyBorder="1" applyAlignment="1">
      <alignment horizontal="center" vertical="center"/>
    </xf>
    <xf numFmtId="0" fontId="24" fillId="0" borderId="40" xfId="0" applyFont="1" applyBorder="1"/>
    <xf numFmtId="0" fontId="24" fillId="0" borderId="41" xfId="0" applyFont="1" applyBorder="1"/>
    <xf numFmtId="0" fontId="23" fillId="2" borderId="37" xfId="0" applyFont="1" applyFill="1" applyBorder="1"/>
    <xf numFmtId="0" fontId="24" fillId="2" borderId="4" xfId="0" applyFont="1" applyFill="1" applyBorder="1"/>
    <xf numFmtId="164" fontId="22" fillId="2" borderId="42" xfId="0" applyNumberFormat="1" applyFont="1" applyFill="1" applyBorder="1" applyAlignment="1">
      <alignment horizontal="center" vertical="center"/>
    </xf>
    <xf numFmtId="164" fontId="26" fillId="2" borderId="38" xfId="0" applyNumberFormat="1" applyFont="1" applyFill="1" applyBorder="1" applyAlignment="1">
      <alignment horizontal="center" vertical="center"/>
    </xf>
    <xf numFmtId="164" fontId="27" fillId="2" borderId="40" xfId="0" applyNumberFormat="1" applyFont="1" applyFill="1" applyBorder="1" applyAlignment="1">
      <alignment horizontal="center" vertical="center"/>
    </xf>
    <xf numFmtId="164" fontId="27" fillId="2" borderId="37" xfId="0" applyNumberFormat="1" applyFont="1" applyFill="1" applyBorder="1" applyAlignment="1">
      <alignment horizontal="center" vertical="center"/>
    </xf>
    <xf numFmtId="164" fontId="27" fillId="2" borderId="41" xfId="0" applyNumberFormat="1" applyFont="1" applyFill="1" applyBorder="1" applyAlignment="1">
      <alignment horizontal="center" vertical="center"/>
    </xf>
    <xf numFmtId="164" fontId="22" fillId="2" borderId="41" xfId="0" applyNumberFormat="1" applyFont="1" applyFill="1" applyBorder="1" applyAlignment="1">
      <alignment horizontal="center" vertical="center"/>
    </xf>
    <xf numFmtId="164" fontId="28" fillId="2" borderId="41" xfId="0" applyNumberFormat="1" applyFont="1" applyFill="1" applyBorder="1" applyAlignment="1">
      <alignment horizontal="center" vertical="center"/>
    </xf>
    <xf numFmtId="164" fontId="27" fillId="2" borderId="42" xfId="0" applyNumberFormat="1" applyFont="1" applyFill="1" applyBorder="1" applyAlignment="1">
      <alignment horizontal="center" vertical="center"/>
    </xf>
    <xf numFmtId="164" fontId="22" fillId="2" borderId="38" xfId="0" applyNumberFormat="1" applyFont="1" applyFill="1" applyBorder="1" applyAlignment="1">
      <alignment horizontal="center" vertical="center"/>
    </xf>
    <xf numFmtId="0" fontId="24" fillId="0" borderId="0" xfId="0" applyFont="1"/>
    <xf numFmtId="0" fontId="24" fillId="0" borderId="0" xfId="0" applyFont="1" applyFill="1"/>
    <xf numFmtId="0" fontId="29" fillId="0" borderId="0" xfId="0" applyFont="1"/>
    <xf numFmtId="0" fontId="29" fillId="0" borderId="0" xfId="0" applyFont="1" applyAlignment="1">
      <alignment horizontal="left"/>
    </xf>
    <xf numFmtId="164" fontId="22" fillId="0" borderId="0" xfId="0" applyNumberFormat="1" applyFont="1" applyFill="1" applyBorder="1" applyAlignment="1">
      <alignment horizontal="center" vertical="center"/>
    </xf>
    <xf numFmtId="164" fontId="22" fillId="0" borderId="0" xfId="0" applyNumberFormat="1" applyFont="1" applyBorder="1" applyAlignment="1">
      <alignment horizontal="center" vertical="center"/>
    </xf>
    <xf numFmtId="0" fontId="30" fillId="0" borderId="0" xfId="0" applyFont="1"/>
    <xf numFmtId="0" fontId="29" fillId="0" borderId="0" xfId="0" applyFont="1" applyAlignment="1">
      <alignment horizontal="right"/>
    </xf>
    <xf numFmtId="0" fontId="0" fillId="0" borderId="0" xfId="0" applyAlignment="1">
      <alignment horizontal="right" vertical="center"/>
    </xf>
    <xf numFmtId="0" fontId="0" fillId="0" borderId="0" xfId="0" applyAlignment="1">
      <alignment wrapText="1"/>
    </xf>
    <xf numFmtId="0" fontId="22" fillId="6" borderId="38" xfId="0" applyFont="1" applyFill="1" applyBorder="1" applyAlignment="1">
      <alignment horizontal="center" vertical="center"/>
    </xf>
    <xf numFmtId="0" fontId="22" fillId="0" borderId="0" xfId="0" applyFont="1" applyFill="1" applyBorder="1" applyAlignment="1">
      <alignment vertical="center"/>
    </xf>
    <xf numFmtId="0" fontId="22" fillId="6" borderId="41" xfId="0" applyFont="1" applyFill="1" applyBorder="1" applyAlignment="1">
      <alignment horizontal="center" vertical="center"/>
    </xf>
    <xf numFmtId="0" fontId="22" fillId="0" borderId="0" xfId="0" applyFont="1" applyFill="1" applyBorder="1" applyAlignment="1">
      <alignment horizontal="center" vertical="center"/>
    </xf>
    <xf numFmtId="0" fontId="24" fillId="0" borderId="40" xfId="0" applyFont="1" applyFill="1" applyBorder="1"/>
    <xf numFmtId="0" fontId="24" fillId="0" borderId="0" xfId="0" applyFont="1" applyFill="1" applyBorder="1"/>
    <xf numFmtId="164" fontId="28" fillId="2" borderId="40" xfId="0" applyNumberFormat="1" applyFont="1" applyFill="1" applyBorder="1" applyAlignment="1">
      <alignment horizontal="center" vertical="center"/>
    </xf>
    <xf numFmtId="0" fontId="0" fillId="0" borderId="0" xfId="0" applyFill="1" applyBorder="1"/>
    <xf numFmtId="0" fontId="0" fillId="0" borderId="0" xfId="0" applyBorder="1"/>
    <xf numFmtId="0" fontId="11" fillId="0" borderId="13" xfId="5" applyFont="1" applyBorder="1" applyAlignment="1" applyProtection="1">
      <alignment horizontal="center" vertical="center"/>
    </xf>
    <xf numFmtId="0" fontId="13" fillId="0" borderId="3" xfId="5" applyFont="1" applyBorder="1" applyAlignment="1" applyProtection="1">
      <alignment horizontal="center"/>
      <protection locked="0"/>
    </xf>
    <xf numFmtId="14" fontId="10" fillId="0" borderId="2" xfId="5" applyNumberFormat="1" applyFont="1" applyBorder="1" applyAlignment="1" applyProtection="1">
      <alignment horizontal="center" vertical="center"/>
      <protection locked="0"/>
    </xf>
    <xf numFmtId="0" fontId="11" fillId="0" borderId="13" xfId="5" applyFont="1" applyBorder="1" applyAlignment="1" applyProtection="1">
      <alignment horizontal="left" vertical="center"/>
    </xf>
    <xf numFmtId="49" fontId="28" fillId="2" borderId="43" xfId="0" applyNumberFormat="1" applyFont="1" applyFill="1" applyBorder="1" applyAlignment="1">
      <alignment horizontal="center" vertical="center"/>
    </xf>
    <xf numFmtId="166" fontId="0" fillId="0" borderId="0" xfId="0" applyNumberFormat="1" applyFill="1" applyBorder="1"/>
    <xf numFmtId="0" fontId="33" fillId="0" borderId="0" xfId="6"/>
    <xf numFmtId="0" fontId="34" fillId="0" borderId="0" xfId="6" applyFont="1" applyAlignment="1">
      <alignment vertical="center"/>
    </xf>
    <xf numFmtId="0" fontId="35" fillId="0" borderId="0" xfId="6" applyFont="1"/>
    <xf numFmtId="0" fontId="36" fillId="9" borderId="44" xfId="6" applyFont="1" applyFill="1" applyBorder="1" applyAlignment="1">
      <alignment vertical="center" wrapText="1"/>
    </xf>
    <xf numFmtId="0" fontId="36" fillId="9" borderId="45" xfId="6" applyFont="1" applyFill="1" applyBorder="1" applyAlignment="1">
      <alignment vertical="center" wrapText="1"/>
    </xf>
    <xf numFmtId="0" fontId="37" fillId="9" borderId="45" xfId="6" applyFont="1" applyFill="1" applyBorder="1" applyAlignment="1">
      <alignment vertical="center" wrapText="1"/>
    </xf>
    <xf numFmtId="0" fontId="37" fillId="9" borderId="51" xfId="6" applyFont="1" applyFill="1" applyBorder="1" applyAlignment="1">
      <alignment vertical="center" wrapText="1"/>
    </xf>
    <xf numFmtId="0" fontId="37" fillId="0" borderId="50" xfId="6" applyFont="1" applyBorder="1" applyAlignment="1">
      <alignment vertical="center"/>
    </xf>
    <xf numFmtId="0" fontId="37" fillId="0" borderId="48" xfId="6" applyFont="1" applyBorder="1" applyAlignment="1">
      <alignment vertical="center"/>
    </xf>
    <xf numFmtId="0" fontId="37" fillId="10" borderId="48" xfId="6" applyFont="1" applyFill="1" applyBorder="1" applyAlignment="1">
      <alignment horizontal="center" vertical="center"/>
    </xf>
    <xf numFmtId="0" fontId="37" fillId="0" borderId="52" xfId="6" applyFont="1" applyBorder="1" applyAlignment="1">
      <alignment vertical="center"/>
    </xf>
    <xf numFmtId="0" fontId="37" fillId="10" borderId="52" xfId="6" applyFont="1" applyFill="1" applyBorder="1" applyAlignment="1">
      <alignment horizontal="center" vertical="center"/>
    </xf>
    <xf numFmtId="1" fontId="37" fillId="0" borderId="52" xfId="6" applyNumberFormat="1" applyFont="1" applyBorder="1" applyAlignment="1">
      <alignment vertical="center"/>
    </xf>
    <xf numFmtId="0" fontId="37" fillId="0" borderId="52" xfId="6" applyFont="1" applyBorder="1" applyAlignment="1">
      <alignment vertical="center" wrapText="1"/>
    </xf>
    <xf numFmtId="0" fontId="2" fillId="11" borderId="0" xfId="0" applyFont="1" applyFill="1"/>
    <xf numFmtId="167" fontId="2" fillId="11" borderId="0" xfId="0" applyNumberFormat="1" applyFont="1" applyFill="1"/>
    <xf numFmtId="49" fontId="0" fillId="0" borderId="37" xfId="0" applyNumberFormat="1" applyBorder="1"/>
    <xf numFmtId="0" fontId="0" fillId="0" borderId="37" xfId="0" applyFont="1" applyFill="1" applyBorder="1" applyAlignment="1">
      <alignment horizontal="center" wrapText="1"/>
    </xf>
    <xf numFmtId="0" fontId="0" fillId="5" borderId="37" xfId="0" applyFont="1" applyFill="1" applyBorder="1" applyAlignment="1">
      <alignment horizontal="left" wrapText="1"/>
    </xf>
    <xf numFmtId="0" fontId="0" fillId="0" borderId="37" xfId="0" applyBorder="1" applyProtection="1">
      <protection locked="0"/>
    </xf>
    <xf numFmtId="15" fontId="37" fillId="0" borderId="37" xfId="0" applyNumberFormat="1" applyFont="1" applyBorder="1" applyAlignment="1">
      <alignment horizontal="center" vertical="center"/>
    </xf>
    <xf numFmtId="165" fontId="0" fillId="0" borderId="37" xfId="0" applyNumberFormat="1" applyBorder="1" applyAlignment="1">
      <alignment horizontal="center" vertical="top"/>
    </xf>
    <xf numFmtId="0" fontId="0" fillId="4" borderId="37" xfId="0" applyFill="1" applyBorder="1"/>
    <xf numFmtId="49" fontId="0" fillId="4" borderId="37" xfId="0" applyNumberFormat="1" applyFill="1" applyBorder="1"/>
    <xf numFmtId="0" fontId="0" fillId="4" borderId="37" xfId="0" applyFont="1" applyFill="1" applyBorder="1" applyAlignment="1">
      <alignment horizontal="center" wrapText="1"/>
    </xf>
    <xf numFmtId="0" fontId="0" fillId="4" borderId="37" xfId="0" applyFont="1" applyFill="1" applyBorder="1" applyAlignment="1">
      <alignment horizontal="left" wrapText="1"/>
    </xf>
    <xf numFmtId="0" fontId="0" fillId="4" borderId="37" xfId="0" applyFill="1" applyBorder="1" applyAlignment="1">
      <alignment horizontal="center" vertical="center"/>
    </xf>
    <xf numFmtId="49" fontId="0" fillId="4" borderId="0" xfId="0" applyNumberFormat="1" applyFill="1"/>
    <xf numFmtId="15" fontId="37" fillId="4" borderId="37" xfId="0" applyNumberFormat="1" applyFont="1" applyFill="1" applyBorder="1" applyAlignment="1">
      <alignment horizontal="center" vertical="center"/>
    </xf>
    <xf numFmtId="0" fontId="0" fillId="4" borderId="37" xfId="0" applyFill="1" applyBorder="1" applyProtection="1">
      <protection locked="0"/>
    </xf>
    <xf numFmtId="165" fontId="0" fillId="4" borderId="37" xfId="0" applyNumberFormat="1" applyFill="1" applyBorder="1" applyAlignment="1">
      <alignment horizontal="center" vertical="top"/>
    </xf>
    <xf numFmtId="0" fontId="0" fillId="4" borderId="0" xfId="0" applyFill="1"/>
    <xf numFmtId="0" fontId="0" fillId="0" borderId="37" xfId="0" applyFill="1" applyBorder="1" applyAlignment="1">
      <alignment horizontal="center"/>
    </xf>
    <xf numFmtId="167" fontId="0" fillId="0" borderId="0" xfId="0" applyNumberFormat="1"/>
    <xf numFmtId="0" fontId="0" fillId="0" borderId="37" xfId="0" quotePrefix="1" applyBorder="1" applyAlignment="1">
      <alignment horizontal="center" vertical="center"/>
    </xf>
    <xf numFmtId="0" fontId="0" fillId="0" borderId="37" xfId="0" applyBorder="1" applyAlignment="1">
      <alignment horizontal="center" vertical="center"/>
    </xf>
    <xf numFmtId="49" fontId="0" fillId="0" borderId="37" xfId="0" quotePrefix="1" applyNumberFormat="1" applyBorder="1" applyAlignment="1">
      <alignment horizontal="center" vertical="center"/>
    </xf>
    <xf numFmtId="0" fontId="0" fillId="0" borderId="37" xfId="0" applyFont="1" applyFill="1" applyBorder="1" applyAlignment="1">
      <alignment horizontal="left" wrapText="1"/>
    </xf>
    <xf numFmtId="0" fontId="2" fillId="11" borderId="37" xfId="0" applyFont="1" applyFill="1" applyBorder="1"/>
    <xf numFmtId="167" fontId="2" fillId="11" borderId="37" xfId="0" applyNumberFormat="1" applyFont="1" applyFill="1" applyBorder="1"/>
    <xf numFmtId="49" fontId="0" fillId="0" borderId="37" xfId="0" quotePrefix="1" applyNumberFormat="1" applyBorder="1"/>
    <xf numFmtId="49" fontId="0" fillId="4" borderId="37" xfId="0" quotePrefix="1" applyNumberFormat="1" applyFill="1" applyBorder="1"/>
    <xf numFmtId="0" fontId="0" fillId="4" borderId="37" xfId="0" applyFill="1" applyBorder="1" applyAlignment="1">
      <alignment horizontal="center"/>
    </xf>
    <xf numFmtId="49" fontId="0" fillId="0" borderId="0" xfId="0" applyNumberFormat="1"/>
    <xf numFmtId="0" fontId="0" fillId="0" borderId="53" xfId="0" applyFont="1" applyFill="1" applyBorder="1" applyAlignment="1">
      <alignment horizontal="center" wrapText="1"/>
    </xf>
    <xf numFmtId="0" fontId="0" fillId="0" borderId="53" xfId="0" applyFont="1" applyFill="1" applyBorder="1" applyAlignment="1">
      <alignment horizontal="left" wrapText="1"/>
    </xf>
    <xf numFmtId="0" fontId="2" fillId="11" borderId="54" xfId="0" applyFont="1" applyFill="1" applyBorder="1"/>
    <xf numFmtId="0" fontId="33" fillId="12" borderId="37" xfId="0" applyFont="1" applyFill="1" applyBorder="1" applyAlignment="1">
      <alignment vertical="center"/>
    </xf>
    <xf numFmtId="15" fontId="37" fillId="5" borderId="37" xfId="0" applyNumberFormat="1" applyFont="1" applyFill="1" applyBorder="1" applyAlignment="1">
      <alignment horizontal="center" vertical="center"/>
    </xf>
    <xf numFmtId="15" fontId="1" fillId="5" borderId="37" xfId="1" applyNumberFormat="1" applyFill="1" applyBorder="1" applyAlignment="1">
      <alignment horizontal="center" vertical="center"/>
    </xf>
    <xf numFmtId="0" fontId="33" fillId="13" borderId="37" xfId="0" applyFont="1" applyFill="1" applyBorder="1" applyAlignment="1">
      <alignment vertical="center"/>
    </xf>
    <xf numFmtId="15" fontId="0" fillId="5" borderId="37" xfId="0" applyNumberFormat="1" applyFill="1" applyBorder="1" applyAlignment="1">
      <alignment horizontal="center" vertical="center"/>
    </xf>
    <xf numFmtId="0" fontId="0" fillId="0" borderId="37" xfId="0" quotePrefix="1" applyBorder="1"/>
    <xf numFmtId="0" fontId="22" fillId="6" borderId="42" xfId="0" applyFont="1" applyFill="1" applyBorder="1" applyAlignment="1">
      <alignment horizontal="center" vertical="center"/>
    </xf>
    <xf numFmtId="164" fontId="22" fillId="2" borderId="40" xfId="0" applyNumberFormat="1" applyFont="1" applyFill="1" applyBorder="1" applyAlignment="1">
      <alignment horizontal="center" vertical="center"/>
    </xf>
    <xf numFmtId="164" fontId="22" fillId="2" borderId="37" xfId="0" applyNumberFormat="1" applyFont="1" applyFill="1" applyBorder="1" applyAlignment="1">
      <alignment horizontal="center" vertical="center"/>
    </xf>
    <xf numFmtId="0" fontId="29" fillId="0" borderId="0" xfId="0" applyFont="1" applyAlignment="1"/>
    <xf numFmtId="0" fontId="0" fillId="0" borderId="0" xfId="0" applyAlignment="1">
      <alignment vertical="top"/>
    </xf>
    <xf numFmtId="1" fontId="37" fillId="0" borderId="37" xfId="0" applyNumberFormat="1" applyFont="1" applyBorder="1" applyAlignment="1">
      <alignment horizontal="center" vertical="center"/>
    </xf>
    <xf numFmtId="1" fontId="0" fillId="0" borderId="37" xfId="0" applyNumberFormat="1" applyBorder="1"/>
    <xf numFmtId="0" fontId="11" fillId="0" borderId="23" xfId="5" applyFont="1" applyBorder="1" applyAlignment="1" applyProtection="1">
      <alignment horizontal="center" vertical="center"/>
    </xf>
    <xf numFmtId="0" fontId="11" fillId="0" borderId="24" xfId="5" applyFont="1" applyBorder="1" applyAlignment="1" applyProtection="1">
      <alignment horizontal="center" vertical="center"/>
    </xf>
    <xf numFmtId="0" fontId="5" fillId="5" borderId="4" xfId="2" applyFont="1" applyFill="1" applyBorder="1" applyAlignment="1" applyProtection="1">
      <alignment horizontal="center" vertical="center" wrapText="1"/>
    </xf>
    <xf numFmtId="0" fontId="5" fillId="5" borderId="5" xfId="2" applyFont="1" applyFill="1" applyBorder="1" applyAlignment="1" applyProtection="1">
      <alignment horizontal="center" vertical="center" wrapText="1"/>
    </xf>
    <xf numFmtId="0" fontId="5" fillId="5" borderId="6" xfId="2" applyFont="1" applyFill="1" applyBorder="1" applyAlignment="1" applyProtection="1">
      <alignment horizontal="center" vertical="center" wrapText="1"/>
    </xf>
    <xf numFmtId="0" fontId="6" fillId="5" borderId="1" xfId="3" applyFont="1" applyFill="1" applyBorder="1" applyAlignment="1" applyProtection="1">
      <alignment horizontal="center" vertical="center" wrapText="1"/>
    </xf>
    <xf numFmtId="0" fontId="6" fillId="5" borderId="2" xfId="3" applyFont="1" applyFill="1" applyBorder="1" applyAlignment="1" applyProtection="1">
      <alignment horizontal="center" vertical="center" wrapText="1"/>
    </xf>
    <xf numFmtId="0" fontId="6" fillId="5" borderId="3" xfId="3" applyFont="1" applyFill="1" applyBorder="1" applyAlignment="1" applyProtection="1">
      <alignment horizontal="center" vertical="center" wrapText="1"/>
    </xf>
    <xf numFmtId="0" fontId="6" fillId="5" borderId="7" xfId="3" applyFont="1" applyFill="1" applyBorder="1" applyAlignment="1" applyProtection="1">
      <alignment horizontal="center" vertical="center" wrapText="1"/>
    </xf>
    <xf numFmtId="0" fontId="6" fillId="5" borderId="8" xfId="3" applyFont="1" applyFill="1" applyBorder="1" applyAlignment="1" applyProtection="1">
      <alignment horizontal="center" vertical="center" wrapText="1"/>
    </xf>
    <xf numFmtId="0" fontId="6" fillId="5" borderId="9" xfId="3" applyFont="1" applyFill="1" applyBorder="1" applyAlignment="1" applyProtection="1">
      <alignment horizontal="center" vertical="center" wrapText="1"/>
    </xf>
    <xf numFmtId="0" fontId="7" fillId="5" borderId="37" xfId="2" applyFont="1" applyFill="1" applyBorder="1" applyAlignment="1">
      <alignment horizontal="center" vertical="center" wrapText="1"/>
    </xf>
    <xf numFmtId="0" fontId="7" fillId="0" borderId="7" xfId="2" applyFont="1" applyBorder="1" applyAlignment="1">
      <alignment horizontal="center" vertical="center" wrapText="1"/>
    </xf>
    <xf numFmtId="0" fontId="7" fillId="0" borderId="8" xfId="2" applyFont="1" applyBorder="1" applyAlignment="1">
      <alignment horizontal="center" vertical="center" wrapText="1"/>
    </xf>
    <xf numFmtId="0" fontId="7" fillId="0" borderId="9" xfId="2" applyFont="1" applyBorder="1" applyAlignment="1">
      <alignment horizontal="center" vertical="center" wrapText="1"/>
    </xf>
    <xf numFmtId="0" fontId="32" fillId="5" borderId="37" xfId="2" applyFont="1" applyFill="1" applyBorder="1" applyAlignment="1">
      <alignment horizontal="center" vertical="center" wrapText="1"/>
    </xf>
    <xf numFmtId="0" fontId="11" fillId="0" borderId="12" xfId="5" applyFont="1" applyBorder="1" applyAlignment="1" applyProtection="1">
      <alignment vertical="center"/>
    </xf>
    <xf numFmtId="0" fontId="11" fillId="0" borderId="13" xfId="5" applyFont="1" applyBorder="1" applyAlignment="1" applyProtection="1">
      <alignment vertical="center"/>
    </xf>
    <xf numFmtId="0" fontId="11" fillId="0" borderId="14" xfId="5" applyFont="1" applyBorder="1" applyAlignment="1" applyProtection="1">
      <alignment horizontal="left"/>
      <protection locked="0"/>
    </xf>
    <xf numFmtId="0" fontId="11" fillId="0" borderId="15" xfId="5" applyFont="1" applyBorder="1" applyAlignment="1" applyProtection="1">
      <alignment horizontal="left"/>
      <protection locked="0"/>
    </xf>
    <xf numFmtId="0" fontId="11" fillId="0" borderId="16" xfId="5" applyFont="1" applyBorder="1" applyAlignment="1" applyProtection="1">
      <alignment horizontal="left"/>
      <protection locked="0"/>
    </xf>
    <xf numFmtId="0" fontId="10" fillId="0" borderId="17" xfId="5" applyFont="1" applyBorder="1" applyAlignment="1" applyProtection="1">
      <alignment horizontal="left" vertical="top" wrapText="1"/>
    </xf>
    <xf numFmtId="0" fontId="10" fillId="0" borderId="2" xfId="5" applyFont="1" applyBorder="1" applyAlignment="1" applyProtection="1">
      <alignment horizontal="left" vertical="top" wrapText="1"/>
    </xf>
    <xf numFmtId="0" fontId="10" fillId="0" borderId="18" xfId="5" applyFont="1" applyBorder="1" applyAlignment="1" applyProtection="1">
      <alignment horizontal="left" vertical="top" wrapText="1"/>
    </xf>
    <xf numFmtId="0" fontId="11" fillId="0" borderId="25" xfId="5" applyFont="1" applyBorder="1" applyAlignment="1" applyProtection="1">
      <alignment vertical="center"/>
    </xf>
    <xf numFmtId="0" fontId="11" fillId="0" borderId="26" xfId="5" applyFont="1" applyBorder="1" applyAlignment="1" applyProtection="1">
      <alignment vertical="center"/>
    </xf>
    <xf numFmtId="0" fontId="11" fillId="0" borderId="27" xfId="5" applyFont="1" applyBorder="1" applyAlignment="1" applyProtection="1">
      <protection locked="0"/>
    </xf>
    <xf numFmtId="0" fontId="11" fillId="0" borderId="28" xfId="5" applyFont="1" applyBorder="1" applyAlignment="1" applyProtection="1">
      <protection locked="0"/>
    </xf>
    <xf numFmtId="0" fontId="11" fillId="0" borderId="29" xfId="5" applyFont="1" applyBorder="1" applyAlignment="1" applyProtection="1">
      <protection locked="0"/>
    </xf>
    <xf numFmtId="0" fontId="10" fillId="0" borderId="31" xfId="5" applyFont="1" applyBorder="1" applyAlignment="1" applyProtection="1">
      <alignment horizontal="left" vertical="top" wrapText="1"/>
    </xf>
    <xf numFmtId="0" fontId="10" fillId="0" borderId="32" xfId="5" applyFont="1" applyBorder="1" applyAlignment="1" applyProtection="1">
      <alignment horizontal="left" vertical="top" wrapText="1"/>
    </xf>
    <xf numFmtId="0" fontId="10" fillId="0" borderId="33" xfId="5" applyFont="1" applyBorder="1" applyAlignment="1" applyProtection="1">
      <alignment horizontal="left" vertical="top" wrapText="1"/>
    </xf>
    <xf numFmtId="0" fontId="11" fillId="0" borderId="19" xfId="5" applyFont="1" applyBorder="1" applyAlignment="1" applyProtection="1">
      <alignment vertical="center"/>
    </xf>
    <xf numFmtId="0" fontId="11" fillId="0" borderId="20" xfId="5" applyFont="1" applyBorder="1" applyAlignment="1" applyProtection="1">
      <alignment vertical="center"/>
    </xf>
    <xf numFmtId="0" fontId="11" fillId="0" borderId="20" xfId="5" applyFont="1" applyBorder="1" applyAlignment="1" applyProtection="1">
      <alignment horizontal="left"/>
      <protection locked="0"/>
    </xf>
    <xf numFmtId="0" fontId="10" fillId="0" borderId="21" xfId="5" applyFont="1" applyBorder="1" applyAlignment="1" applyProtection="1">
      <alignment horizontal="left" vertical="top" wrapText="1"/>
    </xf>
    <xf numFmtId="0" fontId="10" fillId="0" borderId="0" xfId="5" applyFont="1" applyBorder="1" applyAlignment="1" applyProtection="1">
      <alignment horizontal="left" vertical="top" wrapText="1"/>
    </xf>
    <xf numFmtId="0" fontId="10" fillId="0" borderId="0" xfId="5" applyFont="1" applyBorder="1" applyAlignment="1" applyProtection="1">
      <alignment horizontal="center" vertical="top" wrapText="1"/>
    </xf>
    <xf numFmtId="0" fontId="10" fillId="0" borderId="22" xfId="5" applyFont="1" applyBorder="1" applyAlignment="1" applyProtection="1">
      <alignment horizontal="center" vertical="top" wrapText="1"/>
    </xf>
    <xf numFmtId="14" fontId="13" fillId="0" borderId="21" xfId="5" quotePrefix="1" applyNumberFormat="1" applyFont="1" applyBorder="1" applyAlignment="1" applyProtection="1">
      <alignment horizontal="center"/>
      <protection locked="0"/>
    </xf>
    <xf numFmtId="14" fontId="13" fillId="0" borderId="11" xfId="5" quotePrefix="1" applyNumberFormat="1" applyFont="1" applyBorder="1" applyAlignment="1" applyProtection="1">
      <alignment horizontal="center"/>
      <protection locked="0"/>
    </xf>
    <xf numFmtId="0" fontId="17" fillId="0" borderId="20" xfId="5" applyFont="1" applyBorder="1" applyAlignment="1" applyProtection="1">
      <alignment horizontal="center" vertical="center"/>
      <protection locked="0"/>
    </xf>
    <xf numFmtId="0" fontId="17" fillId="0" borderId="30" xfId="5" applyFont="1" applyBorder="1" applyAlignment="1" applyProtection="1">
      <alignment horizontal="center" vertical="center"/>
      <protection locked="0"/>
    </xf>
    <xf numFmtId="14" fontId="10" fillId="0" borderId="23" xfId="5" applyNumberFormat="1" applyFont="1" applyBorder="1" applyAlignment="1" applyProtection="1">
      <alignment horizontal="center" vertical="center"/>
      <protection locked="0"/>
    </xf>
    <xf numFmtId="14" fontId="10" fillId="0" borderId="24" xfId="5" applyNumberFormat="1" applyFont="1" applyBorder="1" applyAlignment="1" applyProtection="1">
      <alignment horizontal="center" vertical="center"/>
      <protection locked="0"/>
    </xf>
    <xf numFmtId="14" fontId="10" fillId="0" borderId="21" xfId="5" applyNumberFormat="1" applyFont="1" applyBorder="1" applyAlignment="1" applyProtection="1">
      <alignment horizontal="center" vertical="center"/>
      <protection locked="0"/>
    </xf>
    <xf numFmtId="14" fontId="10" fillId="0" borderId="11" xfId="5" applyNumberFormat="1" applyFont="1" applyBorder="1" applyAlignment="1" applyProtection="1">
      <alignment horizontal="center" vertical="center"/>
      <protection locked="0"/>
    </xf>
    <xf numFmtId="0" fontId="15" fillId="0" borderId="19" xfId="5" applyFont="1" applyBorder="1" applyAlignment="1" applyProtection="1">
      <alignment horizontal="center" vertical="center" wrapText="1"/>
      <protection locked="0"/>
    </xf>
    <xf numFmtId="0" fontId="15" fillId="0" borderId="19" xfId="5" applyFont="1" applyBorder="1" applyAlignment="1" applyProtection="1">
      <alignment horizontal="center" vertical="center"/>
      <protection locked="0"/>
    </xf>
    <xf numFmtId="0" fontId="15" fillId="0" borderId="20" xfId="5" applyFont="1" applyBorder="1" applyAlignment="1" applyProtection="1">
      <alignment horizontal="center" vertical="center"/>
      <protection locked="0"/>
    </xf>
    <xf numFmtId="0" fontId="15" fillId="0" borderId="23" xfId="5" applyFont="1" applyBorder="1" applyAlignment="1" applyProtection="1">
      <alignment horizontal="center" vertical="center"/>
      <protection locked="0"/>
    </xf>
    <xf numFmtId="0" fontId="15" fillId="0" borderId="26" xfId="5" applyFont="1" applyBorder="1" applyAlignment="1" applyProtection="1">
      <alignment horizontal="center" vertical="center"/>
      <protection locked="0"/>
    </xf>
    <xf numFmtId="0" fontId="15" fillId="0" borderId="31" xfId="5" applyFont="1" applyBorder="1" applyAlignment="1" applyProtection="1">
      <alignment horizontal="center" vertical="center"/>
      <protection locked="0"/>
    </xf>
    <xf numFmtId="0" fontId="15" fillId="0" borderId="33" xfId="5" applyFont="1" applyBorder="1" applyAlignment="1" applyProtection="1">
      <alignment horizontal="center" vertical="center"/>
      <protection locked="0"/>
    </xf>
    <xf numFmtId="0" fontId="15" fillId="0" borderId="30" xfId="5" applyFont="1" applyBorder="1" applyAlignment="1" applyProtection="1">
      <alignment horizontal="center" vertical="center" wrapText="1"/>
      <protection locked="0"/>
    </xf>
    <xf numFmtId="0" fontId="15" fillId="0" borderId="36" xfId="5" applyFont="1" applyBorder="1" applyAlignment="1" applyProtection="1">
      <alignment horizontal="center" vertical="center" wrapText="1"/>
      <protection locked="0"/>
    </xf>
    <xf numFmtId="0" fontId="15" fillId="0" borderId="24" xfId="5" applyFont="1" applyBorder="1" applyAlignment="1" applyProtection="1">
      <alignment horizontal="center" vertical="center"/>
      <protection locked="0"/>
    </xf>
    <xf numFmtId="0" fontId="15" fillId="0" borderId="35" xfId="5" applyFont="1" applyBorder="1" applyAlignment="1" applyProtection="1">
      <alignment horizontal="center" vertical="center"/>
      <protection locked="0"/>
    </xf>
    <xf numFmtId="0" fontId="10" fillId="0" borderId="2" xfId="5" applyBorder="1" applyAlignment="1" applyProtection="1">
      <alignment horizontal="center" vertical="center"/>
      <protection locked="0"/>
    </xf>
    <xf numFmtId="0" fontId="10" fillId="0" borderId="19" xfId="5" applyBorder="1" applyAlignment="1" applyProtection="1">
      <alignment horizontal="center" vertical="center"/>
      <protection locked="0"/>
    </xf>
    <xf numFmtId="0" fontId="10" fillId="0" borderId="34" xfId="5" applyBorder="1" applyAlignment="1" applyProtection="1">
      <alignment horizontal="center" vertical="center"/>
      <protection locked="0"/>
    </xf>
    <xf numFmtId="0" fontId="10" fillId="0" borderId="23" xfId="5" applyBorder="1" applyAlignment="1" applyProtection="1">
      <alignment horizontal="center" vertical="center"/>
      <protection locked="0"/>
    </xf>
    <xf numFmtId="0" fontId="10" fillId="0" borderId="26" xfId="5" applyBorder="1" applyAlignment="1" applyProtection="1">
      <alignment horizontal="center" vertical="center"/>
      <protection locked="0"/>
    </xf>
    <xf numFmtId="0" fontId="10" fillId="0" borderId="21" xfId="5" applyBorder="1" applyAlignment="1" applyProtection="1">
      <alignment horizontal="center" vertical="center"/>
      <protection locked="0"/>
    </xf>
    <xf numFmtId="0" fontId="10" fillId="0" borderId="22" xfId="5" applyBorder="1" applyAlignment="1" applyProtection="1">
      <alignment horizontal="center" vertical="center"/>
      <protection locked="0"/>
    </xf>
    <xf numFmtId="0" fontId="10" fillId="0" borderId="23" xfId="5" applyBorder="1" applyAlignment="1" applyProtection="1">
      <alignment horizontal="left" vertical="center" wrapText="1"/>
      <protection locked="0"/>
    </xf>
    <xf numFmtId="0" fontId="10" fillId="0" borderId="26" xfId="5" applyBorder="1" applyAlignment="1" applyProtection="1">
      <alignment horizontal="left" vertical="center" wrapText="1"/>
      <protection locked="0"/>
    </xf>
    <xf numFmtId="0" fontId="10" fillId="0" borderId="21" xfId="5" applyBorder="1" applyAlignment="1" applyProtection="1">
      <alignment horizontal="left" vertical="center" wrapText="1"/>
      <protection locked="0"/>
    </xf>
    <xf numFmtId="0" fontId="10" fillId="0" borderId="22" xfId="5" applyBorder="1" applyAlignment="1" applyProtection="1">
      <alignment horizontal="left" vertical="center" wrapText="1"/>
      <protection locked="0"/>
    </xf>
    <xf numFmtId="0" fontId="10" fillId="0" borderId="31" xfId="5" applyBorder="1" applyAlignment="1" applyProtection="1">
      <alignment horizontal="center" vertical="center"/>
      <protection locked="0"/>
    </xf>
    <xf numFmtId="0" fontId="10" fillId="0" borderId="33" xfId="5" applyBorder="1" applyAlignment="1" applyProtection="1">
      <alignment horizontal="center" vertical="center"/>
      <protection locked="0"/>
    </xf>
    <xf numFmtId="0" fontId="10" fillId="0" borderId="31" xfId="5" applyBorder="1" applyAlignment="1" applyProtection="1">
      <alignment horizontal="left" vertical="center" wrapText="1"/>
      <protection locked="0"/>
    </xf>
    <xf numFmtId="0" fontId="10" fillId="0" borderId="33" xfId="5" applyBorder="1" applyAlignment="1" applyProtection="1">
      <alignment horizontal="left" vertical="center" wrapText="1"/>
      <protection locked="0"/>
    </xf>
    <xf numFmtId="0" fontId="31" fillId="0" borderId="0" xfId="0" applyFont="1" applyAlignment="1">
      <alignment vertical="center" wrapText="1"/>
    </xf>
    <xf numFmtId="0" fontId="20" fillId="0" borderId="0" xfId="0" applyFont="1" applyFill="1" applyAlignment="1">
      <alignment horizontal="center"/>
    </xf>
    <xf numFmtId="0" fontId="22" fillId="6" borderId="40" xfId="0" applyFont="1" applyFill="1" applyBorder="1" applyAlignment="1">
      <alignment horizontal="center" vertical="center"/>
    </xf>
    <xf numFmtId="0" fontId="22" fillId="6" borderId="37" xfId="0" applyFont="1" applyFill="1" applyBorder="1" applyAlignment="1">
      <alignment horizontal="center" vertical="center"/>
    </xf>
    <xf numFmtId="0" fontId="22" fillId="6" borderId="41" xfId="0" applyFont="1" applyFill="1" applyBorder="1" applyAlignment="1">
      <alignment horizontal="center" vertical="center"/>
    </xf>
    <xf numFmtId="0" fontId="29" fillId="0" borderId="0" xfId="0" applyFont="1" applyAlignment="1">
      <alignment horizontal="center"/>
    </xf>
    <xf numFmtId="0" fontId="36" fillId="9" borderId="46" xfId="6" applyFont="1" applyFill="1" applyBorder="1" applyAlignment="1">
      <alignment horizontal="center" vertical="center" wrapText="1"/>
    </xf>
    <xf numFmtId="0" fontId="36" fillId="9" borderId="47" xfId="6" applyFont="1" applyFill="1" applyBorder="1" applyAlignment="1">
      <alignment horizontal="center" vertical="center" wrapText="1"/>
    </xf>
    <xf numFmtId="0" fontId="36" fillId="9" borderId="48" xfId="6" applyFont="1" applyFill="1" applyBorder="1" applyAlignment="1">
      <alignment horizontal="center" vertical="center" wrapText="1"/>
    </xf>
    <xf numFmtId="0" fontId="36" fillId="9" borderId="49" xfId="6" applyFont="1" applyFill="1" applyBorder="1" applyAlignment="1">
      <alignment vertical="center" wrapText="1"/>
    </xf>
    <xf numFmtId="0" fontId="36" fillId="9" borderId="50" xfId="6" applyFont="1" applyFill="1" applyBorder="1" applyAlignment="1">
      <alignment vertical="center" wrapText="1"/>
    </xf>
    <xf numFmtId="0" fontId="37" fillId="9" borderId="44" xfId="6" applyFont="1" applyFill="1" applyBorder="1" applyAlignment="1">
      <alignment vertical="center" wrapText="1"/>
    </xf>
    <xf numFmtId="0" fontId="37" fillId="9" borderId="50" xfId="6" applyFont="1" applyFill="1" applyBorder="1" applyAlignment="1">
      <alignment vertical="center" wrapText="1"/>
    </xf>
    <xf numFmtId="0" fontId="22" fillId="6" borderId="38" xfId="0" applyFont="1" applyFill="1" applyBorder="1" applyAlignment="1">
      <alignment horizontal="center" vertical="center"/>
    </xf>
    <xf numFmtId="0" fontId="22" fillId="6" borderId="39" xfId="0" applyFont="1" applyFill="1" applyBorder="1" applyAlignment="1">
      <alignment horizontal="center" vertical="center"/>
    </xf>
    <xf numFmtId="0" fontId="22" fillId="7" borderId="40" xfId="0" applyFont="1" applyFill="1" applyBorder="1" applyAlignment="1">
      <alignment horizontal="center" vertical="center"/>
    </xf>
    <xf numFmtId="0" fontId="22" fillId="7" borderId="37" xfId="0" applyFont="1" applyFill="1" applyBorder="1" applyAlignment="1">
      <alignment horizontal="center" vertical="center"/>
    </xf>
    <xf numFmtId="0" fontId="22" fillId="7" borderId="41" xfId="0" applyFont="1" applyFill="1" applyBorder="1" applyAlignment="1">
      <alignment horizontal="center" vertical="center"/>
    </xf>
    <xf numFmtId="0" fontId="22" fillId="8" borderId="40" xfId="0" applyFont="1" applyFill="1" applyBorder="1" applyAlignment="1">
      <alignment horizontal="center" vertical="center"/>
    </xf>
    <xf numFmtId="0" fontId="22" fillId="8" borderId="37" xfId="0" applyFont="1" applyFill="1" applyBorder="1" applyAlignment="1">
      <alignment horizontal="center" vertical="center"/>
    </xf>
    <xf numFmtId="0" fontId="22" fillId="8" borderId="41" xfId="0" applyFont="1" applyFill="1" applyBorder="1" applyAlignment="1">
      <alignment horizontal="center" vertical="center"/>
    </xf>
    <xf numFmtId="0" fontId="29" fillId="0" borderId="0" xfId="0" applyFont="1" applyAlignment="1">
      <alignment horizontal="left"/>
    </xf>
    <xf numFmtId="0" fontId="20" fillId="0" borderId="8" xfId="0" applyFont="1" applyFill="1" applyBorder="1" applyAlignment="1">
      <alignment horizontal="left"/>
    </xf>
    <xf numFmtId="0" fontId="20" fillId="0" borderId="0" xfId="0" applyFont="1" applyFill="1" applyBorder="1" applyAlignment="1">
      <alignment horizontal="left"/>
    </xf>
    <xf numFmtId="0" fontId="0" fillId="0" borderId="5" xfId="0" applyBorder="1" applyAlignment="1">
      <alignment horizontal="center"/>
    </xf>
  </cellXfs>
  <cellStyles count="7">
    <cellStyle name="Bad" xfId="1" builtinId="27"/>
    <cellStyle name="Normal" xfId="0" builtinId="0"/>
    <cellStyle name="Normal 2" xfId="6"/>
    <cellStyle name="Normal 2 2" xfId="2"/>
    <cellStyle name="Normal 2 3" xfId="5"/>
    <cellStyle name="Normal_ISO-TEMPLATE 2 2" xfId="3"/>
    <cellStyle name="Normal_ISO-TEMPLATE 3" xfId="4"/>
  </cellStyles>
  <dxfs count="14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22860</xdr:colOff>
      <xdr:row>0</xdr:row>
      <xdr:rowOff>38100</xdr:rowOff>
    </xdr:from>
    <xdr:to>
      <xdr:col>9</xdr:col>
      <xdr:colOff>331470</xdr:colOff>
      <xdr:row>0</xdr:row>
      <xdr:rowOff>609600</xdr:rowOff>
    </xdr:to>
    <xdr:pic>
      <xdr:nvPicPr>
        <xdr:cNvPr id="2"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 y="38100"/>
          <a:ext cx="679323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22860</xdr:colOff>
      <xdr:row>0</xdr:row>
      <xdr:rowOff>38100</xdr:rowOff>
    </xdr:from>
    <xdr:to>
      <xdr:col>9</xdr:col>
      <xdr:colOff>331470</xdr:colOff>
      <xdr:row>0</xdr:row>
      <xdr:rowOff>609600</xdr:rowOff>
    </xdr:to>
    <xdr:pic>
      <xdr:nvPicPr>
        <xdr:cNvPr id="2"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 y="38100"/>
          <a:ext cx="679323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22860</xdr:colOff>
      <xdr:row>0</xdr:row>
      <xdr:rowOff>38100</xdr:rowOff>
    </xdr:from>
    <xdr:to>
      <xdr:col>9</xdr:col>
      <xdr:colOff>331470</xdr:colOff>
      <xdr:row>0</xdr:row>
      <xdr:rowOff>609600</xdr:rowOff>
    </xdr:to>
    <xdr:pic>
      <xdr:nvPicPr>
        <xdr:cNvPr id="2"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 y="38100"/>
          <a:ext cx="679323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22860</xdr:colOff>
      <xdr:row>0</xdr:row>
      <xdr:rowOff>38100</xdr:rowOff>
    </xdr:from>
    <xdr:to>
      <xdr:col>9</xdr:col>
      <xdr:colOff>331470</xdr:colOff>
      <xdr:row>0</xdr:row>
      <xdr:rowOff>609600</xdr:rowOff>
    </xdr:to>
    <xdr:pic>
      <xdr:nvPicPr>
        <xdr:cNvPr id="2"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 y="38100"/>
          <a:ext cx="679323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22860</xdr:colOff>
      <xdr:row>0</xdr:row>
      <xdr:rowOff>38100</xdr:rowOff>
    </xdr:from>
    <xdr:to>
      <xdr:col>9</xdr:col>
      <xdr:colOff>331470</xdr:colOff>
      <xdr:row>0</xdr:row>
      <xdr:rowOff>609600</xdr:rowOff>
    </xdr:to>
    <xdr:pic>
      <xdr:nvPicPr>
        <xdr:cNvPr id="2"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 y="38100"/>
          <a:ext cx="679323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22860</xdr:colOff>
      <xdr:row>0</xdr:row>
      <xdr:rowOff>38100</xdr:rowOff>
    </xdr:from>
    <xdr:to>
      <xdr:col>9</xdr:col>
      <xdr:colOff>331470</xdr:colOff>
      <xdr:row>0</xdr:row>
      <xdr:rowOff>609600</xdr:rowOff>
    </xdr:to>
    <xdr:pic>
      <xdr:nvPicPr>
        <xdr:cNvPr id="2"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 y="38100"/>
          <a:ext cx="679323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22860</xdr:colOff>
      <xdr:row>0</xdr:row>
      <xdr:rowOff>38100</xdr:rowOff>
    </xdr:from>
    <xdr:to>
      <xdr:col>9</xdr:col>
      <xdr:colOff>331470</xdr:colOff>
      <xdr:row>0</xdr:row>
      <xdr:rowOff>609600</xdr:rowOff>
    </xdr:to>
    <xdr:pic>
      <xdr:nvPicPr>
        <xdr:cNvPr id="2"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 y="38100"/>
          <a:ext cx="679323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22860</xdr:colOff>
      <xdr:row>0</xdr:row>
      <xdr:rowOff>38100</xdr:rowOff>
    </xdr:from>
    <xdr:to>
      <xdr:col>9</xdr:col>
      <xdr:colOff>331470</xdr:colOff>
      <xdr:row>0</xdr:row>
      <xdr:rowOff>609600</xdr:rowOff>
    </xdr:to>
    <xdr:pic>
      <xdr:nvPicPr>
        <xdr:cNvPr id="2"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 y="38100"/>
          <a:ext cx="6793230"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tskecc\AppData\Local\Microsoft\Windows\INetCache\Content.Outlook\S2ZHE29H\LTBT-electrical-DCI%20-EMS2%20(00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VGS\Projects\ECC%20Dwarka\Deliveries%20by%20Contractors\EPC\DCI\20180504\DMICDC-ELV_DCI_02.05.201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 set"/>
      <sheetName val="DCI"/>
      <sheetName val="Formulas"/>
    </sheetNames>
    <sheetDataSet>
      <sheetData sheetId="0"/>
      <sheetData sheetId="1"/>
      <sheetData sheetId="2">
        <row r="1">
          <cell r="V1" t="str">
            <v>SD ID</v>
          </cell>
          <cell r="X1" t="str">
            <v>SD SET</v>
          </cell>
          <cell r="Z1" t="str">
            <v>DD1 ID</v>
          </cell>
          <cell r="AB1" t="str">
            <v>DD1 SET</v>
          </cell>
        </row>
        <row r="2">
          <cell r="V2">
            <v>1</v>
          </cell>
          <cell r="Z2">
            <v>1</v>
          </cell>
        </row>
        <row r="3">
          <cell r="V3">
            <v>2</v>
          </cell>
          <cell r="Z3">
            <v>2</v>
          </cell>
        </row>
        <row r="4">
          <cell r="V4">
            <v>3</v>
          </cell>
          <cell r="Z4">
            <v>3</v>
          </cell>
        </row>
        <row r="5">
          <cell r="V5">
            <v>4</v>
          </cell>
          <cell r="Z5">
            <v>4</v>
          </cell>
        </row>
        <row r="6">
          <cell r="V6">
            <v>5</v>
          </cell>
          <cell r="Z6">
            <v>5</v>
          </cell>
        </row>
        <row r="7">
          <cell r="V7">
            <v>6</v>
          </cell>
          <cell r="Z7">
            <v>6</v>
          </cell>
        </row>
        <row r="8">
          <cell r="V8">
            <v>7</v>
          </cell>
          <cell r="Z8">
            <v>7</v>
          </cell>
        </row>
        <row r="9">
          <cell r="V9">
            <v>8</v>
          </cell>
          <cell r="Z9">
            <v>8</v>
          </cell>
        </row>
        <row r="10">
          <cell r="V10">
            <v>0</v>
          </cell>
          <cell r="Z10">
            <v>0</v>
          </cell>
        </row>
        <row r="11">
          <cell r="V11">
            <v>0</v>
          </cell>
          <cell r="Z11">
            <v>0</v>
          </cell>
        </row>
        <row r="12">
          <cell r="V12">
            <v>0</v>
          </cell>
          <cell r="Z12">
            <v>0</v>
          </cell>
        </row>
        <row r="13">
          <cell r="V13">
            <v>0</v>
          </cell>
          <cell r="Z13">
            <v>0</v>
          </cell>
        </row>
        <row r="14">
          <cell r="V14">
            <v>0</v>
          </cell>
          <cell r="Z14">
            <v>0</v>
          </cell>
        </row>
        <row r="15">
          <cell r="V15">
            <v>0</v>
          </cell>
          <cell r="Z15">
            <v>0</v>
          </cell>
        </row>
        <row r="16">
          <cell r="V16">
            <v>0</v>
          </cell>
          <cell r="Z16">
            <v>0</v>
          </cell>
        </row>
        <row r="17">
          <cell r="V17">
            <v>0</v>
          </cell>
          <cell r="Z17">
            <v>0</v>
          </cell>
        </row>
        <row r="18">
          <cell r="V18">
            <v>0</v>
          </cell>
          <cell r="Z18">
            <v>0</v>
          </cell>
        </row>
        <row r="19">
          <cell r="V19">
            <v>0</v>
          </cell>
          <cell r="Z19">
            <v>0</v>
          </cell>
        </row>
        <row r="20">
          <cell r="V20">
            <v>0</v>
          </cell>
          <cell r="Z20">
            <v>0</v>
          </cell>
        </row>
        <row r="21">
          <cell r="V21">
            <v>0</v>
          </cell>
          <cell r="Z21">
            <v>0</v>
          </cell>
        </row>
        <row r="22">
          <cell r="V22">
            <v>0</v>
          </cell>
          <cell r="Z22">
            <v>0</v>
          </cell>
        </row>
        <row r="23">
          <cell r="V23">
            <v>0</v>
          </cell>
          <cell r="Z23">
            <v>0</v>
          </cell>
        </row>
        <row r="24">
          <cell r="V24">
            <v>0</v>
          </cell>
          <cell r="Z24">
            <v>0</v>
          </cell>
        </row>
        <row r="25">
          <cell r="V25">
            <v>0</v>
          </cell>
          <cell r="Z25">
            <v>0</v>
          </cell>
        </row>
        <row r="26">
          <cell r="V26">
            <v>0</v>
          </cell>
          <cell r="Z26">
            <v>0</v>
          </cell>
        </row>
        <row r="27">
          <cell r="V27">
            <v>0</v>
          </cell>
          <cell r="Z27">
            <v>0</v>
          </cell>
        </row>
        <row r="28">
          <cell r="V28">
            <v>0</v>
          </cell>
          <cell r="Z28">
            <v>0</v>
          </cell>
        </row>
        <row r="29">
          <cell r="V29">
            <v>0</v>
          </cell>
          <cell r="Z29">
            <v>0</v>
          </cell>
        </row>
        <row r="30">
          <cell r="V30">
            <v>0</v>
          </cell>
          <cell r="Z30">
            <v>0</v>
          </cell>
        </row>
        <row r="31">
          <cell r="V31">
            <v>0</v>
          </cell>
          <cell r="Z31">
            <v>0</v>
          </cell>
        </row>
        <row r="32">
          <cell r="V32">
            <v>0</v>
          </cell>
          <cell r="Z32">
            <v>0</v>
          </cell>
        </row>
        <row r="33">
          <cell r="V33">
            <v>0</v>
          </cell>
          <cell r="Z33">
            <v>0</v>
          </cell>
        </row>
        <row r="34">
          <cell r="V34">
            <v>0</v>
          </cell>
          <cell r="Z34">
            <v>0</v>
          </cell>
        </row>
        <row r="35">
          <cell r="V35">
            <v>0</v>
          </cell>
          <cell r="Z35">
            <v>0</v>
          </cell>
        </row>
        <row r="36">
          <cell r="V36">
            <v>0</v>
          </cell>
          <cell r="Z36">
            <v>0</v>
          </cell>
        </row>
        <row r="37">
          <cell r="V37">
            <v>0</v>
          </cell>
          <cell r="Z37">
            <v>0</v>
          </cell>
        </row>
        <row r="38">
          <cell r="V38">
            <v>0</v>
          </cell>
          <cell r="Z38">
            <v>0</v>
          </cell>
        </row>
        <row r="39">
          <cell r="V39">
            <v>0</v>
          </cell>
          <cell r="Z39">
            <v>0</v>
          </cell>
        </row>
        <row r="40">
          <cell r="V40">
            <v>0</v>
          </cell>
          <cell r="Z40">
            <v>0</v>
          </cell>
        </row>
        <row r="41">
          <cell r="V41">
            <v>0</v>
          </cell>
          <cell r="Z41">
            <v>0</v>
          </cell>
        </row>
        <row r="42">
          <cell r="V42">
            <v>0</v>
          </cell>
          <cell r="Z42">
            <v>0</v>
          </cell>
        </row>
        <row r="43">
          <cell r="V43">
            <v>0</v>
          </cell>
          <cell r="Z43">
            <v>0</v>
          </cell>
        </row>
        <row r="44">
          <cell r="V44">
            <v>0</v>
          </cell>
          <cell r="Z44">
            <v>0</v>
          </cell>
        </row>
        <row r="45">
          <cell r="V45">
            <v>0</v>
          </cell>
          <cell r="Z45">
            <v>0</v>
          </cell>
        </row>
        <row r="46">
          <cell r="V46">
            <v>0</v>
          </cell>
          <cell r="Z46">
            <v>0</v>
          </cell>
        </row>
        <row r="47">
          <cell r="V47">
            <v>0</v>
          </cell>
          <cell r="Z47">
            <v>0</v>
          </cell>
        </row>
        <row r="48">
          <cell r="V48">
            <v>0</v>
          </cell>
          <cell r="Z48">
            <v>0</v>
          </cell>
        </row>
        <row r="49">
          <cell r="V49">
            <v>0</v>
          </cell>
          <cell r="Z49">
            <v>0</v>
          </cell>
        </row>
        <row r="50">
          <cell r="V50">
            <v>0</v>
          </cell>
          <cell r="Z50">
            <v>0</v>
          </cell>
        </row>
        <row r="51">
          <cell r="V51">
            <v>0</v>
          </cell>
          <cell r="Z51">
            <v>0</v>
          </cell>
        </row>
        <row r="52">
          <cell r="V52">
            <v>0</v>
          </cell>
          <cell r="Z52">
            <v>0</v>
          </cell>
        </row>
        <row r="53">
          <cell r="V53">
            <v>0</v>
          </cell>
          <cell r="Z53">
            <v>0</v>
          </cell>
        </row>
        <row r="54">
          <cell r="V54">
            <v>0</v>
          </cell>
          <cell r="Z54">
            <v>0</v>
          </cell>
        </row>
        <row r="55">
          <cell r="V55">
            <v>0</v>
          </cell>
          <cell r="Z55">
            <v>0</v>
          </cell>
        </row>
        <row r="56">
          <cell r="V56">
            <v>0</v>
          </cell>
          <cell r="Z56">
            <v>0</v>
          </cell>
        </row>
        <row r="57">
          <cell r="V57">
            <v>0</v>
          </cell>
          <cell r="Z57">
            <v>0</v>
          </cell>
        </row>
        <row r="58">
          <cell r="V58">
            <v>0</v>
          </cell>
          <cell r="Z58">
            <v>0</v>
          </cell>
        </row>
        <row r="59">
          <cell r="V59">
            <v>0</v>
          </cell>
          <cell r="Z59">
            <v>0</v>
          </cell>
        </row>
        <row r="60">
          <cell r="V60">
            <v>0</v>
          </cell>
          <cell r="Z60">
            <v>0</v>
          </cell>
        </row>
        <row r="61">
          <cell r="V61">
            <v>0</v>
          </cell>
          <cell r="Z61">
            <v>0</v>
          </cell>
        </row>
        <row r="62">
          <cell r="V62">
            <v>0</v>
          </cell>
          <cell r="Z62">
            <v>0</v>
          </cell>
        </row>
        <row r="63">
          <cell r="V63">
            <v>0</v>
          </cell>
          <cell r="Z63">
            <v>0</v>
          </cell>
        </row>
        <row r="64">
          <cell r="V64">
            <v>0</v>
          </cell>
          <cell r="Z64">
            <v>0</v>
          </cell>
        </row>
        <row r="65">
          <cell r="V65">
            <v>0</v>
          </cell>
          <cell r="Z65">
            <v>0</v>
          </cell>
        </row>
        <row r="66">
          <cell r="V66">
            <v>0</v>
          </cell>
          <cell r="Z66">
            <v>0</v>
          </cell>
        </row>
        <row r="67">
          <cell r="V67">
            <v>0</v>
          </cell>
          <cell r="Z67">
            <v>0</v>
          </cell>
        </row>
        <row r="68">
          <cell r="V68">
            <v>0</v>
          </cell>
          <cell r="Z68">
            <v>0</v>
          </cell>
        </row>
        <row r="69">
          <cell r="V69">
            <v>0</v>
          </cell>
          <cell r="Z69">
            <v>0</v>
          </cell>
        </row>
        <row r="70">
          <cell r="V70">
            <v>0</v>
          </cell>
          <cell r="Z70">
            <v>0</v>
          </cell>
        </row>
        <row r="71">
          <cell r="V71">
            <v>0</v>
          </cell>
          <cell r="Z71">
            <v>0</v>
          </cell>
        </row>
        <row r="72">
          <cell r="V72">
            <v>0</v>
          </cell>
          <cell r="Z72">
            <v>0</v>
          </cell>
        </row>
        <row r="73">
          <cell r="V73">
            <v>0</v>
          </cell>
          <cell r="Z73">
            <v>0</v>
          </cell>
        </row>
        <row r="74">
          <cell r="V74">
            <v>0</v>
          </cell>
          <cell r="Z74">
            <v>0</v>
          </cell>
        </row>
        <row r="75">
          <cell r="V75">
            <v>0</v>
          </cell>
          <cell r="Z75">
            <v>0</v>
          </cell>
        </row>
        <row r="76">
          <cell r="V76">
            <v>0</v>
          </cell>
          <cell r="Z76">
            <v>0</v>
          </cell>
        </row>
        <row r="77">
          <cell r="V77">
            <v>0</v>
          </cell>
          <cell r="Z77">
            <v>0</v>
          </cell>
        </row>
        <row r="78">
          <cell r="V78">
            <v>0</v>
          </cell>
          <cell r="Z78">
            <v>0</v>
          </cell>
        </row>
        <row r="79">
          <cell r="V79">
            <v>0</v>
          </cell>
          <cell r="Z79">
            <v>0</v>
          </cell>
        </row>
        <row r="80">
          <cell r="V80">
            <v>0</v>
          </cell>
          <cell r="Z80">
            <v>0</v>
          </cell>
        </row>
        <row r="81">
          <cell r="V81">
            <v>0</v>
          </cell>
          <cell r="Z81">
            <v>0</v>
          </cell>
        </row>
        <row r="82">
          <cell r="V82">
            <v>0</v>
          </cell>
          <cell r="Z82">
            <v>0</v>
          </cell>
        </row>
        <row r="83">
          <cell r="V83">
            <v>0</v>
          </cell>
          <cell r="Z83">
            <v>0</v>
          </cell>
        </row>
        <row r="84">
          <cell r="V84">
            <v>0</v>
          </cell>
          <cell r="Z84">
            <v>0</v>
          </cell>
        </row>
        <row r="85">
          <cell r="V85">
            <v>0</v>
          </cell>
          <cell r="Z85">
            <v>0</v>
          </cell>
        </row>
        <row r="86">
          <cell r="V86">
            <v>0</v>
          </cell>
          <cell r="Z86">
            <v>0</v>
          </cell>
        </row>
        <row r="87">
          <cell r="V87">
            <v>0</v>
          </cell>
          <cell r="Z87">
            <v>0</v>
          </cell>
        </row>
        <row r="88">
          <cell r="V88">
            <v>0</v>
          </cell>
          <cell r="Z88">
            <v>0</v>
          </cell>
        </row>
        <row r="89">
          <cell r="V89">
            <v>0</v>
          </cell>
          <cell r="Z89">
            <v>0</v>
          </cell>
        </row>
        <row r="90">
          <cell r="V90">
            <v>0</v>
          </cell>
          <cell r="Z90">
            <v>0</v>
          </cell>
        </row>
        <row r="91">
          <cell r="V91">
            <v>0</v>
          </cell>
          <cell r="Z91">
            <v>0</v>
          </cell>
        </row>
        <row r="92">
          <cell r="V92">
            <v>0</v>
          </cell>
          <cell r="Z92">
            <v>0</v>
          </cell>
        </row>
        <row r="93">
          <cell r="V93">
            <v>0</v>
          </cell>
          <cell r="Z93">
            <v>0</v>
          </cell>
        </row>
        <row r="94">
          <cell r="V94">
            <v>0</v>
          </cell>
          <cell r="Z94">
            <v>0</v>
          </cell>
        </row>
        <row r="95">
          <cell r="V95">
            <v>0</v>
          </cell>
          <cell r="Z95">
            <v>0</v>
          </cell>
        </row>
        <row r="96">
          <cell r="V96">
            <v>0</v>
          </cell>
          <cell r="Z96">
            <v>0</v>
          </cell>
        </row>
        <row r="97">
          <cell r="V97">
            <v>0</v>
          </cell>
          <cell r="Z97">
            <v>0</v>
          </cell>
        </row>
        <row r="98">
          <cell r="V98">
            <v>0</v>
          </cell>
          <cell r="Z98">
            <v>0</v>
          </cell>
        </row>
        <row r="99">
          <cell r="V99">
            <v>0</v>
          </cell>
          <cell r="Z99">
            <v>0</v>
          </cell>
        </row>
        <row r="100">
          <cell r="V100">
            <v>0</v>
          </cell>
          <cell r="Z100">
            <v>0</v>
          </cell>
        </row>
        <row r="101">
          <cell r="V101">
            <v>0</v>
          </cell>
          <cell r="Z101">
            <v>0</v>
          </cell>
        </row>
        <row r="102">
          <cell r="V102">
            <v>0</v>
          </cell>
          <cell r="Z102">
            <v>0</v>
          </cell>
        </row>
        <row r="103">
          <cell r="V103">
            <v>0</v>
          </cell>
          <cell r="Z103">
            <v>0</v>
          </cell>
        </row>
        <row r="104">
          <cell r="V104">
            <v>0</v>
          </cell>
          <cell r="Z104">
            <v>0</v>
          </cell>
        </row>
        <row r="105">
          <cell r="V105">
            <v>0</v>
          </cell>
          <cell r="Z105">
            <v>0</v>
          </cell>
        </row>
        <row r="106">
          <cell r="V106">
            <v>0</v>
          </cell>
          <cell r="Z106">
            <v>0</v>
          </cell>
        </row>
        <row r="107">
          <cell r="V107">
            <v>0</v>
          </cell>
          <cell r="Z107">
            <v>0</v>
          </cell>
        </row>
        <row r="108">
          <cell r="V108">
            <v>0</v>
          </cell>
          <cell r="Z108">
            <v>0</v>
          </cell>
        </row>
        <row r="109">
          <cell r="V109">
            <v>0</v>
          </cell>
          <cell r="Z109">
            <v>0</v>
          </cell>
        </row>
        <row r="110">
          <cell r="V110">
            <v>0</v>
          </cell>
          <cell r="Z110">
            <v>0</v>
          </cell>
        </row>
        <row r="111">
          <cell r="V111">
            <v>0</v>
          </cell>
          <cell r="Z111">
            <v>0</v>
          </cell>
        </row>
        <row r="112">
          <cell r="V112">
            <v>0</v>
          </cell>
          <cell r="Z112">
            <v>0</v>
          </cell>
        </row>
        <row r="113">
          <cell r="V113">
            <v>0</v>
          </cell>
          <cell r="Z113">
            <v>0</v>
          </cell>
        </row>
        <row r="114">
          <cell r="V114">
            <v>0</v>
          </cell>
          <cell r="Z114">
            <v>0</v>
          </cell>
        </row>
        <row r="115">
          <cell r="V115">
            <v>0</v>
          </cell>
          <cell r="Z115">
            <v>0</v>
          </cell>
        </row>
        <row r="116">
          <cell r="V116">
            <v>0</v>
          </cell>
          <cell r="Z116">
            <v>0</v>
          </cell>
        </row>
        <row r="117">
          <cell r="V117">
            <v>0</v>
          </cell>
          <cell r="Z117">
            <v>0</v>
          </cell>
        </row>
        <row r="118">
          <cell r="V118">
            <v>0</v>
          </cell>
          <cell r="Z118">
            <v>0</v>
          </cell>
        </row>
        <row r="119">
          <cell r="V119">
            <v>0</v>
          </cell>
          <cell r="Z119">
            <v>0</v>
          </cell>
        </row>
        <row r="120">
          <cell r="V120">
            <v>0</v>
          </cell>
          <cell r="Z120">
            <v>0</v>
          </cell>
        </row>
        <row r="121">
          <cell r="V121">
            <v>0</v>
          </cell>
          <cell r="Z121">
            <v>0</v>
          </cell>
        </row>
        <row r="122">
          <cell r="V122">
            <v>0</v>
          </cell>
          <cell r="Z122">
            <v>0</v>
          </cell>
        </row>
        <row r="123">
          <cell r="V123">
            <v>0</v>
          </cell>
          <cell r="Z123">
            <v>0</v>
          </cell>
        </row>
        <row r="124">
          <cell r="V124">
            <v>0</v>
          </cell>
          <cell r="Z124">
            <v>0</v>
          </cell>
        </row>
        <row r="125">
          <cell r="V125">
            <v>0</v>
          </cell>
          <cell r="Z125">
            <v>0</v>
          </cell>
        </row>
        <row r="126">
          <cell r="V126">
            <v>0</v>
          </cell>
          <cell r="Z126">
            <v>0</v>
          </cell>
        </row>
        <row r="127">
          <cell r="V127">
            <v>0</v>
          </cell>
          <cell r="Z127">
            <v>0</v>
          </cell>
        </row>
        <row r="128">
          <cell r="V128">
            <v>0</v>
          </cell>
          <cell r="Z128">
            <v>0</v>
          </cell>
        </row>
        <row r="129">
          <cell r="V129">
            <v>0</v>
          </cell>
          <cell r="Z129">
            <v>0</v>
          </cell>
        </row>
        <row r="130">
          <cell r="V130">
            <v>0</v>
          </cell>
          <cell r="Z130">
            <v>0</v>
          </cell>
        </row>
        <row r="131">
          <cell r="V131">
            <v>0</v>
          </cell>
          <cell r="Z131">
            <v>0</v>
          </cell>
        </row>
        <row r="132">
          <cell r="V132">
            <v>0</v>
          </cell>
          <cell r="Z132">
            <v>0</v>
          </cell>
        </row>
        <row r="133">
          <cell r="V133">
            <v>0</v>
          </cell>
          <cell r="Z133">
            <v>0</v>
          </cell>
        </row>
        <row r="134">
          <cell r="V134">
            <v>0</v>
          </cell>
          <cell r="Z134">
            <v>0</v>
          </cell>
        </row>
        <row r="135">
          <cell r="V135">
            <v>0</v>
          </cell>
          <cell r="Z135">
            <v>0</v>
          </cell>
        </row>
        <row r="136">
          <cell r="V136">
            <v>0</v>
          </cell>
          <cell r="Z136">
            <v>0</v>
          </cell>
        </row>
        <row r="137">
          <cell r="V137">
            <v>0</v>
          </cell>
          <cell r="Z137">
            <v>0</v>
          </cell>
        </row>
        <row r="138">
          <cell r="V138">
            <v>0</v>
          </cell>
          <cell r="Z138">
            <v>0</v>
          </cell>
        </row>
        <row r="139">
          <cell r="V139">
            <v>0</v>
          </cell>
          <cell r="Z139">
            <v>0</v>
          </cell>
        </row>
        <row r="140">
          <cell r="V140">
            <v>0</v>
          </cell>
          <cell r="Z140">
            <v>0</v>
          </cell>
        </row>
        <row r="141">
          <cell r="V141">
            <v>0</v>
          </cell>
          <cell r="Z141">
            <v>0</v>
          </cell>
        </row>
        <row r="142">
          <cell r="V142">
            <v>0</v>
          </cell>
          <cell r="Z142">
            <v>0</v>
          </cell>
        </row>
        <row r="143">
          <cell r="V143">
            <v>0</v>
          </cell>
          <cell r="Z143">
            <v>0</v>
          </cell>
        </row>
        <row r="144">
          <cell r="V144">
            <v>0</v>
          </cell>
          <cell r="Z144">
            <v>0</v>
          </cell>
        </row>
        <row r="145">
          <cell r="V145">
            <v>0</v>
          </cell>
          <cell r="Z145">
            <v>0</v>
          </cell>
        </row>
        <row r="146">
          <cell r="V146">
            <v>0</v>
          </cell>
          <cell r="Z146">
            <v>0</v>
          </cell>
        </row>
        <row r="147">
          <cell r="V147">
            <v>0</v>
          </cell>
          <cell r="Z147">
            <v>0</v>
          </cell>
        </row>
        <row r="148">
          <cell r="V148">
            <v>0</v>
          </cell>
          <cell r="Z148">
            <v>0</v>
          </cell>
        </row>
        <row r="149">
          <cell r="V149">
            <v>0</v>
          </cell>
          <cell r="Z149">
            <v>0</v>
          </cell>
        </row>
        <row r="150">
          <cell r="V150">
            <v>0</v>
          </cell>
          <cell r="Z150">
            <v>0</v>
          </cell>
        </row>
        <row r="151">
          <cell r="V151">
            <v>0</v>
          </cell>
          <cell r="Z151">
            <v>0</v>
          </cell>
        </row>
        <row r="152">
          <cell r="V152">
            <v>0</v>
          </cell>
          <cell r="Z152">
            <v>0</v>
          </cell>
        </row>
        <row r="153">
          <cell r="V153">
            <v>0</v>
          </cell>
          <cell r="Z153">
            <v>0</v>
          </cell>
        </row>
        <row r="154">
          <cell r="V154">
            <v>0</v>
          </cell>
          <cell r="Z154">
            <v>0</v>
          </cell>
        </row>
        <row r="155">
          <cell r="V155">
            <v>0</v>
          </cell>
          <cell r="Z155">
            <v>0</v>
          </cell>
        </row>
        <row r="156">
          <cell r="V156">
            <v>0</v>
          </cell>
          <cell r="Z156">
            <v>0</v>
          </cell>
        </row>
        <row r="157">
          <cell r="V157">
            <v>0</v>
          </cell>
          <cell r="Z157">
            <v>0</v>
          </cell>
        </row>
        <row r="158">
          <cell r="V158">
            <v>0</v>
          </cell>
          <cell r="Z158">
            <v>0</v>
          </cell>
        </row>
        <row r="159">
          <cell r="V159">
            <v>0</v>
          </cell>
          <cell r="Z159">
            <v>0</v>
          </cell>
        </row>
        <row r="160">
          <cell r="V160">
            <v>0</v>
          </cell>
          <cell r="Z160">
            <v>0</v>
          </cell>
        </row>
        <row r="161">
          <cell r="V161">
            <v>0</v>
          </cell>
          <cell r="Z161">
            <v>0</v>
          </cell>
        </row>
        <row r="162">
          <cell r="V162">
            <v>0</v>
          </cell>
          <cell r="Z162">
            <v>0</v>
          </cell>
        </row>
        <row r="163">
          <cell r="V163">
            <v>0</v>
          </cell>
          <cell r="Z163">
            <v>0</v>
          </cell>
        </row>
        <row r="164">
          <cell r="V164">
            <v>0</v>
          </cell>
          <cell r="Z164">
            <v>0</v>
          </cell>
        </row>
        <row r="165">
          <cell r="V165">
            <v>0</v>
          </cell>
          <cell r="Z165">
            <v>0</v>
          </cell>
        </row>
        <row r="166">
          <cell r="V166">
            <v>0</v>
          </cell>
          <cell r="Z166">
            <v>0</v>
          </cell>
        </row>
        <row r="167">
          <cell r="V167">
            <v>0</v>
          </cell>
          <cell r="Z167">
            <v>0</v>
          </cell>
        </row>
        <row r="168">
          <cell r="V168">
            <v>0</v>
          </cell>
          <cell r="Z168">
            <v>0</v>
          </cell>
        </row>
        <row r="169">
          <cell r="V169">
            <v>0</v>
          </cell>
          <cell r="Z169">
            <v>0</v>
          </cell>
        </row>
        <row r="170">
          <cell r="V170">
            <v>0</v>
          </cell>
          <cell r="Z170">
            <v>0</v>
          </cell>
        </row>
        <row r="171">
          <cell r="V171">
            <v>0</v>
          </cell>
          <cell r="Z171">
            <v>0</v>
          </cell>
        </row>
        <row r="172">
          <cell r="V172">
            <v>0</v>
          </cell>
          <cell r="Z172">
            <v>0</v>
          </cell>
        </row>
        <row r="173">
          <cell r="V173">
            <v>0</v>
          </cell>
          <cell r="Z173">
            <v>0</v>
          </cell>
        </row>
        <row r="174">
          <cell r="V174">
            <v>0</v>
          </cell>
          <cell r="Z174">
            <v>0</v>
          </cell>
        </row>
        <row r="175">
          <cell r="V175">
            <v>0</v>
          </cell>
          <cell r="Z175">
            <v>0</v>
          </cell>
        </row>
        <row r="176">
          <cell r="V176">
            <v>0</v>
          </cell>
          <cell r="Z176">
            <v>0</v>
          </cell>
        </row>
        <row r="177">
          <cell r="V177">
            <v>0</v>
          </cell>
          <cell r="Z177">
            <v>0</v>
          </cell>
        </row>
        <row r="178">
          <cell r="V178">
            <v>0</v>
          </cell>
          <cell r="Z178">
            <v>0</v>
          </cell>
        </row>
        <row r="179">
          <cell r="V179">
            <v>0</v>
          </cell>
          <cell r="Z179">
            <v>0</v>
          </cell>
        </row>
        <row r="180">
          <cell r="V180">
            <v>0</v>
          </cell>
          <cell r="Z180">
            <v>0</v>
          </cell>
        </row>
        <row r="181">
          <cell r="V181">
            <v>0</v>
          </cell>
          <cell r="Z181">
            <v>0</v>
          </cell>
        </row>
        <row r="182">
          <cell r="V182">
            <v>0</v>
          </cell>
          <cell r="Z182">
            <v>0</v>
          </cell>
        </row>
        <row r="183">
          <cell r="V183">
            <v>0</v>
          </cell>
          <cell r="Z183">
            <v>0</v>
          </cell>
        </row>
        <row r="184">
          <cell r="V184">
            <v>0</v>
          </cell>
          <cell r="Z184">
            <v>0</v>
          </cell>
        </row>
        <row r="185">
          <cell r="V185">
            <v>0</v>
          </cell>
          <cell r="Z185">
            <v>0</v>
          </cell>
        </row>
        <row r="186">
          <cell r="V186">
            <v>0</v>
          </cell>
          <cell r="Z186">
            <v>0</v>
          </cell>
        </row>
        <row r="187">
          <cell r="V187">
            <v>0</v>
          </cell>
          <cell r="Z187">
            <v>0</v>
          </cell>
        </row>
        <row r="188">
          <cell r="V188">
            <v>0</v>
          </cell>
          <cell r="Z188">
            <v>0</v>
          </cell>
        </row>
        <row r="189">
          <cell r="V189">
            <v>0</v>
          </cell>
          <cell r="Z189">
            <v>0</v>
          </cell>
        </row>
        <row r="190">
          <cell r="V190">
            <v>0</v>
          </cell>
          <cell r="Z190">
            <v>0</v>
          </cell>
        </row>
        <row r="191">
          <cell r="V191">
            <v>0</v>
          </cell>
          <cell r="Z191">
            <v>0</v>
          </cell>
        </row>
        <row r="192">
          <cell r="V192">
            <v>0</v>
          </cell>
          <cell r="Z192">
            <v>0</v>
          </cell>
        </row>
        <row r="193">
          <cell r="V193">
            <v>0</v>
          </cell>
          <cell r="Z193">
            <v>0</v>
          </cell>
        </row>
        <row r="194">
          <cell r="V194">
            <v>0</v>
          </cell>
          <cell r="Z194">
            <v>0</v>
          </cell>
        </row>
        <row r="195">
          <cell r="V195">
            <v>0</v>
          </cell>
          <cell r="Z195">
            <v>0</v>
          </cell>
        </row>
        <row r="196">
          <cell r="V196">
            <v>0</v>
          </cell>
          <cell r="Z196">
            <v>0</v>
          </cell>
        </row>
        <row r="197">
          <cell r="V197">
            <v>0</v>
          </cell>
          <cell r="Z197">
            <v>0</v>
          </cell>
        </row>
        <row r="198">
          <cell r="V198">
            <v>0</v>
          </cell>
          <cell r="Z198">
            <v>0</v>
          </cell>
        </row>
        <row r="199">
          <cell r="V199">
            <v>0</v>
          </cell>
          <cell r="Z199">
            <v>0</v>
          </cell>
        </row>
        <row r="200">
          <cell r="V200">
            <v>0</v>
          </cell>
          <cell r="Z200">
            <v>0</v>
          </cell>
        </row>
        <row r="201">
          <cell r="V201">
            <v>0</v>
          </cell>
          <cell r="Z201">
            <v>0</v>
          </cell>
        </row>
        <row r="202">
          <cell r="V202">
            <v>0</v>
          </cell>
          <cell r="Z202">
            <v>0</v>
          </cell>
        </row>
        <row r="203">
          <cell r="V203">
            <v>0</v>
          </cell>
          <cell r="Z203">
            <v>0</v>
          </cell>
        </row>
        <row r="204">
          <cell r="V204">
            <v>0</v>
          </cell>
          <cell r="Z204">
            <v>0</v>
          </cell>
        </row>
        <row r="205">
          <cell r="V205">
            <v>0</v>
          </cell>
          <cell r="Z205">
            <v>0</v>
          </cell>
        </row>
        <row r="206">
          <cell r="V206">
            <v>0</v>
          </cell>
          <cell r="Z206">
            <v>0</v>
          </cell>
        </row>
        <row r="207">
          <cell r="V207">
            <v>0</v>
          </cell>
          <cell r="Z207">
            <v>0</v>
          </cell>
        </row>
        <row r="208">
          <cell r="V208">
            <v>0</v>
          </cell>
          <cell r="Z208">
            <v>0</v>
          </cell>
        </row>
        <row r="209">
          <cell r="V209">
            <v>0</v>
          </cell>
          <cell r="Z209">
            <v>0</v>
          </cell>
        </row>
        <row r="210">
          <cell r="V210">
            <v>0</v>
          </cell>
          <cell r="Z210">
            <v>0</v>
          </cell>
        </row>
        <row r="211">
          <cell r="V211">
            <v>0</v>
          </cell>
          <cell r="Z211">
            <v>0</v>
          </cell>
        </row>
        <row r="212">
          <cell r="V212">
            <v>0</v>
          </cell>
          <cell r="Z212">
            <v>0</v>
          </cell>
        </row>
        <row r="213">
          <cell r="V213">
            <v>0</v>
          </cell>
          <cell r="Z213">
            <v>0</v>
          </cell>
        </row>
        <row r="214">
          <cell r="V214">
            <v>0</v>
          </cell>
          <cell r="Z214">
            <v>0</v>
          </cell>
        </row>
        <row r="215">
          <cell r="V215">
            <v>0</v>
          </cell>
          <cell r="Z215">
            <v>0</v>
          </cell>
        </row>
        <row r="216">
          <cell r="V216">
            <v>0</v>
          </cell>
          <cell r="Z216">
            <v>0</v>
          </cell>
        </row>
        <row r="217">
          <cell r="V217">
            <v>0</v>
          </cell>
          <cell r="Z217">
            <v>0</v>
          </cell>
        </row>
        <row r="218">
          <cell r="V218">
            <v>0</v>
          </cell>
          <cell r="Z218">
            <v>0</v>
          </cell>
        </row>
        <row r="219">
          <cell r="V219">
            <v>0</v>
          </cell>
          <cell r="Z219">
            <v>0</v>
          </cell>
        </row>
        <row r="220">
          <cell r="V220">
            <v>0</v>
          </cell>
          <cell r="Z220">
            <v>0</v>
          </cell>
        </row>
        <row r="221">
          <cell r="V221">
            <v>0</v>
          </cell>
          <cell r="Z221">
            <v>0</v>
          </cell>
        </row>
        <row r="222">
          <cell r="V222">
            <v>0</v>
          </cell>
          <cell r="Z222">
            <v>0</v>
          </cell>
        </row>
        <row r="223">
          <cell r="V223">
            <v>0</v>
          </cell>
          <cell r="Z223">
            <v>0</v>
          </cell>
        </row>
        <row r="224">
          <cell r="V224">
            <v>0</v>
          </cell>
          <cell r="Z224">
            <v>0</v>
          </cell>
        </row>
        <row r="225">
          <cell r="V225">
            <v>0</v>
          </cell>
          <cell r="Z225">
            <v>0</v>
          </cell>
        </row>
        <row r="226">
          <cell r="V226">
            <v>0</v>
          </cell>
          <cell r="Z226">
            <v>0</v>
          </cell>
        </row>
        <row r="227">
          <cell r="V227">
            <v>0</v>
          </cell>
          <cell r="Z227">
            <v>0</v>
          </cell>
        </row>
        <row r="228">
          <cell r="V228">
            <v>0</v>
          </cell>
          <cell r="Z228">
            <v>0</v>
          </cell>
        </row>
        <row r="229">
          <cell r="V229">
            <v>0</v>
          </cell>
          <cell r="Z229">
            <v>0</v>
          </cell>
        </row>
        <row r="230">
          <cell r="V230">
            <v>0</v>
          </cell>
          <cell r="Z230">
            <v>0</v>
          </cell>
        </row>
        <row r="231">
          <cell r="V231">
            <v>0</v>
          </cell>
          <cell r="Z231">
            <v>0</v>
          </cell>
        </row>
        <row r="232">
          <cell r="V232">
            <v>0</v>
          </cell>
          <cell r="Z232">
            <v>0</v>
          </cell>
        </row>
        <row r="233">
          <cell r="V233">
            <v>0</v>
          </cell>
          <cell r="Z233">
            <v>0</v>
          </cell>
        </row>
        <row r="234">
          <cell r="V234">
            <v>0</v>
          </cell>
          <cell r="Z234">
            <v>0</v>
          </cell>
        </row>
        <row r="235">
          <cell r="V235">
            <v>0</v>
          </cell>
          <cell r="Z235">
            <v>0</v>
          </cell>
        </row>
        <row r="236">
          <cell r="V236">
            <v>0</v>
          </cell>
          <cell r="Z236">
            <v>0</v>
          </cell>
        </row>
        <row r="237">
          <cell r="V237">
            <v>0</v>
          </cell>
          <cell r="Z237">
            <v>0</v>
          </cell>
        </row>
        <row r="238">
          <cell r="V238">
            <v>0</v>
          </cell>
          <cell r="Z238">
            <v>0</v>
          </cell>
        </row>
        <row r="239">
          <cell r="V239">
            <v>0</v>
          </cell>
          <cell r="Z239">
            <v>0</v>
          </cell>
        </row>
        <row r="240">
          <cell r="V240">
            <v>0</v>
          </cell>
          <cell r="Z240">
            <v>0</v>
          </cell>
        </row>
        <row r="241">
          <cell r="V241">
            <v>0</v>
          </cell>
          <cell r="Z241">
            <v>0</v>
          </cell>
        </row>
        <row r="242">
          <cell r="V242">
            <v>0</v>
          </cell>
          <cell r="Z242">
            <v>0</v>
          </cell>
        </row>
        <row r="243">
          <cell r="V243">
            <v>0</v>
          </cell>
          <cell r="Z243">
            <v>0</v>
          </cell>
        </row>
        <row r="244">
          <cell r="V244">
            <v>0</v>
          </cell>
          <cell r="Z244">
            <v>0</v>
          </cell>
        </row>
        <row r="245">
          <cell r="V245">
            <v>0</v>
          </cell>
          <cell r="Z245">
            <v>0</v>
          </cell>
        </row>
        <row r="246">
          <cell r="V246">
            <v>0</v>
          </cell>
          <cell r="Z246">
            <v>0</v>
          </cell>
        </row>
        <row r="247">
          <cell r="V247">
            <v>0</v>
          </cell>
          <cell r="Z247">
            <v>0</v>
          </cell>
        </row>
        <row r="248">
          <cell r="V248">
            <v>0</v>
          </cell>
          <cell r="Z248">
            <v>0</v>
          </cell>
        </row>
        <row r="249">
          <cell r="V249">
            <v>0</v>
          </cell>
          <cell r="Z249">
            <v>0</v>
          </cell>
        </row>
        <row r="250">
          <cell r="V250">
            <v>0</v>
          </cell>
          <cell r="Z250">
            <v>0</v>
          </cell>
        </row>
        <row r="251">
          <cell r="V251">
            <v>0</v>
          </cell>
          <cell r="Z251">
            <v>0</v>
          </cell>
        </row>
        <row r="252">
          <cell r="V252">
            <v>0</v>
          </cell>
          <cell r="Z252">
            <v>0</v>
          </cell>
        </row>
        <row r="253">
          <cell r="V253">
            <v>0</v>
          </cell>
          <cell r="Z253">
            <v>0</v>
          </cell>
        </row>
        <row r="254">
          <cell r="V254">
            <v>0</v>
          </cell>
          <cell r="Z254">
            <v>0</v>
          </cell>
        </row>
        <row r="255">
          <cell r="V255">
            <v>0</v>
          </cell>
          <cell r="Z255">
            <v>0</v>
          </cell>
        </row>
        <row r="256">
          <cell r="V256">
            <v>0</v>
          </cell>
          <cell r="Z256">
            <v>0</v>
          </cell>
        </row>
        <row r="257">
          <cell r="V257">
            <v>0</v>
          </cell>
          <cell r="Z257">
            <v>0</v>
          </cell>
        </row>
        <row r="258">
          <cell r="V258">
            <v>0</v>
          </cell>
          <cell r="Z258">
            <v>0</v>
          </cell>
        </row>
        <row r="259">
          <cell r="V259">
            <v>0</v>
          </cell>
          <cell r="Z259">
            <v>0</v>
          </cell>
        </row>
        <row r="260">
          <cell r="V260">
            <v>0</v>
          </cell>
          <cell r="Z260">
            <v>0</v>
          </cell>
        </row>
        <row r="261">
          <cell r="V261">
            <v>0</v>
          </cell>
          <cell r="Z261">
            <v>0</v>
          </cell>
        </row>
        <row r="262">
          <cell r="V262">
            <v>0</v>
          </cell>
          <cell r="Z262">
            <v>0</v>
          </cell>
        </row>
        <row r="263">
          <cell r="V263">
            <v>0</v>
          </cell>
          <cell r="Z263">
            <v>0</v>
          </cell>
        </row>
        <row r="264">
          <cell r="V264">
            <v>0</v>
          </cell>
          <cell r="Z264">
            <v>0</v>
          </cell>
        </row>
        <row r="265">
          <cell r="V265">
            <v>0</v>
          </cell>
          <cell r="Z265">
            <v>0</v>
          </cell>
        </row>
        <row r="266">
          <cell r="V266">
            <v>0</v>
          </cell>
          <cell r="Z266">
            <v>0</v>
          </cell>
        </row>
        <row r="267">
          <cell r="V267">
            <v>0</v>
          </cell>
          <cell r="Z267">
            <v>0</v>
          </cell>
        </row>
        <row r="268">
          <cell r="V268">
            <v>0</v>
          </cell>
          <cell r="Z268">
            <v>0</v>
          </cell>
        </row>
        <row r="269">
          <cell r="V269">
            <v>0</v>
          </cell>
          <cell r="Z269">
            <v>0</v>
          </cell>
        </row>
        <row r="270">
          <cell r="V270">
            <v>0</v>
          </cell>
          <cell r="Z270">
            <v>0</v>
          </cell>
        </row>
        <row r="271">
          <cell r="V271">
            <v>0</v>
          </cell>
          <cell r="Z271">
            <v>0</v>
          </cell>
        </row>
        <row r="272">
          <cell r="V272">
            <v>0</v>
          </cell>
          <cell r="Z272">
            <v>0</v>
          </cell>
        </row>
        <row r="273">
          <cell r="V273">
            <v>0</v>
          </cell>
          <cell r="Z273">
            <v>0</v>
          </cell>
        </row>
        <row r="274">
          <cell r="V274">
            <v>0</v>
          </cell>
          <cell r="Z274">
            <v>0</v>
          </cell>
        </row>
        <row r="275">
          <cell r="V275">
            <v>0</v>
          </cell>
          <cell r="Z275">
            <v>0</v>
          </cell>
        </row>
        <row r="276">
          <cell r="V276">
            <v>0</v>
          </cell>
          <cell r="Z276">
            <v>0</v>
          </cell>
        </row>
        <row r="277">
          <cell r="V277">
            <v>0</v>
          </cell>
          <cell r="Z277">
            <v>0</v>
          </cell>
        </row>
        <row r="278">
          <cell r="V278">
            <v>0</v>
          </cell>
          <cell r="Z278">
            <v>0</v>
          </cell>
        </row>
        <row r="279">
          <cell r="V279">
            <v>0</v>
          </cell>
          <cell r="Z279">
            <v>0</v>
          </cell>
        </row>
        <row r="280">
          <cell r="V280">
            <v>0</v>
          </cell>
          <cell r="Z280">
            <v>0</v>
          </cell>
        </row>
        <row r="281">
          <cell r="V281">
            <v>0</v>
          </cell>
          <cell r="Z281">
            <v>0</v>
          </cell>
        </row>
        <row r="282">
          <cell r="V282">
            <v>0</v>
          </cell>
          <cell r="Z282">
            <v>0</v>
          </cell>
        </row>
        <row r="283">
          <cell r="V283">
            <v>0</v>
          </cell>
          <cell r="Z283">
            <v>0</v>
          </cell>
        </row>
        <row r="284">
          <cell r="V284">
            <v>0</v>
          </cell>
          <cell r="Z284">
            <v>0</v>
          </cell>
        </row>
        <row r="285">
          <cell r="V285">
            <v>0</v>
          </cell>
          <cell r="Z285">
            <v>0</v>
          </cell>
        </row>
        <row r="286">
          <cell r="V286">
            <v>0</v>
          </cell>
          <cell r="Z286">
            <v>0</v>
          </cell>
        </row>
        <row r="287">
          <cell r="V287">
            <v>0</v>
          </cell>
          <cell r="Z287">
            <v>0</v>
          </cell>
        </row>
        <row r="288">
          <cell r="V288">
            <v>0</v>
          </cell>
          <cell r="Z288">
            <v>0</v>
          </cell>
        </row>
        <row r="289">
          <cell r="V289">
            <v>0</v>
          </cell>
          <cell r="Z289">
            <v>0</v>
          </cell>
        </row>
        <row r="290">
          <cell r="V290">
            <v>0</v>
          </cell>
          <cell r="Z290">
            <v>0</v>
          </cell>
        </row>
        <row r="291">
          <cell r="V291">
            <v>0</v>
          </cell>
          <cell r="Z291">
            <v>0</v>
          </cell>
        </row>
        <row r="292">
          <cell r="V292">
            <v>0</v>
          </cell>
          <cell r="Z292">
            <v>0</v>
          </cell>
        </row>
        <row r="293">
          <cell r="V293">
            <v>0</v>
          </cell>
          <cell r="Z293">
            <v>0</v>
          </cell>
        </row>
        <row r="294">
          <cell r="V294">
            <v>0</v>
          </cell>
          <cell r="Z294">
            <v>0</v>
          </cell>
        </row>
        <row r="295">
          <cell r="V295">
            <v>0</v>
          </cell>
          <cell r="Z295">
            <v>0</v>
          </cell>
        </row>
        <row r="296">
          <cell r="V296">
            <v>0</v>
          </cell>
          <cell r="Z296">
            <v>0</v>
          </cell>
        </row>
        <row r="297">
          <cell r="V297">
            <v>0</v>
          </cell>
          <cell r="Z297">
            <v>0</v>
          </cell>
        </row>
        <row r="298">
          <cell r="V298">
            <v>0</v>
          </cell>
          <cell r="Z298">
            <v>0</v>
          </cell>
        </row>
        <row r="299">
          <cell r="V299">
            <v>0</v>
          </cell>
          <cell r="Z299">
            <v>0</v>
          </cell>
        </row>
        <row r="300">
          <cell r="V300">
            <v>0</v>
          </cell>
          <cell r="Z300">
            <v>0</v>
          </cell>
        </row>
        <row r="301">
          <cell r="V301">
            <v>0</v>
          </cell>
          <cell r="Z301">
            <v>0</v>
          </cell>
        </row>
        <row r="302">
          <cell r="V302">
            <v>0</v>
          </cell>
          <cell r="Z302">
            <v>0</v>
          </cell>
        </row>
        <row r="303">
          <cell r="V303">
            <v>0</v>
          </cell>
          <cell r="Z303">
            <v>0</v>
          </cell>
        </row>
        <row r="304">
          <cell r="V304">
            <v>0</v>
          </cell>
          <cell r="Z304">
            <v>0</v>
          </cell>
        </row>
        <row r="305">
          <cell r="V305">
            <v>0</v>
          </cell>
          <cell r="Z305">
            <v>0</v>
          </cell>
        </row>
        <row r="306">
          <cell r="V306">
            <v>0</v>
          </cell>
          <cell r="Z306">
            <v>0</v>
          </cell>
        </row>
        <row r="307">
          <cell r="V307">
            <v>0</v>
          </cell>
          <cell r="Z307">
            <v>0</v>
          </cell>
        </row>
        <row r="308">
          <cell r="V308">
            <v>0</v>
          </cell>
          <cell r="Z308">
            <v>0</v>
          </cell>
        </row>
        <row r="309">
          <cell r="V309">
            <v>0</v>
          </cell>
          <cell r="Z309">
            <v>0</v>
          </cell>
        </row>
        <row r="310">
          <cell r="V310">
            <v>0</v>
          </cell>
          <cell r="Z310">
            <v>0</v>
          </cell>
        </row>
        <row r="311">
          <cell r="V311">
            <v>0</v>
          </cell>
          <cell r="Z311">
            <v>0</v>
          </cell>
        </row>
        <row r="312">
          <cell r="V312">
            <v>0</v>
          </cell>
          <cell r="Z312">
            <v>0</v>
          </cell>
        </row>
        <row r="313">
          <cell r="V313">
            <v>0</v>
          </cell>
          <cell r="Z313">
            <v>0</v>
          </cell>
        </row>
        <row r="314">
          <cell r="V314">
            <v>0</v>
          </cell>
          <cell r="Z314">
            <v>0</v>
          </cell>
        </row>
        <row r="315">
          <cell r="V315">
            <v>0</v>
          </cell>
          <cell r="Z315">
            <v>0</v>
          </cell>
        </row>
        <row r="316">
          <cell r="V316">
            <v>0</v>
          </cell>
          <cell r="Z316">
            <v>0</v>
          </cell>
        </row>
        <row r="317">
          <cell r="V317">
            <v>0</v>
          </cell>
          <cell r="Z317">
            <v>0</v>
          </cell>
        </row>
        <row r="318">
          <cell r="V318">
            <v>0</v>
          </cell>
          <cell r="Z318">
            <v>0</v>
          </cell>
        </row>
        <row r="319">
          <cell r="V319">
            <v>0</v>
          </cell>
          <cell r="Z319">
            <v>0</v>
          </cell>
        </row>
        <row r="320">
          <cell r="V320">
            <v>0</v>
          </cell>
          <cell r="Z320">
            <v>0</v>
          </cell>
        </row>
        <row r="321">
          <cell r="V321">
            <v>0</v>
          </cell>
          <cell r="Z321">
            <v>0</v>
          </cell>
        </row>
        <row r="322">
          <cell r="V322">
            <v>0</v>
          </cell>
          <cell r="Z322">
            <v>0</v>
          </cell>
        </row>
        <row r="323">
          <cell r="V323">
            <v>0</v>
          </cell>
          <cell r="Z323">
            <v>0</v>
          </cell>
        </row>
        <row r="324">
          <cell r="V324">
            <v>0</v>
          </cell>
          <cell r="Z324">
            <v>0</v>
          </cell>
        </row>
        <row r="325">
          <cell r="V325">
            <v>0</v>
          </cell>
          <cell r="Z325">
            <v>0</v>
          </cell>
        </row>
        <row r="326">
          <cell r="V326">
            <v>0</v>
          </cell>
          <cell r="Z326">
            <v>0</v>
          </cell>
        </row>
        <row r="327">
          <cell r="V327">
            <v>0</v>
          </cell>
          <cell r="Z327">
            <v>0</v>
          </cell>
        </row>
        <row r="328">
          <cell r="V328">
            <v>0</v>
          </cell>
          <cell r="Z328">
            <v>0</v>
          </cell>
        </row>
        <row r="329">
          <cell r="V329">
            <v>0</v>
          </cell>
          <cell r="Z329">
            <v>0</v>
          </cell>
        </row>
        <row r="330">
          <cell r="V330">
            <v>0</v>
          </cell>
          <cell r="Z330">
            <v>0</v>
          </cell>
        </row>
        <row r="331">
          <cell r="V331">
            <v>0</v>
          </cell>
          <cell r="Z331">
            <v>0</v>
          </cell>
        </row>
        <row r="332">
          <cell r="V332">
            <v>0</v>
          </cell>
          <cell r="Z332">
            <v>0</v>
          </cell>
        </row>
        <row r="333">
          <cell r="V333">
            <v>0</v>
          </cell>
          <cell r="Z333">
            <v>0</v>
          </cell>
        </row>
        <row r="334">
          <cell r="V334">
            <v>0</v>
          </cell>
          <cell r="Z334">
            <v>0</v>
          </cell>
        </row>
        <row r="335">
          <cell r="V335">
            <v>0</v>
          </cell>
          <cell r="Z335">
            <v>0</v>
          </cell>
        </row>
        <row r="336">
          <cell r="V336">
            <v>0</v>
          </cell>
          <cell r="Z336">
            <v>0</v>
          </cell>
        </row>
        <row r="337">
          <cell r="V337">
            <v>0</v>
          </cell>
          <cell r="Z337">
            <v>0</v>
          </cell>
        </row>
        <row r="338">
          <cell r="V338">
            <v>0</v>
          </cell>
          <cell r="Z338">
            <v>0</v>
          </cell>
        </row>
        <row r="339">
          <cell r="V339">
            <v>0</v>
          </cell>
          <cell r="Z339">
            <v>0</v>
          </cell>
        </row>
        <row r="340">
          <cell r="V340">
            <v>0</v>
          </cell>
          <cell r="Z340">
            <v>0</v>
          </cell>
        </row>
        <row r="341">
          <cell r="V341">
            <v>0</v>
          </cell>
          <cell r="Z341">
            <v>0</v>
          </cell>
        </row>
        <row r="342">
          <cell r="V342">
            <v>0</v>
          </cell>
          <cell r="Z342">
            <v>0</v>
          </cell>
        </row>
        <row r="343">
          <cell r="V343">
            <v>0</v>
          </cell>
          <cell r="Z343">
            <v>0</v>
          </cell>
        </row>
        <row r="344">
          <cell r="V344">
            <v>0</v>
          </cell>
          <cell r="Z344">
            <v>0</v>
          </cell>
        </row>
        <row r="345">
          <cell r="V345">
            <v>0</v>
          </cell>
          <cell r="Z345">
            <v>0</v>
          </cell>
        </row>
        <row r="346">
          <cell r="V346">
            <v>0</v>
          </cell>
          <cell r="Z346">
            <v>0</v>
          </cell>
        </row>
        <row r="347">
          <cell r="V347">
            <v>0</v>
          </cell>
          <cell r="Z347">
            <v>0</v>
          </cell>
        </row>
        <row r="348">
          <cell r="V348">
            <v>0</v>
          </cell>
          <cell r="Z348">
            <v>0</v>
          </cell>
        </row>
        <row r="349">
          <cell r="V349">
            <v>0</v>
          </cell>
          <cell r="Z349">
            <v>0</v>
          </cell>
        </row>
        <row r="350">
          <cell r="V350">
            <v>0</v>
          </cell>
          <cell r="Z350">
            <v>0</v>
          </cell>
        </row>
        <row r="351">
          <cell r="V351">
            <v>0</v>
          </cell>
          <cell r="Z351">
            <v>0</v>
          </cell>
        </row>
        <row r="352">
          <cell r="V352">
            <v>0</v>
          </cell>
          <cell r="Z352">
            <v>0</v>
          </cell>
        </row>
        <row r="353">
          <cell r="V353">
            <v>0</v>
          </cell>
          <cell r="Z353">
            <v>0</v>
          </cell>
        </row>
        <row r="354">
          <cell r="V354">
            <v>0</v>
          </cell>
          <cell r="Z354">
            <v>0</v>
          </cell>
        </row>
        <row r="355">
          <cell r="V355">
            <v>0</v>
          </cell>
          <cell r="Z355">
            <v>0</v>
          </cell>
        </row>
        <row r="356">
          <cell r="V356">
            <v>0</v>
          </cell>
          <cell r="Z356">
            <v>0</v>
          </cell>
        </row>
        <row r="357">
          <cell r="V357">
            <v>0</v>
          </cell>
          <cell r="Z357">
            <v>0</v>
          </cell>
        </row>
        <row r="358">
          <cell r="V358">
            <v>0</v>
          </cell>
          <cell r="Z358">
            <v>0</v>
          </cell>
        </row>
        <row r="359">
          <cell r="V359">
            <v>0</v>
          </cell>
          <cell r="Z359">
            <v>0</v>
          </cell>
        </row>
        <row r="360">
          <cell r="V360">
            <v>0</v>
          </cell>
          <cell r="Z360">
            <v>0</v>
          </cell>
        </row>
        <row r="361">
          <cell r="V361">
            <v>0</v>
          </cell>
          <cell r="Z361">
            <v>0</v>
          </cell>
        </row>
        <row r="362">
          <cell r="V362">
            <v>0</v>
          </cell>
          <cell r="Z362">
            <v>0</v>
          </cell>
        </row>
        <row r="363">
          <cell r="V363">
            <v>0</v>
          </cell>
          <cell r="Z363">
            <v>0</v>
          </cell>
        </row>
        <row r="364">
          <cell r="V364">
            <v>0</v>
          </cell>
          <cell r="Z364">
            <v>0</v>
          </cell>
        </row>
        <row r="365">
          <cell r="V365">
            <v>0</v>
          </cell>
          <cell r="Z365">
            <v>0</v>
          </cell>
        </row>
        <row r="366">
          <cell r="V366">
            <v>0</v>
          </cell>
          <cell r="Z366">
            <v>0</v>
          </cell>
        </row>
        <row r="367">
          <cell r="V367">
            <v>0</v>
          </cell>
          <cell r="Z367">
            <v>0</v>
          </cell>
        </row>
        <row r="368">
          <cell r="V368">
            <v>0</v>
          </cell>
          <cell r="Z368">
            <v>0</v>
          </cell>
        </row>
        <row r="369">
          <cell r="V369">
            <v>0</v>
          </cell>
          <cell r="Z369">
            <v>0</v>
          </cell>
        </row>
        <row r="370">
          <cell r="V370">
            <v>0</v>
          </cell>
          <cell r="Z370">
            <v>0</v>
          </cell>
        </row>
        <row r="371">
          <cell r="V371">
            <v>0</v>
          </cell>
          <cell r="Z371">
            <v>0</v>
          </cell>
        </row>
        <row r="372">
          <cell r="V372">
            <v>0</v>
          </cell>
          <cell r="Z372">
            <v>0</v>
          </cell>
        </row>
        <row r="373">
          <cell r="V373">
            <v>0</v>
          </cell>
          <cell r="Z373">
            <v>0</v>
          </cell>
        </row>
        <row r="374">
          <cell r="V374">
            <v>0</v>
          </cell>
          <cell r="Z374">
            <v>0</v>
          </cell>
        </row>
        <row r="375">
          <cell r="V375">
            <v>0</v>
          </cell>
          <cell r="Z375">
            <v>0</v>
          </cell>
        </row>
        <row r="376">
          <cell r="V376">
            <v>0</v>
          </cell>
          <cell r="Z376">
            <v>0</v>
          </cell>
        </row>
        <row r="377">
          <cell r="V377">
            <v>0</v>
          </cell>
          <cell r="Z377">
            <v>0</v>
          </cell>
        </row>
        <row r="378">
          <cell r="V378">
            <v>0</v>
          </cell>
          <cell r="Z378">
            <v>0</v>
          </cell>
        </row>
        <row r="379">
          <cell r="V379">
            <v>0</v>
          </cell>
          <cell r="Z379">
            <v>0</v>
          </cell>
        </row>
        <row r="380">
          <cell r="V380">
            <v>0</v>
          </cell>
          <cell r="Z380">
            <v>0</v>
          </cell>
        </row>
        <row r="381">
          <cell r="V381">
            <v>0</v>
          </cell>
          <cell r="Z381">
            <v>0</v>
          </cell>
        </row>
        <row r="382">
          <cell r="V382">
            <v>0</v>
          </cell>
          <cell r="Z382">
            <v>0</v>
          </cell>
        </row>
        <row r="383">
          <cell r="V383">
            <v>0</v>
          </cell>
          <cell r="Z383">
            <v>0</v>
          </cell>
        </row>
        <row r="384">
          <cell r="V384">
            <v>0</v>
          </cell>
          <cell r="Z384">
            <v>0</v>
          </cell>
        </row>
        <row r="385">
          <cell r="V385">
            <v>0</v>
          </cell>
          <cell r="Z385">
            <v>0</v>
          </cell>
        </row>
        <row r="386">
          <cell r="V386">
            <v>0</v>
          </cell>
          <cell r="Z386">
            <v>0</v>
          </cell>
        </row>
        <row r="387">
          <cell r="V387">
            <v>0</v>
          </cell>
          <cell r="Z387">
            <v>0</v>
          </cell>
        </row>
        <row r="388">
          <cell r="V388">
            <v>0</v>
          </cell>
          <cell r="Z388">
            <v>0</v>
          </cell>
        </row>
        <row r="389">
          <cell r="V389">
            <v>0</v>
          </cell>
          <cell r="Z389">
            <v>0</v>
          </cell>
        </row>
        <row r="390">
          <cell r="V390">
            <v>0</v>
          </cell>
          <cell r="Z390">
            <v>0</v>
          </cell>
        </row>
        <row r="391">
          <cell r="V391">
            <v>0</v>
          </cell>
          <cell r="Z391">
            <v>0</v>
          </cell>
        </row>
        <row r="392">
          <cell r="V392">
            <v>0</v>
          </cell>
          <cell r="Z392">
            <v>0</v>
          </cell>
        </row>
        <row r="393">
          <cell r="V393">
            <v>0</v>
          </cell>
          <cell r="Z393">
            <v>0</v>
          </cell>
        </row>
        <row r="394">
          <cell r="V394">
            <v>0</v>
          </cell>
          <cell r="Z394">
            <v>0</v>
          </cell>
        </row>
        <row r="395">
          <cell r="V395">
            <v>0</v>
          </cell>
          <cell r="Z395">
            <v>0</v>
          </cell>
        </row>
        <row r="396">
          <cell r="V396">
            <v>0</v>
          </cell>
          <cell r="Z396">
            <v>0</v>
          </cell>
        </row>
        <row r="397">
          <cell r="V397">
            <v>0</v>
          </cell>
          <cell r="Z397">
            <v>0</v>
          </cell>
        </row>
        <row r="398">
          <cell r="V398">
            <v>0</v>
          </cell>
          <cell r="Z398">
            <v>0</v>
          </cell>
        </row>
        <row r="399">
          <cell r="V399">
            <v>0</v>
          </cell>
          <cell r="Z399">
            <v>0</v>
          </cell>
        </row>
        <row r="400">
          <cell r="V400">
            <v>0</v>
          </cell>
          <cell r="Z400">
            <v>0</v>
          </cell>
        </row>
        <row r="401">
          <cell r="V401">
            <v>0</v>
          </cell>
          <cell r="Z401">
            <v>0</v>
          </cell>
        </row>
        <row r="402">
          <cell r="V402">
            <v>0</v>
          </cell>
          <cell r="Z402">
            <v>0</v>
          </cell>
        </row>
        <row r="403">
          <cell r="V403">
            <v>0</v>
          </cell>
          <cell r="Z403">
            <v>0</v>
          </cell>
        </row>
        <row r="404">
          <cell r="V404">
            <v>0</v>
          </cell>
          <cell r="Z404">
            <v>0</v>
          </cell>
        </row>
        <row r="405">
          <cell r="V405">
            <v>0</v>
          </cell>
          <cell r="Z405">
            <v>0</v>
          </cell>
        </row>
        <row r="406">
          <cell r="V406">
            <v>0</v>
          </cell>
          <cell r="Z406">
            <v>0</v>
          </cell>
        </row>
        <row r="407">
          <cell r="V407">
            <v>0</v>
          </cell>
          <cell r="Z407">
            <v>0</v>
          </cell>
        </row>
        <row r="408">
          <cell r="V408">
            <v>0</v>
          </cell>
          <cell r="Z408">
            <v>0</v>
          </cell>
        </row>
        <row r="409">
          <cell r="V409">
            <v>0</v>
          </cell>
          <cell r="Z409">
            <v>0</v>
          </cell>
        </row>
        <row r="410">
          <cell r="V410">
            <v>0</v>
          </cell>
          <cell r="Z410">
            <v>0</v>
          </cell>
        </row>
        <row r="411">
          <cell r="V411">
            <v>0</v>
          </cell>
          <cell r="Z411">
            <v>0</v>
          </cell>
        </row>
        <row r="412">
          <cell r="V412">
            <v>0</v>
          </cell>
          <cell r="Z412">
            <v>0</v>
          </cell>
        </row>
        <row r="413">
          <cell r="V413">
            <v>0</v>
          </cell>
          <cell r="Z413">
            <v>0</v>
          </cell>
        </row>
        <row r="414">
          <cell r="V414">
            <v>0</v>
          </cell>
          <cell r="Z414">
            <v>0</v>
          </cell>
        </row>
        <row r="415">
          <cell r="V415">
            <v>0</v>
          </cell>
          <cell r="Z415">
            <v>0</v>
          </cell>
        </row>
        <row r="416">
          <cell r="V416">
            <v>0</v>
          </cell>
          <cell r="Z416">
            <v>0</v>
          </cell>
        </row>
        <row r="417">
          <cell r="V417">
            <v>0</v>
          </cell>
          <cell r="Z417">
            <v>0</v>
          </cell>
        </row>
        <row r="418">
          <cell r="V418">
            <v>0</v>
          </cell>
          <cell r="Z418">
            <v>0</v>
          </cell>
        </row>
        <row r="419">
          <cell r="V419">
            <v>0</v>
          </cell>
          <cell r="Z419">
            <v>0</v>
          </cell>
        </row>
        <row r="420">
          <cell r="V420">
            <v>0</v>
          </cell>
          <cell r="Z420">
            <v>0</v>
          </cell>
        </row>
        <row r="421">
          <cell r="V421">
            <v>0</v>
          </cell>
          <cell r="Z421">
            <v>0</v>
          </cell>
        </row>
        <row r="422">
          <cell r="V422">
            <v>0</v>
          </cell>
          <cell r="Z422">
            <v>0</v>
          </cell>
        </row>
        <row r="423">
          <cell r="V423">
            <v>0</v>
          </cell>
          <cell r="Z423">
            <v>0</v>
          </cell>
        </row>
        <row r="424">
          <cell r="V424">
            <v>0</v>
          </cell>
          <cell r="Z424">
            <v>0</v>
          </cell>
        </row>
        <row r="425">
          <cell r="V425">
            <v>0</v>
          </cell>
          <cell r="Z425">
            <v>0</v>
          </cell>
        </row>
        <row r="426">
          <cell r="V426">
            <v>0</v>
          </cell>
          <cell r="Z426">
            <v>0</v>
          </cell>
        </row>
        <row r="427">
          <cell r="V427">
            <v>0</v>
          </cell>
          <cell r="Z427">
            <v>0</v>
          </cell>
        </row>
        <row r="428">
          <cell r="V428">
            <v>0</v>
          </cell>
          <cell r="Z428">
            <v>0</v>
          </cell>
        </row>
        <row r="429">
          <cell r="V429">
            <v>0</v>
          </cell>
          <cell r="Z429">
            <v>0</v>
          </cell>
        </row>
        <row r="430">
          <cell r="V430">
            <v>0</v>
          </cell>
          <cell r="Z430">
            <v>0</v>
          </cell>
        </row>
        <row r="431">
          <cell r="V431">
            <v>0</v>
          </cell>
          <cell r="Z431">
            <v>0</v>
          </cell>
        </row>
        <row r="432">
          <cell r="V432">
            <v>0</v>
          </cell>
          <cell r="Z432">
            <v>0</v>
          </cell>
        </row>
        <row r="433">
          <cell r="V433">
            <v>0</v>
          </cell>
          <cell r="Z433">
            <v>0</v>
          </cell>
        </row>
        <row r="434">
          <cell r="V434">
            <v>0</v>
          </cell>
          <cell r="Z434">
            <v>0</v>
          </cell>
        </row>
        <row r="435">
          <cell r="V435">
            <v>0</v>
          </cell>
          <cell r="Z435">
            <v>0</v>
          </cell>
        </row>
        <row r="436">
          <cell r="V436">
            <v>0</v>
          </cell>
          <cell r="Z436">
            <v>0</v>
          </cell>
        </row>
        <row r="437">
          <cell r="V437">
            <v>0</v>
          </cell>
          <cell r="Z437">
            <v>0</v>
          </cell>
        </row>
        <row r="438">
          <cell r="V438">
            <v>0</v>
          </cell>
          <cell r="Z438">
            <v>0</v>
          </cell>
        </row>
        <row r="439">
          <cell r="V439">
            <v>0</v>
          </cell>
          <cell r="Z439">
            <v>0</v>
          </cell>
        </row>
        <row r="440">
          <cell r="V440">
            <v>0</v>
          </cell>
          <cell r="Z440">
            <v>0</v>
          </cell>
        </row>
        <row r="441">
          <cell r="V441">
            <v>0</v>
          </cell>
          <cell r="Z441">
            <v>0</v>
          </cell>
        </row>
        <row r="442">
          <cell r="V442">
            <v>0</v>
          </cell>
          <cell r="Z442">
            <v>0</v>
          </cell>
        </row>
        <row r="443">
          <cell r="V443">
            <v>0</v>
          </cell>
          <cell r="Z443">
            <v>0</v>
          </cell>
        </row>
        <row r="444">
          <cell r="V444">
            <v>0</v>
          </cell>
          <cell r="Z444">
            <v>0</v>
          </cell>
        </row>
        <row r="445">
          <cell r="V445">
            <v>0</v>
          </cell>
          <cell r="Z445">
            <v>0</v>
          </cell>
        </row>
        <row r="446">
          <cell r="V446">
            <v>0</v>
          </cell>
          <cell r="Z446">
            <v>0</v>
          </cell>
        </row>
        <row r="447">
          <cell r="V447">
            <v>0</v>
          </cell>
          <cell r="Z447">
            <v>0</v>
          </cell>
        </row>
        <row r="448">
          <cell r="V448">
            <v>0</v>
          </cell>
          <cell r="Z448">
            <v>0</v>
          </cell>
        </row>
        <row r="449">
          <cell r="V449">
            <v>0</v>
          </cell>
          <cell r="Z449">
            <v>0</v>
          </cell>
        </row>
        <row r="450">
          <cell r="V450">
            <v>0</v>
          </cell>
          <cell r="Z450">
            <v>0</v>
          </cell>
        </row>
        <row r="451">
          <cell r="V451">
            <v>0</v>
          </cell>
          <cell r="Z451">
            <v>0</v>
          </cell>
        </row>
        <row r="452">
          <cell r="V452">
            <v>0</v>
          </cell>
          <cell r="Z452">
            <v>0</v>
          </cell>
        </row>
        <row r="453">
          <cell r="V453">
            <v>0</v>
          </cell>
          <cell r="Z453">
            <v>0</v>
          </cell>
        </row>
        <row r="454">
          <cell r="V454">
            <v>0</v>
          </cell>
          <cell r="Z454">
            <v>0</v>
          </cell>
        </row>
        <row r="455">
          <cell r="V455">
            <v>0</v>
          </cell>
          <cell r="Z455">
            <v>0</v>
          </cell>
        </row>
        <row r="456">
          <cell r="V456">
            <v>0</v>
          </cell>
          <cell r="Z456">
            <v>0</v>
          </cell>
        </row>
        <row r="457">
          <cell r="V457">
            <v>0</v>
          </cell>
          <cell r="Z457">
            <v>0</v>
          </cell>
        </row>
        <row r="458">
          <cell r="V458">
            <v>0</v>
          </cell>
          <cell r="Z458">
            <v>0</v>
          </cell>
        </row>
        <row r="459">
          <cell r="V459">
            <v>0</v>
          </cell>
          <cell r="Z459">
            <v>0</v>
          </cell>
        </row>
        <row r="460">
          <cell r="V460">
            <v>0</v>
          </cell>
          <cell r="Z460">
            <v>0</v>
          </cell>
        </row>
        <row r="461">
          <cell r="V461">
            <v>0</v>
          </cell>
          <cell r="Z461">
            <v>0</v>
          </cell>
        </row>
        <row r="462">
          <cell r="V462">
            <v>0</v>
          </cell>
          <cell r="Z462">
            <v>0</v>
          </cell>
        </row>
        <row r="463">
          <cell r="V463">
            <v>0</v>
          </cell>
          <cell r="Z463">
            <v>0</v>
          </cell>
        </row>
        <row r="464">
          <cell r="V464">
            <v>0</v>
          </cell>
          <cell r="Z464">
            <v>0</v>
          </cell>
        </row>
        <row r="465">
          <cell r="V465">
            <v>0</v>
          </cell>
          <cell r="Z465">
            <v>0</v>
          </cell>
        </row>
        <row r="466">
          <cell r="V466">
            <v>0</v>
          </cell>
          <cell r="Z466">
            <v>0</v>
          </cell>
        </row>
        <row r="467">
          <cell r="V467">
            <v>0</v>
          </cell>
          <cell r="Z467">
            <v>0</v>
          </cell>
        </row>
        <row r="468">
          <cell r="V468">
            <v>0</v>
          </cell>
          <cell r="Z468">
            <v>0</v>
          </cell>
        </row>
        <row r="469">
          <cell r="V469">
            <v>0</v>
          </cell>
          <cell r="Z469">
            <v>0</v>
          </cell>
        </row>
        <row r="470">
          <cell r="V470">
            <v>0</v>
          </cell>
          <cell r="Z470">
            <v>0</v>
          </cell>
        </row>
        <row r="471">
          <cell r="V471">
            <v>0</v>
          </cell>
          <cell r="Z471">
            <v>0</v>
          </cell>
        </row>
        <row r="472">
          <cell r="V472">
            <v>0</v>
          </cell>
          <cell r="Z472">
            <v>0</v>
          </cell>
        </row>
        <row r="473">
          <cell r="V473">
            <v>0</v>
          </cell>
          <cell r="Z473">
            <v>0</v>
          </cell>
        </row>
        <row r="474">
          <cell r="V474">
            <v>0</v>
          </cell>
          <cell r="Z474">
            <v>0</v>
          </cell>
        </row>
        <row r="475">
          <cell r="V475">
            <v>0</v>
          </cell>
          <cell r="Z475">
            <v>0</v>
          </cell>
        </row>
        <row r="476">
          <cell r="V476">
            <v>0</v>
          </cell>
          <cell r="Z476">
            <v>0</v>
          </cell>
        </row>
        <row r="477">
          <cell r="V477">
            <v>0</v>
          </cell>
          <cell r="Z477">
            <v>0</v>
          </cell>
        </row>
        <row r="478">
          <cell r="V478">
            <v>0</v>
          </cell>
          <cell r="Z478">
            <v>0</v>
          </cell>
        </row>
        <row r="479">
          <cell r="V479">
            <v>0</v>
          </cell>
          <cell r="Z479">
            <v>0</v>
          </cell>
        </row>
        <row r="480">
          <cell r="V480">
            <v>0</v>
          </cell>
          <cell r="Z480">
            <v>0</v>
          </cell>
        </row>
        <row r="481">
          <cell r="V481">
            <v>0</v>
          </cell>
          <cell r="Z481">
            <v>0</v>
          </cell>
        </row>
        <row r="482">
          <cell r="V482">
            <v>0</v>
          </cell>
          <cell r="Z482">
            <v>0</v>
          </cell>
        </row>
        <row r="483">
          <cell r="V483">
            <v>0</v>
          </cell>
          <cell r="Z483">
            <v>0</v>
          </cell>
        </row>
        <row r="484">
          <cell r="V484">
            <v>0</v>
          </cell>
          <cell r="Z484">
            <v>0</v>
          </cell>
        </row>
        <row r="485">
          <cell r="V485">
            <v>0</v>
          </cell>
          <cell r="Z485">
            <v>0</v>
          </cell>
        </row>
        <row r="486">
          <cell r="V486">
            <v>0</v>
          </cell>
          <cell r="Z486">
            <v>0</v>
          </cell>
        </row>
        <row r="487">
          <cell r="V487">
            <v>0</v>
          </cell>
          <cell r="Z487">
            <v>0</v>
          </cell>
        </row>
        <row r="488">
          <cell r="V488">
            <v>0</v>
          </cell>
          <cell r="Z488">
            <v>0</v>
          </cell>
        </row>
        <row r="489">
          <cell r="V489">
            <v>0</v>
          </cell>
          <cell r="Z489">
            <v>0</v>
          </cell>
        </row>
        <row r="490">
          <cell r="V490">
            <v>0</v>
          </cell>
          <cell r="Z490">
            <v>0</v>
          </cell>
        </row>
        <row r="491">
          <cell r="V491">
            <v>0</v>
          </cell>
          <cell r="Z491">
            <v>0</v>
          </cell>
        </row>
        <row r="492">
          <cell r="V492">
            <v>0</v>
          </cell>
          <cell r="Z492">
            <v>0</v>
          </cell>
        </row>
        <row r="493">
          <cell r="V493">
            <v>0</v>
          </cell>
          <cell r="Z493">
            <v>0</v>
          </cell>
        </row>
        <row r="494">
          <cell r="V494">
            <v>0</v>
          </cell>
          <cell r="Z494">
            <v>0</v>
          </cell>
        </row>
        <row r="495">
          <cell r="V495">
            <v>0</v>
          </cell>
          <cell r="Z495">
            <v>0</v>
          </cell>
        </row>
        <row r="496">
          <cell r="V496">
            <v>0</v>
          </cell>
          <cell r="Z496">
            <v>0</v>
          </cell>
        </row>
        <row r="497">
          <cell r="V497">
            <v>0</v>
          </cell>
          <cell r="Z497">
            <v>0</v>
          </cell>
        </row>
        <row r="498">
          <cell r="V498">
            <v>0</v>
          </cell>
          <cell r="Z498">
            <v>0</v>
          </cell>
        </row>
        <row r="499">
          <cell r="V499">
            <v>0</v>
          </cell>
          <cell r="Z499">
            <v>0</v>
          </cell>
        </row>
        <row r="500">
          <cell r="V500">
            <v>0</v>
          </cell>
          <cell r="Z500">
            <v>0</v>
          </cell>
        </row>
        <row r="501">
          <cell r="V501">
            <v>0</v>
          </cell>
          <cell r="Z501">
            <v>0</v>
          </cell>
        </row>
        <row r="502">
          <cell r="V502">
            <v>0</v>
          </cell>
          <cell r="Z502">
            <v>0</v>
          </cell>
        </row>
        <row r="503">
          <cell r="V503">
            <v>0</v>
          </cell>
          <cell r="Z503">
            <v>0</v>
          </cell>
        </row>
        <row r="504">
          <cell r="V504">
            <v>0</v>
          </cell>
          <cell r="Z504">
            <v>0</v>
          </cell>
        </row>
        <row r="505">
          <cell r="V505">
            <v>0</v>
          </cell>
          <cell r="Z505">
            <v>0</v>
          </cell>
        </row>
        <row r="506">
          <cell r="V506">
            <v>0</v>
          </cell>
          <cell r="Z506">
            <v>0</v>
          </cell>
        </row>
        <row r="507">
          <cell r="V507">
            <v>0</v>
          </cell>
          <cell r="Z507">
            <v>0</v>
          </cell>
        </row>
        <row r="508">
          <cell r="V508">
            <v>0</v>
          </cell>
          <cell r="Z508">
            <v>0</v>
          </cell>
        </row>
        <row r="509">
          <cell r="V509">
            <v>0</v>
          </cell>
          <cell r="Z509">
            <v>0</v>
          </cell>
        </row>
        <row r="510">
          <cell r="V510">
            <v>0</v>
          </cell>
          <cell r="Z510">
            <v>0</v>
          </cell>
        </row>
        <row r="511">
          <cell r="V511">
            <v>0</v>
          </cell>
          <cell r="Z511">
            <v>0</v>
          </cell>
        </row>
        <row r="512">
          <cell r="V512">
            <v>0</v>
          </cell>
          <cell r="Z512">
            <v>0</v>
          </cell>
        </row>
        <row r="513">
          <cell r="V513">
            <v>0</v>
          </cell>
          <cell r="Z513">
            <v>0</v>
          </cell>
        </row>
        <row r="514">
          <cell r="V514">
            <v>0</v>
          </cell>
          <cell r="Z514">
            <v>0</v>
          </cell>
        </row>
        <row r="515">
          <cell r="V515">
            <v>0</v>
          </cell>
          <cell r="Z515">
            <v>0</v>
          </cell>
        </row>
        <row r="516">
          <cell r="V516">
            <v>0</v>
          </cell>
          <cell r="Z516">
            <v>0</v>
          </cell>
        </row>
        <row r="517">
          <cell r="V517">
            <v>0</v>
          </cell>
          <cell r="Z517">
            <v>0</v>
          </cell>
        </row>
        <row r="518">
          <cell r="V518">
            <v>0</v>
          </cell>
          <cell r="Z518">
            <v>0</v>
          </cell>
        </row>
        <row r="519">
          <cell r="V519">
            <v>0</v>
          </cell>
          <cell r="Z519">
            <v>0</v>
          </cell>
        </row>
        <row r="520">
          <cell r="V520">
            <v>0</v>
          </cell>
          <cell r="Z520">
            <v>0</v>
          </cell>
        </row>
        <row r="521">
          <cell r="V521">
            <v>0</v>
          </cell>
          <cell r="Z521">
            <v>0</v>
          </cell>
        </row>
        <row r="522">
          <cell r="V522">
            <v>0</v>
          </cell>
          <cell r="Z522">
            <v>0</v>
          </cell>
        </row>
        <row r="523">
          <cell r="V523">
            <v>0</v>
          </cell>
          <cell r="Z523">
            <v>0</v>
          </cell>
        </row>
        <row r="524">
          <cell r="V524">
            <v>0</v>
          </cell>
          <cell r="Z524">
            <v>0</v>
          </cell>
        </row>
        <row r="525">
          <cell r="V525">
            <v>0</v>
          </cell>
          <cell r="Z525">
            <v>0</v>
          </cell>
        </row>
        <row r="526">
          <cell r="V526">
            <v>0</v>
          </cell>
          <cell r="Z526">
            <v>0</v>
          </cell>
        </row>
        <row r="527">
          <cell r="V527">
            <v>0</v>
          </cell>
          <cell r="Z527">
            <v>0</v>
          </cell>
        </row>
        <row r="528">
          <cell r="V528">
            <v>0</v>
          </cell>
          <cell r="Z528">
            <v>0</v>
          </cell>
        </row>
        <row r="529">
          <cell r="V529">
            <v>0</v>
          </cell>
          <cell r="Z529">
            <v>0</v>
          </cell>
        </row>
        <row r="530">
          <cell r="V530">
            <v>0</v>
          </cell>
          <cell r="Z530">
            <v>0</v>
          </cell>
        </row>
        <row r="531">
          <cell r="V531">
            <v>0</v>
          </cell>
          <cell r="Z531">
            <v>0</v>
          </cell>
        </row>
        <row r="532">
          <cell r="V532">
            <v>0</v>
          </cell>
          <cell r="Z532">
            <v>0</v>
          </cell>
        </row>
        <row r="533">
          <cell r="V533">
            <v>0</v>
          </cell>
          <cell r="Z533">
            <v>0</v>
          </cell>
        </row>
        <row r="534">
          <cell r="V534">
            <v>0</v>
          </cell>
          <cell r="Z534">
            <v>0</v>
          </cell>
        </row>
        <row r="535">
          <cell r="V535">
            <v>0</v>
          </cell>
          <cell r="Z535">
            <v>0</v>
          </cell>
        </row>
        <row r="536">
          <cell r="V536">
            <v>0</v>
          </cell>
          <cell r="Z536">
            <v>0</v>
          </cell>
        </row>
        <row r="537">
          <cell r="V537">
            <v>0</v>
          </cell>
          <cell r="Z537">
            <v>0</v>
          </cell>
        </row>
        <row r="538">
          <cell r="V538">
            <v>0</v>
          </cell>
          <cell r="Z538">
            <v>0</v>
          </cell>
        </row>
        <row r="539">
          <cell r="V539">
            <v>0</v>
          </cell>
          <cell r="Z539">
            <v>0</v>
          </cell>
        </row>
        <row r="540">
          <cell r="V540">
            <v>0</v>
          </cell>
          <cell r="Z540">
            <v>0</v>
          </cell>
        </row>
        <row r="541">
          <cell r="V541">
            <v>0</v>
          </cell>
          <cell r="Z541">
            <v>0</v>
          </cell>
        </row>
        <row r="542">
          <cell r="V542">
            <v>0</v>
          </cell>
          <cell r="Z542">
            <v>0</v>
          </cell>
        </row>
        <row r="543">
          <cell r="V543">
            <v>0</v>
          </cell>
          <cell r="Z543">
            <v>0</v>
          </cell>
        </row>
        <row r="544">
          <cell r="V544">
            <v>0</v>
          </cell>
          <cell r="Z544">
            <v>0</v>
          </cell>
        </row>
        <row r="545">
          <cell r="V545">
            <v>0</v>
          </cell>
          <cell r="Z545">
            <v>0</v>
          </cell>
        </row>
        <row r="546">
          <cell r="V546">
            <v>0</v>
          </cell>
          <cell r="Z546">
            <v>0</v>
          </cell>
        </row>
        <row r="547">
          <cell r="V547">
            <v>0</v>
          </cell>
          <cell r="Z547">
            <v>0</v>
          </cell>
        </row>
        <row r="548">
          <cell r="V548">
            <v>0</v>
          </cell>
          <cell r="Z548">
            <v>0</v>
          </cell>
        </row>
        <row r="549">
          <cell r="V549">
            <v>0</v>
          </cell>
          <cell r="Z549">
            <v>0</v>
          </cell>
        </row>
        <row r="550">
          <cell r="V550">
            <v>0</v>
          </cell>
          <cell r="Z550">
            <v>0</v>
          </cell>
        </row>
        <row r="551">
          <cell r="V551">
            <v>0</v>
          </cell>
          <cell r="Z551">
            <v>0</v>
          </cell>
        </row>
        <row r="552">
          <cell r="V552">
            <v>0</v>
          </cell>
          <cell r="Z552">
            <v>0</v>
          </cell>
        </row>
        <row r="553">
          <cell r="V553">
            <v>0</v>
          </cell>
          <cell r="Z553">
            <v>0</v>
          </cell>
        </row>
        <row r="554">
          <cell r="V554">
            <v>0</v>
          </cell>
          <cell r="Z554">
            <v>0</v>
          </cell>
        </row>
        <row r="555">
          <cell r="V555">
            <v>0</v>
          </cell>
          <cell r="Z555">
            <v>0</v>
          </cell>
        </row>
        <row r="556">
          <cell r="V556">
            <v>0</v>
          </cell>
          <cell r="Z556">
            <v>0</v>
          </cell>
        </row>
        <row r="557">
          <cell r="V557">
            <v>0</v>
          </cell>
          <cell r="Z557">
            <v>0</v>
          </cell>
        </row>
        <row r="558">
          <cell r="V558">
            <v>0</v>
          </cell>
          <cell r="Z558">
            <v>0</v>
          </cell>
        </row>
        <row r="559">
          <cell r="V559">
            <v>0</v>
          </cell>
          <cell r="Z559">
            <v>0</v>
          </cell>
        </row>
        <row r="560">
          <cell r="V560">
            <v>0</v>
          </cell>
          <cell r="Z560">
            <v>0</v>
          </cell>
        </row>
        <row r="561">
          <cell r="V561">
            <v>0</v>
          </cell>
          <cell r="Z561">
            <v>0</v>
          </cell>
        </row>
        <row r="562">
          <cell r="V562">
            <v>0</v>
          </cell>
          <cell r="Z562">
            <v>0</v>
          </cell>
        </row>
        <row r="563">
          <cell r="V563">
            <v>0</v>
          </cell>
          <cell r="Z563">
            <v>0</v>
          </cell>
        </row>
        <row r="564">
          <cell r="V564">
            <v>0</v>
          </cell>
          <cell r="Z564">
            <v>0</v>
          </cell>
        </row>
        <row r="565">
          <cell r="V565">
            <v>0</v>
          </cell>
          <cell r="Z565">
            <v>0</v>
          </cell>
        </row>
        <row r="566">
          <cell r="V566">
            <v>0</v>
          </cell>
          <cell r="Z566">
            <v>0</v>
          </cell>
        </row>
        <row r="567">
          <cell r="V567">
            <v>0</v>
          </cell>
          <cell r="Z567">
            <v>0</v>
          </cell>
        </row>
        <row r="568">
          <cell r="V568">
            <v>0</v>
          </cell>
          <cell r="Z568">
            <v>0</v>
          </cell>
        </row>
        <row r="569">
          <cell r="V569">
            <v>0</v>
          </cell>
          <cell r="Z569">
            <v>0</v>
          </cell>
        </row>
        <row r="570">
          <cell r="V570">
            <v>0</v>
          </cell>
          <cell r="Z570">
            <v>0</v>
          </cell>
        </row>
        <row r="571">
          <cell r="V571">
            <v>0</v>
          </cell>
          <cell r="Z571">
            <v>0</v>
          </cell>
        </row>
        <row r="572">
          <cell r="V572">
            <v>0</v>
          </cell>
          <cell r="Z572">
            <v>0</v>
          </cell>
        </row>
        <row r="573">
          <cell r="V573">
            <v>0</v>
          </cell>
          <cell r="Z573">
            <v>0</v>
          </cell>
        </row>
        <row r="574">
          <cell r="V574">
            <v>0</v>
          </cell>
          <cell r="Z574">
            <v>0</v>
          </cell>
        </row>
        <row r="575">
          <cell r="V575">
            <v>0</v>
          </cell>
          <cell r="Z575">
            <v>0</v>
          </cell>
        </row>
        <row r="576">
          <cell r="V576">
            <v>0</v>
          </cell>
          <cell r="Z576">
            <v>0</v>
          </cell>
        </row>
        <row r="577">
          <cell r="V577">
            <v>0</v>
          </cell>
          <cell r="Z577">
            <v>0</v>
          </cell>
        </row>
        <row r="578">
          <cell r="V578">
            <v>0</v>
          </cell>
          <cell r="Z578">
            <v>0</v>
          </cell>
        </row>
        <row r="579">
          <cell r="V579">
            <v>0</v>
          </cell>
          <cell r="Z579">
            <v>0</v>
          </cell>
        </row>
        <row r="580">
          <cell r="V580">
            <v>0</v>
          </cell>
          <cell r="Z580">
            <v>0</v>
          </cell>
        </row>
        <row r="581">
          <cell r="V581">
            <v>0</v>
          </cell>
          <cell r="Z581">
            <v>0</v>
          </cell>
        </row>
        <row r="582">
          <cell r="V582">
            <v>0</v>
          </cell>
          <cell r="Z582">
            <v>0</v>
          </cell>
        </row>
        <row r="583">
          <cell r="V583">
            <v>0</v>
          </cell>
          <cell r="Z583">
            <v>0</v>
          </cell>
        </row>
        <row r="584">
          <cell r="V584">
            <v>0</v>
          </cell>
          <cell r="Z584">
            <v>0</v>
          </cell>
        </row>
        <row r="585">
          <cell r="V585">
            <v>0</v>
          </cell>
          <cell r="Z585">
            <v>0</v>
          </cell>
        </row>
        <row r="586">
          <cell r="V586">
            <v>0</v>
          </cell>
          <cell r="Z586">
            <v>0</v>
          </cell>
        </row>
        <row r="587">
          <cell r="V587">
            <v>0</v>
          </cell>
          <cell r="Z587">
            <v>0</v>
          </cell>
        </row>
        <row r="588">
          <cell r="V588">
            <v>0</v>
          </cell>
          <cell r="Z588">
            <v>0</v>
          </cell>
        </row>
        <row r="589">
          <cell r="V589">
            <v>0</v>
          </cell>
          <cell r="Z589">
            <v>0</v>
          </cell>
        </row>
        <row r="590">
          <cell r="V590">
            <v>0</v>
          </cell>
          <cell r="Z590">
            <v>0</v>
          </cell>
        </row>
        <row r="591">
          <cell r="V591">
            <v>0</v>
          </cell>
          <cell r="Z591">
            <v>0</v>
          </cell>
        </row>
        <row r="592">
          <cell r="V592">
            <v>0</v>
          </cell>
          <cell r="Z592">
            <v>0</v>
          </cell>
        </row>
        <row r="593">
          <cell r="V593">
            <v>0</v>
          </cell>
          <cell r="Z593">
            <v>0</v>
          </cell>
        </row>
        <row r="594">
          <cell r="V594">
            <v>0</v>
          </cell>
          <cell r="Z594">
            <v>0</v>
          </cell>
        </row>
        <row r="595">
          <cell r="V595">
            <v>0</v>
          </cell>
          <cell r="Z595">
            <v>0</v>
          </cell>
        </row>
        <row r="596">
          <cell r="V596">
            <v>0</v>
          </cell>
          <cell r="Z596">
            <v>0</v>
          </cell>
        </row>
        <row r="597">
          <cell r="V597">
            <v>0</v>
          </cell>
          <cell r="Z597">
            <v>0</v>
          </cell>
        </row>
        <row r="598">
          <cell r="V598">
            <v>0</v>
          </cell>
          <cell r="Z598">
            <v>0</v>
          </cell>
        </row>
        <row r="599">
          <cell r="V599">
            <v>0</v>
          </cell>
          <cell r="Z599">
            <v>0</v>
          </cell>
        </row>
        <row r="600">
          <cell r="V600">
            <v>0</v>
          </cell>
          <cell r="Z600">
            <v>0</v>
          </cell>
        </row>
        <row r="601">
          <cell r="V601">
            <v>0</v>
          </cell>
          <cell r="Z601">
            <v>0</v>
          </cell>
        </row>
        <row r="602">
          <cell r="V602">
            <v>0</v>
          </cell>
          <cell r="Z602">
            <v>0</v>
          </cell>
        </row>
        <row r="603">
          <cell r="V603">
            <v>0</v>
          </cell>
          <cell r="Z603">
            <v>0</v>
          </cell>
        </row>
        <row r="604">
          <cell r="V604">
            <v>0</v>
          </cell>
          <cell r="Z604">
            <v>0</v>
          </cell>
        </row>
        <row r="605">
          <cell r="V605">
            <v>0</v>
          </cell>
          <cell r="Z605">
            <v>0</v>
          </cell>
        </row>
        <row r="606">
          <cell r="V606">
            <v>0</v>
          </cell>
          <cell r="Z606">
            <v>0</v>
          </cell>
        </row>
        <row r="607">
          <cell r="V607">
            <v>0</v>
          </cell>
          <cell r="Z607">
            <v>0</v>
          </cell>
        </row>
        <row r="608">
          <cell r="V608">
            <v>0</v>
          </cell>
          <cell r="Z608">
            <v>0</v>
          </cell>
        </row>
        <row r="609">
          <cell r="V609">
            <v>0</v>
          </cell>
          <cell r="Z609">
            <v>0</v>
          </cell>
        </row>
        <row r="610">
          <cell r="V610">
            <v>0</v>
          </cell>
          <cell r="Z610">
            <v>0</v>
          </cell>
        </row>
        <row r="611">
          <cell r="V611">
            <v>0</v>
          </cell>
          <cell r="Z611">
            <v>0</v>
          </cell>
        </row>
        <row r="612">
          <cell r="V612">
            <v>0</v>
          </cell>
          <cell r="Z612">
            <v>0</v>
          </cell>
        </row>
        <row r="613">
          <cell r="V613">
            <v>0</v>
          </cell>
          <cell r="Z613">
            <v>0</v>
          </cell>
        </row>
        <row r="614">
          <cell r="V614">
            <v>0</v>
          </cell>
          <cell r="Z614">
            <v>0</v>
          </cell>
        </row>
        <row r="615">
          <cell r="V615">
            <v>0</v>
          </cell>
          <cell r="Z615">
            <v>0</v>
          </cell>
        </row>
        <row r="616">
          <cell r="V616">
            <v>0</v>
          </cell>
          <cell r="Z616">
            <v>0</v>
          </cell>
        </row>
        <row r="617">
          <cell r="V617">
            <v>0</v>
          </cell>
          <cell r="Z617">
            <v>0</v>
          </cell>
        </row>
        <row r="618">
          <cell r="V618">
            <v>0</v>
          </cell>
          <cell r="Z618">
            <v>0</v>
          </cell>
        </row>
        <row r="619">
          <cell r="V619">
            <v>0</v>
          </cell>
          <cell r="Z619">
            <v>0</v>
          </cell>
        </row>
        <row r="620">
          <cell r="V620">
            <v>0</v>
          </cell>
          <cell r="Z620">
            <v>0</v>
          </cell>
        </row>
        <row r="621">
          <cell r="V621">
            <v>0</v>
          </cell>
          <cell r="Z621">
            <v>0</v>
          </cell>
        </row>
        <row r="622">
          <cell r="V622">
            <v>0</v>
          </cell>
          <cell r="Z622">
            <v>0</v>
          </cell>
        </row>
        <row r="623">
          <cell r="V623">
            <v>0</v>
          </cell>
          <cell r="Z623">
            <v>0</v>
          </cell>
        </row>
        <row r="624">
          <cell r="V624">
            <v>0</v>
          </cell>
          <cell r="Z624">
            <v>0</v>
          </cell>
        </row>
        <row r="625">
          <cell r="V625">
            <v>0</v>
          </cell>
          <cell r="Z625">
            <v>0</v>
          </cell>
        </row>
        <row r="626">
          <cell r="V626">
            <v>0</v>
          </cell>
          <cell r="Z626">
            <v>0</v>
          </cell>
        </row>
        <row r="627">
          <cell r="V627">
            <v>0</v>
          </cell>
          <cell r="Z627">
            <v>0</v>
          </cell>
        </row>
        <row r="628">
          <cell r="V628">
            <v>0</v>
          </cell>
          <cell r="Z628">
            <v>0</v>
          </cell>
        </row>
        <row r="629">
          <cell r="V629">
            <v>0</v>
          </cell>
          <cell r="Z629">
            <v>0</v>
          </cell>
        </row>
        <row r="630">
          <cell r="V630">
            <v>0</v>
          </cell>
          <cell r="Z630">
            <v>0</v>
          </cell>
        </row>
        <row r="631">
          <cell r="V631">
            <v>0</v>
          </cell>
          <cell r="Z631">
            <v>0</v>
          </cell>
        </row>
        <row r="632">
          <cell r="V632">
            <v>0</v>
          </cell>
          <cell r="Z632">
            <v>0</v>
          </cell>
        </row>
        <row r="633">
          <cell r="V633">
            <v>0</v>
          </cell>
          <cell r="Z633">
            <v>0</v>
          </cell>
        </row>
        <row r="634">
          <cell r="V634">
            <v>0</v>
          </cell>
          <cell r="Z634">
            <v>0</v>
          </cell>
        </row>
        <row r="635">
          <cell r="V635">
            <v>0</v>
          </cell>
          <cell r="Z635">
            <v>0</v>
          </cell>
        </row>
        <row r="636">
          <cell r="V636">
            <v>0</v>
          </cell>
          <cell r="Z636">
            <v>0</v>
          </cell>
        </row>
        <row r="637">
          <cell r="V637">
            <v>0</v>
          </cell>
          <cell r="Z637">
            <v>0</v>
          </cell>
        </row>
        <row r="638">
          <cell r="V638">
            <v>0</v>
          </cell>
          <cell r="Z638">
            <v>0</v>
          </cell>
        </row>
        <row r="639">
          <cell r="V639">
            <v>0</v>
          </cell>
          <cell r="Z639">
            <v>0</v>
          </cell>
        </row>
        <row r="640">
          <cell r="V640">
            <v>0</v>
          </cell>
          <cell r="Z640">
            <v>0</v>
          </cell>
        </row>
        <row r="641">
          <cell r="V641">
            <v>0</v>
          </cell>
          <cell r="Z641">
            <v>0</v>
          </cell>
        </row>
        <row r="642">
          <cell r="V642">
            <v>0</v>
          </cell>
          <cell r="Z642">
            <v>0</v>
          </cell>
        </row>
        <row r="643">
          <cell r="V643">
            <v>0</v>
          </cell>
          <cell r="Z643">
            <v>0</v>
          </cell>
        </row>
        <row r="644">
          <cell r="V644">
            <v>0</v>
          </cell>
          <cell r="Z644">
            <v>0</v>
          </cell>
        </row>
        <row r="645">
          <cell r="V645">
            <v>0</v>
          </cell>
          <cell r="Z645">
            <v>0</v>
          </cell>
        </row>
        <row r="646">
          <cell r="V646">
            <v>0</v>
          </cell>
          <cell r="Z646">
            <v>0</v>
          </cell>
        </row>
        <row r="647">
          <cell r="V647">
            <v>0</v>
          </cell>
          <cell r="Z647">
            <v>0</v>
          </cell>
        </row>
        <row r="648">
          <cell r="V648">
            <v>0</v>
          </cell>
          <cell r="Z648">
            <v>0</v>
          </cell>
        </row>
        <row r="649">
          <cell r="V649">
            <v>0</v>
          </cell>
          <cell r="Z649">
            <v>0</v>
          </cell>
        </row>
        <row r="650">
          <cell r="V650">
            <v>0</v>
          </cell>
          <cell r="Z650">
            <v>0</v>
          </cell>
        </row>
        <row r="651">
          <cell r="V651">
            <v>0</v>
          </cell>
          <cell r="Z651">
            <v>0</v>
          </cell>
        </row>
        <row r="652">
          <cell r="V652">
            <v>0</v>
          </cell>
          <cell r="Z652">
            <v>0</v>
          </cell>
        </row>
        <row r="653">
          <cell r="V653">
            <v>0</v>
          </cell>
          <cell r="Z653">
            <v>0</v>
          </cell>
        </row>
        <row r="654">
          <cell r="V654">
            <v>0</v>
          </cell>
          <cell r="Z654">
            <v>0</v>
          </cell>
        </row>
        <row r="655">
          <cell r="V655">
            <v>0</v>
          </cell>
          <cell r="Z655">
            <v>0</v>
          </cell>
        </row>
        <row r="656">
          <cell r="V656">
            <v>0</v>
          </cell>
          <cell r="Z656">
            <v>0</v>
          </cell>
        </row>
        <row r="657">
          <cell r="V657">
            <v>0</v>
          </cell>
          <cell r="Z657">
            <v>0</v>
          </cell>
        </row>
        <row r="658">
          <cell r="V658">
            <v>0</v>
          </cell>
          <cell r="Z658">
            <v>0</v>
          </cell>
        </row>
        <row r="659">
          <cell r="V659">
            <v>0</v>
          </cell>
          <cell r="Z659">
            <v>0</v>
          </cell>
        </row>
        <row r="660">
          <cell r="V660">
            <v>0</v>
          </cell>
          <cell r="Z660">
            <v>0</v>
          </cell>
        </row>
        <row r="661">
          <cell r="V661">
            <v>0</v>
          </cell>
          <cell r="Z661">
            <v>0</v>
          </cell>
        </row>
        <row r="662">
          <cell r="V662">
            <v>0</v>
          </cell>
          <cell r="Z662">
            <v>0</v>
          </cell>
        </row>
        <row r="663">
          <cell r="V663">
            <v>0</v>
          </cell>
          <cell r="Z663">
            <v>0</v>
          </cell>
        </row>
        <row r="664">
          <cell r="V664">
            <v>0</v>
          </cell>
          <cell r="Z664">
            <v>0</v>
          </cell>
        </row>
        <row r="665">
          <cell r="V665">
            <v>0</v>
          </cell>
          <cell r="Z665">
            <v>0</v>
          </cell>
        </row>
        <row r="666">
          <cell r="V666">
            <v>0</v>
          </cell>
          <cell r="Z666">
            <v>0</v>
          </cell>
        </row>
        <row r="667">
          <cell r="V667">
            <v>0</v>
          </cell>
          <cell r="Z667">
            <v>0</v>
          </cell>
        </row>
        <row r="668">
          <cell r="V668">
            <v>0</v>
          </cell>
          <cell r="Z668">
            <v>0</v>
          </cell>
        </row>
        <row r="669">
          <cell r="V669">
            <v>0</v>
          </cell>
          <cell r="Z669">
            <v>0</v>
          </cell>
        </row>
        <row r="670">
          <cell r="V670">
            <v>0</v>
          </cell>
          <cell r="Z670">
            <v>0</v>
          </cell>
        </row>
        <row r="671">
          <cell r="V671">
            <v>0</v>
          </cell>
          <cell r="Z671">
            <v>0</v>
          </cell>
        </row>
        <row r="672">
          <cell r="V672">
            <v>0</v>
          </cell>
          <cell r="Z672">
            <v>0</v>
          </cell>
        </row>
        <row r="673">
          <cell r="V673">
            <v>0</v>
          </cell>
          <cell r="Z673">
            <v>0</v>
          </cell>
        </row>
        <row r="674">
          <cell r="V674">
            <v>0</v>
          </cell>
          <cell r="Z674">
            <v>0</v>
          </cell>
        </row>
        <row r="675">
          <cell r="V675">
            <v>0</v>
          </cell>
          <cell r="Z675">
            <v>0</v>
          </cell>
        </row>
        <row r="676">
          <cell r="V676">
            <v>0</v>
          </cell>
          <cell r="Z676">
            <v>0</v>
          </cell>
        </row>
        <row r="677">
          <cell r="V677">
            <v>0</v>
          </cell>
          <cell r="Z677">
            <v>0</v>
          </cell>
        </row>
        <row r="678">
          <cell r="V678">
            <v>0</v>
          </cell>
          <cell r="Z678">
            <v>0</v>
          </cell>
        </row>
        <row r="679">
          <cell r="V679">
            <v>0</v>
          </cell>
          <cell r="Z679">
            <v>0</v>
          </cell>
        </row>
        <row r="680">
          <cell r="V680">
            <v>0</v>
          </cell>
          <cell r="Z680">
            <v>0</v>
          </cell>
        </row>
        <row r="681">
          <cell r="V681">
            <v>0</v>
          </cell>
          <cell r="Z681">
            <v>0</v>
          </cell>
        </row>
        <row r="682">
          <cell r="V682">
            <v>0</v>
          </cell>
          <cell r="Z682">
            <v>0</v>
          </cell>
        </row>
        <row r="683">
          <cell r="V683">
            <v>0</v>
          </cell>
          <cell r="Z683">
            <v>0</v>
          </cell>
        </row>
        <row r="684">
          <cell r="V684">
            <v>0</v>
          </cell>
          <cell r="Z684">
            <v>0</v>
          </cell>
        </row>
        <row r="685">
          <cell r="V685">
            <v>0</v>
          </cell>
          <cell r="Z685">
            <v>0</v>
          </cell>
        </row>
        <row r="686">
          <cell r="V686">
            <v>0</v>
          </cell>
          <cell r="Z686">
            <v>0</v>
          </cell>
        </row>
        <row r="687">
          <cell r="V687">
            <v>0</v>
          </cell>
          <cell r="Z687">
            <v>0</v>
          </cell>
        </row>
        <row r="688">
          <cell r="V688">
            <v>0</v>
          </cell>
          <cell r="Z688">
            <v>0</v>
          </cell>
        </row>
        <row r="689">
          <cell r="V689">
            <v>0</v>
          </cell>
          <cell r="Z689">
            <v>0</v>
          </cell>
        </row>
        <row r="690">
          <cell r="V690">
            <v>0</v>
          </cell>
          <cell r="Z690">
            <v>0</v>
          </cell>
        </row>
        <row r="691">
          <cell r="V691">
            <v>0</v>
          </cell>
          <cell r="Z691">
            <v>0</v>
          </cell>
        </row>
        <row r="692">
          <cell r="V692">
            <v>0</v>
          </cell>
          <cell r="Z692">
            <v>0</v>
          </cell>
        </row>
        <row r="693">
          <cell r="V693">
            <v>0</v>
          </cell>
          <cell r="Z693">
            <v>0</v>
          </cell>
        </row>
        <row r="694">
          <cell r="V694">
            <v>0</v>
          </cell>
          <cell r="Z694">
            <v>0</v>
          </cell>
        </row>
        <row r="695">
          <cell r="V695">
            <v>0</v>
          </cell>
          <cell r="Z695">
            <v>0</v>
          </cell>
        </row>
        <row r="696">
          <cell r="V696">
            <v>0</v>
          </cell>
          <cell r="Z696">
            <v>0</v>
          </cell>
        </row>
        <row r="697">
          <cell r="V697">
            <v>0</v>
          </cell>
          <cell r="Z697">
            <v>0</v>
          </cell>
        </row>
        <row r="698">
          <cell r="V698">
            <v>0</v>
          </cell>
          <cell r="Z698">
            <v>0</v>
          </cell>
        </row>
        <row r="699">
          <cell r="V699">
            <v>0</v>
          </cell>
          <cell r="Z699">
            <v>0</v>
          </cell>
        </row>
        <row r="700">
          <cell r="V700">
            <v>0</v>
          </cell>
          <cell r="Z700">
            <v>0</v>
          </cell>
        </row>
        <row r="701">
          <cell r="V701">
            <v>0</v>
          </cell>
          <cell r="Z701">
            <v>0</v>
          </cell>
        </row>
        <row r="702">
          <cell r="V702">
            <v>0</v>
          </cell>
          <cell r="Z702">
            <v>0</v>
          </cell>
        </row>
        <row r="703">
          <cell r="V703">
            <v>0</v>
          </cell>
          <cell r="Z703">
            <v>0</v>
          </cell>
        </row>
        <row r="704">
          <cell r="V704">
            <v>0</v>
          </cell>
          <cell r="Z704">
            <v>0</v>
          </cell>
        </row>
        <row r="705">
          <cell r="V705">
            <v>0</v>
          </cell>
          <cell r="Z705">
            <v>0</v>
          </cell>
        </row>
        <row r="706">
          <cell r="V706">
            <v>0</v>
          </cell>
          <cell r="Z706">
            <v>0</v>
          </cell>
        </row>
        <row r="707">
          <cell r="V707">
            <v>0</v>
          </cell>
          <cell r="Z707">
            <v>0</v>
          </cell>
        </row>
        <row r="708">
          <cell r="V708">
            <v>0</v>
          </cell>
          <cell r="Z708">
            <v>0</v>
          </cell>
        </row>
        <row r="709">
          <cell r="V709">
            <v>0</v>
          </cell>
          <cell r="Z709">
            <v>0</v>
          </cell>
        </row>
        <row r="710">
          <cell r="V710">
            <v>0</v>
          </cell>
          <cell r="Z710">
            <v>0</v>
          </cell>
        </row>
        <row r="711">
          <cell r="V711">
            <v>0</v>
          </cell>
          <cell r="Z711">
            <v>0</v>
          </cell>
        </row>
        <row r="712">
          <cell r="V712">
            <v>0</v>
          </cell>
          <cell r="Z712">
            <v>0</v>
          </cell>
        </row>
        <row r="713">
          <cell r="V713">
            <v>0</v>
          </cell>
          <cell r="Z713">
            <v>0</v>
          </cell>
        </row>
        <row r="714">
          <cell r="V714">
            <v>0</v>
          </cell>
          <cell r="Z714">
            <v>0</v>
          </cell>
        </row>
        <row r="715">
          <cell r="V715">
            <v>0</v>
          </cell>
          <cell r="Z715">
            <v>0</v>
          </cell>
        </row>
        <row r="716">
          <cell r="V716">
            <v>0</v>
          </cell>
          <cell r="Z716">
            <v>0</v>
          </cell>
        </row>
        <row r="717">
          <cell r="V717">
            <v>0</v>
          </cell>
          <cell r="Z717">
            <v>0</v>
          </cell>
        </row>
        <row r="718">
          <cell r="V718">
            <v>0</v>
          </cell>
          <cell r="Z718">
            <v>0</v>
          </cell>
        </row>
        <row r="719">
          <cell r="V719">
            <v>0</v>
          </cell>
          <cell r="Z719">
            <v>0</v>
          </cell>
        </row>
        <row r="720">
          <cell r="V720">
            <v>0</v>
          </cell>
          <cell r="Z720">
            <v>0</v>
          </cell>
        </row>
        <row r="721">
          <cell r="V721">
            <v>0</v>
          </cell>
          <cell r="Z721">
            <v>0</v>
          </cell>
        </row>
        <row r="722">
          <cell r="V722">
            <v>0</v>
          </cell>
          <cell r="Z722">
            <v>0</v>
          </cell>
        </row>
        <row r="723">
          <cell r="V723">
            <v>0</v>
          </cell>
          <cell r="Z723">
            <v>0</v>
          </cell>
        </row>
        <row r="724">
          <cell r="V724">
            <v>0</v>
          </cell>
          <cell r="Z724">
            <v>0</v>
          </cell>
        </row>
        <row r="725">
          <cell r="V725">
            <v>0</v>
          </cell>
          <cell r="Z725">
            <v>0</v>
          </cell>
        </row>
        <row r="726">
          <cell r="V726">
            <v>0</v>
          </cell>
          <cell r="Z726">
            <v>0</v>
          </cell>
        </row>
        <row r="727">
          <cell r="V727">
            <v>0</v>
          </cell>
          <cell r="Z727">
            <v>0</v>
          </cell>
        </row>
        <row r="728">
          <cell r="V728">
            <v>0</v>
          </cell>
          <cell r="Z728">
            <v>0</v>
          </cell>
        </row>
        <row r="729">
          <cell r="V729">
            <v>0</v>
          </cell>
          <cell r="Z729">
            <v>0</v>
          </cell>
        </row>
        <row r="730">
          <cell r="V730">
            <v>0</v>
          </cell>
          <cell r="Z730">
            <v>0</v>
          </cell>
        </row>
        <row r="731">
          <cell r="V731">
            <v>0</v>
          </cell>
          <cell r="Z731">
            <v>0</v>
          </cell>
        </row>
        <row r="732">
          <cell r="V732">
            <v>0</v>
          </cell>
          <cell r="Z732">
            <v>0</v>
          </cell>
        </row>
        <row r="733">
          <cell r="V733">
            <v>0</v>
          </cell>
          <cell r="Z733">
            <v>0</v>
          </cell>
        </row>
        <row r="734">
          <cell r="V734">
            <v>0</v>
          </cell>
          <cell r="Z734">
            <v>0</v>
          </cell>
        </row>
        <row r="735">
          <cell r="V735">
            <v>0</v>
          </cell>
          <cell r="Z735">
            <v>0</v>
          </cell>
        </row>
        <row r="736">
          <cell r="V736">
            <v>0</v>
          </cell>
          <cell r="Z736">
            <v>0</v>
          </cell>
        </row>
        <row r="737">
          <cell r="V737">
            <v>0</v>
          </cell>
          <cell r="Z737">
            <v>0</v>
          </cell>
        </row>
        <row r="738">
          <cell r="V738">
            <v>0</v>
          </cell>
          <cell r="Z738">
            <v>0</v>
          </cell>
        </row>
        <row r="739">
          <cell r="V739">
            <v>0</v>
          </cell>
          <cell r="Z739">
            <v>0</v>
          </cell>
        </row>
        <row r="740">
          <cell r="V740">
            <v>0</v>
          </cell>
          <cell r="Z740">
            <v>0</v>
          </cell>
        </row>
        <row r="741">
          <cell r="V741">
            <v>0</v>
          </cell>
          <cell r="Z741">
            <v>0</v>
          </cell>
        </row>
        <row r="742">
          <cell r="V742">
            <v>0</v>
          </cell>
          <cell r="Z742">
            <v>0</v>
          </cell>
        </row>
        <row r="743">
          <cell r="V743">
            <v>0</v>
          </cell>
          <cell r="Z743">
            <v>0</v>
          </cell>
        </row>
        <row r="744">
          <cell r="V744">
            <v>0</v>
          </cell>
          <cell r="Z744">
            <v>0</v>
          </cell>
        </row>
        <row r="745">
          <cell r="V745">
            <v>0</v>
          </cell>
          <cell r="Z745">
            <v>0</v>
          </cell>
        </row>
        <row r="746">
          <cell r="V746">
            <v>0</v>
          </cell>
          <cell r="Z746">
            <v>0</v>
          </cell>
        </row>
        <row r="747">
          <cell r="V747">
            <v>0</v>
          </cell>
          <cell r="Z747">
            <v>0</v>
          </cell>
        </row>
        <row r="748">
          <cell r="V748">
            <v>0</v>
          </cell>
          <cell r="Z748">
            <v>0</v>
          </cell>
        </row>
        <row r="749">
          <cell r="V749">
            <v>0</v>
          </cell>
          <cell r="Z749">
            <v>0</v>
          </cell>
        </row>
        <row r="750">
          <cell r="V750">
            <v>0</v>
          </cell>
          <cell r="Z750">
            <v>0</v>
          </cell>
        </row>
        <row r="751">
          <cell r="V751">
            <v>0</v>
          </cell>
          <cell r="Z751">
            <v>0</v>
          </cell>
        </row>
        <row r="752">
          <cell r="V752">
            <v>0</v>
          </cell>
          <cell r="Z752">
            <v>0</v>
          </cell>
        </row>
        <row r="753">
          <cell r="V753">
            <v>0</v>
          </cell>
          <cell r="Z753">
            <v>0</v>
          </cell>
        </row>
        <row r="754">
          <cell r="V754">
            <v>0</v>
          </cell>
          <cell r="Z754">
            <v>0</v>
          </cell>
        </row>
        <row r="755">
          <cell r="V755">
            <v>0</v>
          </cell>
          <cell r="Z755">
            <v>0</v>
          </cell>
        </row>
        <row r="756">
          <cell r="V756">
            <v>0</v>
          </cell>
          <cell r="Z756">
            <v>0</v>
          </cell>
        </row>
        <row r="757">
          <cell r="V757">
            <v>0</v>
          </cell>
          <cell r="Z757">
            <v>0</v>
          </cell>
        </row>
        <row r="758">
          <cell r="V758">
            <v>0</v>
          </cell>
          <cell r="Z758">
            <v>0</v>
          </cell>
        </row>
        <row r="759">
          <cell r="V759">
            <v>0</v>
          </cell>
          <cell r="Z759">
            <v>0</v>
          </cell>
        </row>
        <row r="760">
          <cell r="V760">
            <v>0</v>
          </cell>
          <cell r="Z760">
            <v>0</v>
          </cell>
        </row>
        <row r="761">
          <cell r="V761">
            <v>0</v>
          </cell>
          <cell r="Z761">
            <v>0</v>
          </cell>
        </row>
        <row r="762">
          <cell r="V762">
            <v>0</v>
          </cell>
          <cell r="Z762">
            <v>0</v>
          </cell>
        </row>
        <row r="763">
          <cell r="V763">
            <v>0</v>
          </cell>
          <cell r="Z763">
            <v>0</v>
          </cell>
        </row>
        <row r="764">
          <cell r="V764">
            <v>0</v>
          </cell>
          <cell r="Z764">
            <v>0</v>
          </cell>
        </row>
        <row r="765">
          <cell r="V765">
            <v>0</v>
          </cell>
          <cell r="Z765">
            <v>0</v>
          </cell>
        </row>
        <row r="766">
          <cell r="V766">
            <v>0</v>
          </cell>
          <cell r="Z766">
            <v>0</v>
          </cell>
        </row>
        <row r="767">
          <cell r="V767">
            <v>0</v>
          </cell>
          <cell r="Z767">
            <v>0</v>
          </cell>
        </row>
        <row r="768">
          <cell r="V768">
            <v>0</v>
          </cell>
          <cell r="Z768">
            <v>0</v>
          </cell>
        </row>
        <row r="769">
          <cell r="V769">
            <v>0</v>
          </cell>
          <cell r="Z769">
            <v>0</v>
          </cell>
        </row>
        <row r="770">
          <cell r="V770">
            <v>0</v>
          </cell>
          <cell r="Z770">
            <v>0</v>
          </cell>
        </row>
        <row r="771">
          <cell r="V771">
            <v>0</v>
          </cell>
          <cell r="Z771">
            <v>0</v>
          </cell>
        </row>
        <row r="772">
          <cell r="V772">
            <v>0</v>
          </cell>
          <cell r="Z772">
            <v>0</v>
          </cell>
        </row>
        <row r="773">
          <cell r="V773">
            <v>0</v>
          </cell>
          <cell r="Z773">
            <v>0</v>
          </cell>
        </row>
        <row r="774">
          <cell r="V774">
            <v>0</v>
          </cell>
          <cell r="Z774">
            <v>0</v>
          </cell>
        </row>
        <row r="775">
          <cell r="V775">
            <v>0</v>
          </cell>
          <cell r="Z775">
            <v>0</v>
          </cell>
        </row>
        <row r="776">
          <cell r="V776">
            <v>0</v>
          </cell>
          <cell r="Z776">
            <v>0</v>
          </cell>
        </row>
        <row r="777">
          <cell r="V777">
            <v>0</v>
          </cell>
          <cell r="Z777">
            <v>0</v>
          </cell>
        </row>
        <row r="778">
          <cell r="V778">
            <v>0</v>
          </cell>
          <cell r="Z778">
            <v>0</v>
          </cell>
        </row>
        <row r="779">
          <cell r="V779">
            <v>0</v>
          </cell>
          <cell r="Z779">
            <v>0</v>
          </cell>
        </row>
        <row r="780">
          <cell r="V780">
            <v>0</v>
          </cell>
          <cell r="Z780">
            <v>0</v>
          </cell>
        </row>
        <row r="781">
          <cell r="V781">
            <v>0</v>
          </cell>
          <cell r="Z781">
            <v>0</v>
          </cell>
        </row>
        <row r="782">
          <cell r="V782">
            <v>0</v>
          </cell>
          <cell r="Z782">
            <v>0</v>
          </cell>
        </row>
        <row r="783">
          <cell r="V783">
            <v>0</v>
          </cell>
          <cell r="Z783">
            <v>0</v>
          </cell>
        </row>
        <row r="784">
          <cell r="V784">
            <v>0</v>
          </cell>
          <cell r="Z784">
            <v>0</v>
          </cell>
        </row>
        <row r="785">
          <cell r="V785">
            <v>0</v>
          </cell>
          <cell r="Z785">
            <v>0</v>
          </cell>
        </row>
        <row r="786">
          <cell r="V786">
            <v>0</v>
          </cell>
          <cell r="Z786">
            <v>0</v>
          </cell>
        </row>
        <row r="787">
          <cell r="V787">
            <v>0</v>
          </cell>
          <cell r="Z787">
            <v>0</v>
          </cell>
        </row>
        <row r="788">
          <cell r="V788">
            <v>0</v>
          </cell>
          <cell r="Z788">
            <v>0</v>
          </cell>
        </row>
        <row r="789">
          <cell r="V789">
            <v>0</v>
          </cell>
          <cell r="Z789">
            <v>0</v>
          </cell>
        </row>
        <row r="790">
          <cell r="V790">
            <v>0</v>
          </cell>
          <cell r="Z790">
            <v>0</v>
          </cell>
        </row>
        <row r="791">
          <cell r="V791">
            <v>0</v>
          </cell>
          <cell r="Z791">
            <v>0</v>
          </cell>
        </row>
        <row r="792">
          <cell r="V792">
            <v>0</v>
          </cell>
          <cell r="Z792">
            <v>0</v>
          </cell>
        </row>
        <row r="793">
          <cell r="V793">
            <v>0</v>
          </cell>
          <cell r="Z793">
            <v>0</v>
          </cell>
        </row>
        <row r="794">
          <cell r="V794">
            <v>0</v>
          </cell>
          <cell r="Z794">
            <v>0</v>
          </cell>
        </row>
        <row r="795">
          <cell r="V795">
            <v>0</v>
          </cell>
          <cell r="Z795">
            <v>0</v>
          </cell>
        </row>
        <row r="796">
          <cell r="V796">
            <v>0</v>
          </cell>
          <cell r="Z796">
            <v>0</v>
          </cell>
        </row>
        <row r="797">
          <cell r="V797">
            <v>0</v>
          </cell>
          <cell r="Z797">
            <v>0</v>
          </cell>
        </row>
        <row r="798">
          <cell r="V798">
            <v>0</v>
          </cell>
          <cell r="Z798">
            <v>0</v>
          </cell>
        </row>
        <row r="799">
          <cell r="V799">
            <v>0</v>
          </cell>
          <cell r="Z799">
            <v>0</v>
          </cell>
        </row>
        <row r="800">
          <cell r="V800">
            <v>0</v>
          </cell>
          <cell r="Z800">
            <v>0</v>
          </cell>
        </row>
        <row r="801">
          <cell r="V801">
            <v>0</v>
          </cell>
          <cell r="Z801">
            <v>0</v>
          </cell>
        </row>
        <row r="802">
          <cell r="V802">
            <v>0</v>
          </cell>
          <cell r="Z802">
            <v>0</v>
          </cell>
        </row>
        <row r="803">
          <cell r="V803">
            <v>0</v>
          </cell>
          <cell r="Z803">
            <v>0</v>
          </cell>
        </row>
        <row r="804">
          <cell r="V804">
            <v>0</v>
          </cell>
          <cell r="Z804">
            <v>0</v>
          </cell>
        </row>
        <row r="805">
          <cell r="V805">
            <v>0</v>
          </cell>
          <cell r="Z805">
            <v>0</v>
          </cell>
        </row>
        <row r="806">
          <cell r="V806">
            <v>0</v>
          </cell>
          <cell r="Z806">
            <v>0</v>
          </cell>
        </row>
        <row r="807">
          <cell r="V807">
            <v>0</v>
          </cell>
          <cell r="Z807">
            <v>0</v>
          </cell>
        </row>
        <row r="808">
          <cell r="V808">
            <v>0</v>
          </cell>
          <cell r="Z808">
            <v>0</v>
          </cell>
        </row>
        <row r="809">
          <cell r="V809">
            <v>0</v>
          </cell>
          <cell r="Z809">
            <v>0</v>
          </cell>
        </row>
        <row r="810">
          <cell r="V810">
            <v>0</v>
          </cell>
          <cell r="Z810">
            <v>0</v>
          </cell>
        </row>
        <row r="811">
          <cell r="V811">
            <v>0</v>
          </cell>
          <cell r="Z811">
            <v>0</v>
          </cell>
        </row>
        <row r="812">
          <cell r="V812">
            <v>0</v>
          </cell>
          <cell r="Z812">
            <v>0</v>
          </cell>
        </row>
        <row r="813">
          <cell r="V813">
            <v>0</v>
          </cell>
          <cell r="Z813">
            <v>0</v>
          </cell>
        </row>
        <row r="814">
          <cell r="V814">
            <v>0</v>
          </cell>
          <cell r="Z814">
            <v>0</v>
          </cell>
        </row>
        <row r="815">
          <cell r="V815">
            <v>0</v>
          </cell>
          <cell r="Z815">
            <v>0</v>
          </cell>
        </row>
        <row r="816">
          <cell r="V816">
            <v>0</v>
          </cell>
          <cell r="Z816">
            <v>0</v>
          </cell>
        </row>
        <row r="817">
          <cell r="V817">
            <v>0</v>
          </cell>
          <cell r="Z817">
            <v>0</v>
          </cell>
        </row>
        <row r="818">
          <cell r="V818">
            <v>0</v>
          </cell>
          <cell r="Z818">
            <v>0</v>
          </cell>
        </row>
        <row r="819">
          <cell r="V819">
            <v>0</v>
          </cell>
          <cell r="Z819">
            <v>0</v>
          </cell>
        </row>
        <row r="820">
          <cell r="V820">
            <v>0</v>
          </cell>
          <cell r="Z820">
            <v>0</v>
          </cell>
        </row>
        <row r="821">
          <cell r="V821">
            <v>0</v>
          </cell>
          <cell r="Z821">
            <v>0</v>
          </cell>
        </row>
        <row r="822">
          <cell r="V822">
            <v>0</v>
          </cell>
          <cell r="Z822">
            <v>0</v>
          </cell>
        </row>
        <row r="823">
          <cell r="V823">
            <v>0</v>
          </cell>
          <cell r="Z823">
            <v>0</v>
          </cell>
        </row>
        <row r="824">
          <cell r="V824">
            <v>0</v>
          </cell>
          <cell r="Z824">
            <v>0</v>
          </cell>
        </row>
        <row r="825">
          <cell r="V825">
            <v>0</v>
          </cell>
          <cell r="Z825">
            <v>0</v>
          </cell>
        </row>
        <row r="826">
          <cell r="V826">
            <v>0</v>
          </cell>
          <cell r="Z826">
            <v>0</v>
          </cell>
        </row>
        <row r="827">
          <cell r="V827">
            <v>0</v>
          </cell>
          <cell r="Z827">
            <v>0</v>
          </cell>
        </row>
        <row r="828">
          <cell r="V828">
            <v>0</v>
          </cell>
          <cell r="Z828">
            <v>0</v>
          </cell>
        </row>
        <row r="829">
          <cell r="V829">
            <v>0</v>
          </cell>
          <cell r="Z829">
            <v>0</v>
          </cell>
        </row>
        <row r="830">
          <cell r="V830">
            <v>0</v>
          </cell>
          <cell r="Z830">
            <v>0</v>
          </cell>
        </row>
        <row r="831">
          <cell r="V831">
            <v>0</v>
          </cell>
          <cell r="Z831">
            <v>0</v>
          </cell>
        </row>
        <row r="832">
          <cell r="V832">
            <v>0</v>
          </cell>
          <cell r="Z832">
            <v>0</v>
          </cell>
        </row>
        <row r="833">
          <cell r="V833">
            <v>0</v>
          </cell>
          <cell r="Z833">
            <v>0</v>
          </cell>
        </row>
        <row r="834">
          <cell r="V834">
            <v>0</v>
          </cell>
          <cell r="Z834">
            <v>0</v>
          </cell>
        </row>
        <row r="835">
          <cell r="V835">
            <v>0</v>
          </cell>
          <cell r="Z835">
            <v>0</v>
          </cell>
        </row>
        <row r="836">
          <cell r="V836">
            <v>0</v>
          </cell>
          <cell r="Z836">
            <v>0</v>
          </cell>
        </row>
        <row r="837">
          <cell r="V837">
            <v>0</v>
          </cell>
          <cell r="Z837">
            <v>0</v>
          </cell>
        </row>
        <row r="838">
          <cell r="V838">
            <v>0</v>
          </cell>
          <cell r="Z838">
            <v>0</v>
          </cell>
        </row>
        <row r="839">
          <cell r="V839">
            <v>0</v>
          </cell>
          <cell r="Z839">
            <v>0</v>
          </cell>
        </row>
        <row r="840">
          <cell r="V840">
            <v>0</v>
          </cell>
          <cell r="Z840">
            <v>0</v>
          </cell>
        </row>
        <row r="841">
          <cell r="V841">
            <v>0</v>
          </cell>
          <cell r="Z841">
            <v>0</v>
          </cell>
        </row>
        <row r="842">
          <cell r="V842">
            <v>0</v>
          </cell>
          <cell r="Z842">
            <v>0</v>
          </cell>
        </row>
        <row r="843">
          <cell r="V843">
            <v>0</v>
          </cell>
          <cell r="Z843">
            <v>0</v>
          </cell>
        </row>
        <row r="844">
          <cell r="V844">
            <v>0</v>
          </cell>
          <cell r="Z844">
            <v>0</v>
          </cell>
        </row>
        <row r="845">
          <cell r="V845">
            <v>0</v>
          </cell>
          <cell r="Z845">
            <v>0</v>
          </cell>
        </row>
        <row r="846">
          <cell r="V846">
            <v>0</v>
          </cell>
          <cell r="Z846">
            <v>0</v>
          </cell>
        </row>
        <row r="847">
          <cell r="V847">
            <v>0</v>
          </cell>
          <cell r="Z847">
            <v>0</v>
          </cell>
        </row>
        <row r="848">
          <cell r="V848">
            <v>0</v>
          </cell>
          <cell r="Z848">
            <v>0</v>
          </cell>
        </row>
        <row r="849">
          <cell r="V849">
            <v>0</v>
          </cell>
          <cell r="Z849">
            <v>0</v>
          </cell>
        </row>
        <row r="850">
          <cell r="V850">
            <v>0</v>
          </cell>
          <cell r="Z850">
            <v>0</v>
          </cell>
        </row>
        <row r="851">
          <cell r="V851">
            <v>0</v>
          </cell>
          <cell r="Z851">
            <v>0</v>
          </cell>
        </row>
        <row r="852">
          <cell r="V852">
            <v>0</v>
          </cell>
          <cell r="Z852">
            <v>0</v>
          </cell>
        </row>
        <row r="853">
          <cell r="V853">
            <v>0</v>
          </cell>
          <cell r="Z853">
            <v>0</v>
          </cell>
        </row>
        <row r="854">
          <cell r="V854">
            <v>0</v>
          </cell>
          <cell r="Z854">
            <v>0</v>
          </cell>
        </row>
        <row r="855">
          <cell r="V855">
            <v>0</v>
          </cell>
          <cell r="Z855">
            <v>0</v>
          </cell>
        </row>
        <row r="856">
          <cell r="V856">
            <v>0</v>
          </cell>
          <cell r="Z856">
            <v>0</v>
          </cell>
        </row>
        <row r="857">
          <cell r="V857">
            <v>0</v>
          </cell>
          <cell r="Z857">
            <v>0</v>
          </cell>
        </row>
        <row r="858">
          <cell r="V858">
            <v>0</v>
          </cell>
          <cell r="Z858">
            <v>0</v>
          </cell>
        </row>
        <row r="859">
          <cell r="V859">
            <v>0</v>
          </cell>
          <cell r="Z859">
            <v>0</v>
          </cell>
        </row>
        <row r="860">
          <cell r="V860">
            <v>0</v>
          </cell>
          <cell r="Z860">
            <v>0</v>
          </cell>
        </row>
        <row r="861">
          <cell r="V861">
            <v>0</v>
          </cell>
          <cell r="Z861">
            <v>0</v>
          </cell>
        </row>
        <row r="862">
          <cell r="V862">
            <v>0</v>
          </cell>
          <cell r="Z862">
            <v>0</v>
          </cell>
        </row>
        <row r="863">
          <cell r="V863">
            <v>0</v>
          </cell>
          <cell r="Z863">
            <v>0</v>
          </cell>
        </row>
        <row r="864">
          <cell r="V864">
            <v>0</v>
          </cell>
          <cell r="Z864">
            <v>0</v>
          </cell>
        </row>
        <row r="865">
          <cell r="V865">
            <v>0</v>
          </cell>
          <cell r="Z865">
            <v>0</v>
          </cell>
        </row>
        <row r="866">
          <cell r="V866">
            <v>0</v>
          </cell>
          <cell r="Z866">
            <v>0</v>
          </cell>
        </row>
        <row r="867">
          <cell r="V867">
            <v>0</v>
          </cell>
          <cell r="Z867">
            <v>0</v>
          </cell>
        </row>
        <row r="868">
          <cell r="V868">
            <v>0</v>
          </cell>
          <cell r="Z868">
            <v>0</v>
          </cell>
        </row>
        <row r="869">
          <cell r="V869">
            <v>0</v>
          </cell>
          <cell r="Z869">
            <v>0</v>
          </cell>
        </row>
        <row r="870">
          <cell r="V870">
            <v>0</v>
          </cell>
          <cell r="Z870">
            <v>0</v>
          </cell>
        </row>
        <row r="871">
          <cell r="V871">
            <v>0</v>
          </cell>
          <cell r="Z871">
            <v>0</v>
          </cell>
        </row>
        <row r="872">
          <cell r="V872">
            <v>0</v>
          </cell>
          <cell r="Z872">
            <v>0</v>
          </cell>
        </row>
        <row r="873">
          <cell r="V873">
            <v>0</v>
          </cell>
          <cell r="Z873">
            <v>0</v>
          </cell>
        </row>
        <row r="874">
          <cell r="V874">
            <v>0</v>
          </cell>
          <cell r="Z874">
            <v>0</v>
          </cell>
        </row>
        <row r="875">
          <cell r="V875">
            <v>0</v>
          </cell>
          <cell r="Z875">
            <v>0</v>
          </cell>
        </row>
        <row r="876">
          <cell r="V876">
            <v>0</v>
          </cell>
          <cell r="Z876">
            <v>0</v>
          </cell>
        </row>
        <row r="877">
          <cell r="V877">
            <v>0</v>
          </cell>
          <cell r="Z877">
            <v>0</v>
          </cell>
        </row>
        <row r="878">
          <cell r="V878">
            <v>0</v>
          </cell>
          <cell r="Z878">
            <v>0</v>
          </cell>
        </row>
        <row r="879">
          <cell r="V879">
            <v>0</v>
          </cell>
          <cell r="Z879">
            <v>0</v>
          </cell>
        </row>
        <row r="880">
          <cell r="V880">
            <v>0</v>
          </cell>
          <cell r="Z880">
            <v>0</v>
          </cell>
        </row>
        <row r="881">
          <cell r="V881">
            <v>0</v>
          </cell>
          <cell r="Z881">
            <v>0</v>
          </cell>
        </row>
        <row r="882">
          <cell r="V882">
            <v>0</v>
          </cell>
          <cell r="Z882">
            <v>0</v>
          </cell>
        </row>
        <row r="883">
          <cell r="V883">
            <v>0</v>
          </cell>
          <cell r="Z883">
            <v>0</v>
          </cell>
        </row>
        <row r="884">
          <cell r="V884">
            <v>0</v>
          </cell>
          <cell r="Z884">
            <v>0</v>
          </cell>
        </row>
        <row r="885">
          <cell r="V885">
            <v>0</v>
          </cell>
          <cell r="Z885">
            <v>0</v>
          </cell>
        </row>
        <row r="886">
          <cell r="V886">
            <v>0</v>
          </cell>
          <cell r="Z886">
            <v>0</v>
          </cell>
        </row>
        <row r="887">
          <cell r="V887">
            <v>0</v>
          </cell>
          <cell r="Z887">
            <v>0</v>
          </cell>
        </row>
        <row r="888">
          <cell r="V888">
            <v>0</v>
          </cell>
          <cell r="Z888">
            <v>0</v>
          </cell>
        </row>
        <row r="889">
          <cell r="V889">
            <v>0</v>
          </cell>
          <cell r="Z889">
            <v>0</v>
          </cell>
        </row>
        <row r="890">
          <cell r="V890">
            <v>0</v>
          </cell>
          <cell r="Z890">
            <v>0</v>
          </cell>
        </row>
        <row r="891">
          <cell r="V891">
            <v>0</v>
          </cell>
          <cell r="Z891">
            <v>0</v>
          </cell>
        </row>
        <row r="892">
          <cell r="V892">
            <v>0</v>
          </cell>
          <cell r="Z892">
            <v>0</v>
          </cell>
        </row>
        <row r="893">
          <cell r="V893">
            <v>0</v>
          </cell>
          <cell r="Z893">
            <v>0</v>
          </cell>
        </row>
        <row r="894">
          <cell r="V894">
            <v>0</v>
          </cell>
          <cell r="Z894">
            <v>0</v>
          </cell>
        </row>
        <row r="895">
          <cell r="V895">
            <v>0</v>
          </cell>
          <cell r="Z895">
            <v>0</v>
          </cell>
        </row>
        <row r="896">
          <cell r="V896">
            <v>0</v>
          </cell>
          <cell r="Z896">
            <v>0</v>
          </cell>
        </row>
        <row r="897">
          <cell r="V897">
            <v>0</v>
          </cell>
          <cell r="Z897">
            <v>0</v>
          </cell>
        </row>
        <row r="898">
          <cell r="V898">
            <v>0</v>
          </cell>
          <cell r="Z898">
            <v>0</v>
          </cell>
        </row>
        <row r="899">
          <cell r="V899">
            <v>0</v>
          </cell>
          <cell r="Z899">
            <v>0</v>
          </cell>
        </row>
        <row r="900">
          <cell r="V900">
            <v>0</v>
          </cell>
          <cell r="Z900">
            <v>0</v>
          </cell>
        </row>
        <row r="901">
          <cell r="V901">
            <v>0</v>
          </cell>
          <cell r="Z901">
            <v>0</v>
          </cell>
        </row>
        <row r="902">
          <cell r="V902">
            <v>0</v>
          </cell>
          <cell r="Z902">
            <v>0</v>
          </cell>
        </row>
        <row r="903">
          <cell r="V903">
            <v>0</v>
          </cell>
          <cell r="Z903">
            <v>0</v>
          </cell>
        </row>
        <row r="904">
          <cell r="V904">
            <v>0</v>
          </cell>
          <cell r="Z904">
            <v>0</v>
          </cell>
        </row>
        <row r="905">
          <cell r="V905">
            <v>0</v>
          </cell>
          <cell r="Z905">
            <v>0</v>
          </cell>
        </row>
        <row r="906">
          <cell r="V906">
            <v>0</v>
          </cell>
          <cell r="Z906">
            <v>0</v>
          </cell>
        </row>
        <row r="907">
          <cell r="V907">
            <v>0</v>
          </cell>
          <cell r="Z907">
            <v>0</v>
          </cell>
        </row>
        <row r="908">
          <cell r="V908">
            <v>0</v>
          </cell>
          <cell r="Z908">
            <v>0</v>
          </cell>
        </row>
        <row r="909">
          <cell r="V909">
            <v>0</v>
          </cell>
          <cell r="Z909">
            <v>0</v>
          </cell>
        </row>
        <row r="910">
          <cell r="V910">
            <v>0</v>
          </cell>
          <cell r="Z910">
            <v>0</v>
          </cell>
        </row>
        <row r="911">
          <cell r="V911">
            <v>0</v>
          </cell>
          <cell r="Z911">
            <v>0</v>
          </cell>
        </row>
        <row r="912">
          <cell r="V912">
            <v>0</v>
          </cell>
          <cell r="Z912">
            <v>0</v>
          </cell>
        </row>
        <row r="913">
          <cell r="V913">
            <v>0</v>
          </cell>
          <cell r="Z913">
            <v>0</v>
          </cell>
        </row>
        <row r="914">
          <cell r="V914">
            <v>0</v>
          </cell>
          <cell r="Z914">
            <v>0</v>
          </cell>
        </row>
        <row r="915">
          <cell r="V915">
            <v>0</v>
          </cell>
          <cell r="Z915">
            <v>0</v>
          </cell>
        </row>
        <row r="916">
          <cell r="V916">
            <v>0</v>
          </cell>
          <cell r="Z916">
            <v>0</v>
          </cell>
        </row>
        <row r="917">
          <cell r="V917">
            <v>0</v>
          </cell>
          <cell r="Z917">
            <v>0</v>
          </cell>
        </row>
        <row r="918">
          <cell r="V918">
            <v>0</v>
          </cell>
          <cell r="Z918">
            <v>0</v>
          </cell>
        </row>
        <row r="919">
          <cell r="V919">
            <v>0</v>
          </cell>
          <cell r="Z919">
            <v>0</v>
          </cell>
        </row>
        <row r="920">
          <cell r="V920">
            <v>0</v>
          </cell>
          <cell r="Z920">
            <v>0</v>
          </cell>
        </row>
        <row r="921">
          <cell r="V921">
            <v>0</v>
          </cell>
          <cell r="Z921">
            <v>0</v>
          </cell>
        </row>
        <row r="922">
          <cell r="V922">
            <v>0</v>
          </cell>
          <cell r="Z922">
            <v>0</v>
          </cell>
        </row>
        <row r="923">
          <cell r="V923">
            <v>0</v>
          </cell>
          <cell r="Z923">
            <v>0</v>
          </cell>
        </row>
        <row r="924">
          <cell r="V924">
            <v>0</v>
          </cell>
          <cell r="Z924">
            <v>0</v>
          </cell>
        </row>
        <row r="925">
          <cell r="V925">
            <v>0</v>
          </cell>
          <cell r="Z925">
            <v>0</v>
          </cell>
        </row>
        <row r="926">
          <cell r="V926">
            <v>0</v>
          </cell>
          <cell r="Z926">
            <v>0</v>
          </cell>
        </row>
        <row r="927">
          <cell r="V927">
            <v>0</v>
          </cell>
          <cell r="Z927">
            <v>0</v>
          </cell>
        </row>
        <row r="928">
          <cell r="V928">
            <v>0</v>
          </cell>
          <cell r="Z928">
            <v>0</v>
          </cell>
        </row>
        <row r="929">
          <cell r="V929">
            <v>0</v>
          </cell>
          <cell r="Z929">
            <v>0</v>
          </cell>
        </row>
        <row r="930">
          <cell r="V930">
            <v>0</v>
          </cell>
          <cell r="Z930">
            <v>0</v>
          </cell>
        </row>
        <row r="931">
          <cell r="V931">
            <v>0</v>
          </cell>
          <cell r="Z931">
            <v>0</v>
          </cell>
        </row>
        <row r="932">
          <cell r="V932">
            <v>0</v>
          </cell>
          <cell r="Z932">
            <v>0</v>
          </cell>
        </row>
        <row r="933">
          <cell r="V933">
            <v>0</v>
          </cell>
          <cell r="Z933">
            <v>0</v>
          </cell>
        </row>
        <row r="934">
          <cell r="V934">
            <v>0</v>
          </cell>
          <cell r="Z934">
            <v>0</v>
          </cell>
        </row>
        <row r="935">
          <cell r="V935">
            <v>0</v>
          </cell>
          <cell r="Z935">
            <v>0</v>
          </cell>
        </row>
        <row r="936">
          <cell r="V936">
            <v>0</v>
          </cell>
          <cell r="Z936">
            <v>0</v>
          </cell>
        </row>
        <row r="937">
          <cell r="V937">
            <v>0</v>
          </cell>
          <cell r="Z937">
            <v>0</v>
          </cell>
        </row>
        <row r="938">
          <cell r="V938">
            <v>0</v>
          </cell>
          <cell r="Z938">
            <v>0</v>
          </cell>
        </row>
        <row r="939">
          <cell r="V939">
            <v>0</v>
          </cell>
          <cell r="Z939">
            <v>0</v>
          </cell>
        </row>
        <row r="940">
          <cell r="V940">
            <v>0</v>
          </cell>
          <cell r="Z940">
            <v>0</v>
          </cell>
        </row>
        <row r="941">
          <cell r="V941">
            <v>0</v>
          </cell>
          <cell r="Z941">
            <v>0</v>
          </cell>
        </row>
        <row r="942">
          <cell r="V942">
            <v>0</v>
          </cell>
          <cell r="Z942">
            <v>0</v>
          </cell>
        </row>
        <row r="943">
          <cell r="V943">
            <v>0</v>
          </cell>
          <cell r="Z943">
            <v>0</v>
          </cell>
        </row>
        <row r="944">
          <cell r="V944">
            <v>0</v>
          </cell>
          <cell r="Z944">
            <v>0</v>
          </cell>
        </row>
        <row r="945">
          <cell r="V945">
            <v>0</v>
          </cell>
          <cell r="Z945">
            <v>0</v>
          </cell>
        </row>
        <row r="946">
          <cell r="V946">
            <v>0</v>
          </cell>
          <cell r="Z946">
            <v>0</v>
          </cell>
        </row>
        <row r="947">
          <cell r="V947">
            <v>0</v>
          </cell>
          <cell r="Z947">
            <v>0</v>
          </cell>
        </row>
        <row r="948">
          <cell r="V948">
            <v>0</v>
          </cell>
          <cell r="Z948">
            <v>0</v>
          </cell>
        </row>
        <row r="949">
          <cell r="V949">
            <v>0</v>
          </cell>
          <cell r="Z949">
            <v>0</v>
          </cell>
        </row>
        <row r="950">
          <cell r="V950">
            <v>0</v>
          </cell>
          <cell r="Z950">
            <v>0</v>
          </cell>
        </row>
        <row r="951">
          <cell r="V951">
            <v>0</v>
          </cell>
          <cell r="Z951">
            <v>0</v>
          </cell>
        </row>
        <row r="952">
          <cell r="V952">
            <v>0</v>
          </cell>
          <cell r="Z952">
            <v>0</v>
          </cell>
        </row>
        <row r="953">
          <cell r="V953">
            <v>0</v>
          </cell>
          <cell r="Z953">
            <v>0</v>
          </cell>
        </row>
        <row r="954">
          <cell r="V954">
            <v>0</v>
          </cell>
          <cell r="Z954">
            <v>0</v>
          </cell>
        </row>
        <row r="955">
          <cell r="V955">
            <v>0</v>
          </cell>
          <cell r="Z955">
            <v>0</v>
          </cell>
        </row>
        <row r="956">
          <cell r="V956">
            <v>0</v>
          </cell>
          <cell r="Z956">
            <v>0</v>
          </cell>
        </row>
        <row r="957">
          <cell r="V957">
            <v>0</v>
          </cell>
          <cell r="Z957">
            <v>0</v>
          </cell>
        </row>
        <row r="958">
          <cell r="V958">
            <v>0</v>
          </cell>
          <cell r="Z958">
            <v>0</v>
          </cell>
        </row>
        <row r="959">
          <cell r="V959">
            <v>0</v>
          </cell>
          <cell r="Z959">
            <v>0</v>
          </cell>
        </row>
        <row r="960">
          <cell r="V960">
            <v>0</v>
          </cell>
          <cell r="Z960">
            <v>0</v>
          </cell>
        </row>
        <row r="961">
          <cell r="V961">
            <v>0</v>
          </cell>
          <cell r="Z961">
            <v>0</v>
          </cell>
        </row>
        <row r="962">
          <cell r="V962">
            <v>0</v>
          </cell>
          <cell r="Z962">
            <v>0</v>
          </cell>
        </row>
        <row r="963">
          <cell r="V963">
            <v>0</v>
          </cell>
          <cell r="Z963">
            <v>0</v>
          </cell>
        </row>
        <row r="964">
          <cell r="V964">
            <v>0</v>
          </cell>
          <cell r="Z964">
            <v>0</v>
          </cell>
        </row>
        <row r="965">
          <cell r="V965">
            <v>0</v>
          </cell>
          <cell r="Z965">
            <v>0</v>
          </cell>
        </row>
        <row r="966">
          <cell r="V966">
            <v>0</v>
          </cell>
          <cell r="Z966">
            <v>0</v>
          </cell>
        </row>
        <row r="967">
          <cell r="V967">
            <v>0</v>
          </cell>
          <cell r="Z967">
            <v>0</v>
          </cell>
        </row>
        <row r="968">
          <cell r="V968">
            <v>0</v>
          </cell>
          <cell r="Z968">
            <v>0</v>
          </cell>
        </row>
        <row r="969">
          <cell r="V969">
            <v>0</v>
          </cell>
          <cell r="Z969">
            <v>0</v>
          </cell>
        </row>
        <row r="970">
          <cell r="V970">
            <v>0</v>
          </cell>
          <cell r="Z970">
            <v>0</v>
          </cell>
        </row>
        <row r="971">
          <cell r="V971">
            <v>0</v>
          </cell>
          <cell r="Z971">
            <v>0</v>
          </cell>
        </row>
        <row r="972">
          <cell r="V972">
            <v>0</v>
          </cell>
          <cell r="Z972">
            <v>0</v>
          </cell>
        </row>
        <row r="973">
          <cell r="V973">
            <v>0</v>
          </cell>
          <cell r="Z973">
            <v>0</v>
          </cell>
        </row>
        <row r="974">
          <cell r="V974">
            <v>0</v>
          </cell>
          <cell r="Z974">
            <v>0</v>
          </cell>
        </row>
        <row r="975">
          <cell r="V975">
            <v>0</v>
          </cell>
          <cell r="Z975">
            <v>0</v>
          </cell>
        </row>
        <row r="976">
          <cell r="V976">
            <v>0</v>
          </cell>
          <cell r="Z976">
            <v>0</v>
          </cell>
        </row>
        <row r="977">
          <cell r="V977">
            <v>0</v>
          </cell>
          <cell r="Z977">
            <v>0</v>
          </cell>
        </row>
        <row r="978">
          <cell r="V978">
            <v>0</v>
          </cell>
          <cell r="Z978">
            <v>0</v>
          </cell>
        </row>
        <row r="979">
          <cell r="V979">
            <v>0</v>
          </cell>
          <cell r="Z979">
            <v>0</v>
          </cell>
        </row>
        <row r="980">
          <cell r="V980">
            <v>0</v>
          </cell>
          <cell r="Z980">
            <v>0</v>
          </cell>
        </row>
        <row r="981">
          <cell r="V981">
            <v>0</v>
          </cell>
          <cell r="Z981">
            <v>0</v>
          </cell>
        </row>
        <row r="982">
          <cell r="V982">
            <v>0</v>
          </cell>
          <cell r="Z982">
            <v>0</v>
          </cell>
        </row>
        <row r="983">
          <cell r="V983">
            <v>0</v>
          </cell>
          <cell r="Z983">
            <v>0</v>
          </cell>
        </row>
        <row r="984">
          <cell r="V984">
            <v>0</v>
          </cell>
          <cell r="Z984">
            <v>0</v>
          </cell>
        </row>
        <row r="985">
          <cell r="V985">
            <v>0</v>
          </cell>
          <cell r="Z985">
            <v>0</v>
          </cell>
        </row>
        <row r="986">
          <cell r="V986">
            <v>0</v>
          </cell>
          <cell r="Z986">
            <v>0</v>
          </cell>
        </row>
        <row r="987">
          <cell r="V987">
            <v>0</v>
          </cell>
          <cell r="Z987">
            <v>0</v>
          </cell>
        </row>
        <row r="988">
          <cell r="V988">
            <v>0</v>
          </cell>
          <cell r="Z988">
            <v>0</v>
          </cell>
        </row>
        <row r="989">
          <cell r="V989">
            <v>0</v>
          </cell>
          <cell r="Z989">
            <v>0</v>
          </cell>
        </row>
        <row r="990">
          <cell r="V990">
            <v>0</v>
          </cell>
          <cell r="Z990">
            <v>0</v>
          </cell>
        </row>
        <row r="991">
          <cell r="V991">
            <v>0</v>
          </cell>
          <cell r="Z991">
            <v>0</v>
          </cell>
        </row>
        <row r="992">
          <cell r="V992">
            <v>0</v>
          </cell>
          <cell r="Z992">
            <v>0</v>
          </cell>
        </row>
        <row r="993">
          <cell r="V993">
            <v>0</v>
          </cell>
          <cell r="Z993">
            <v>0</v>
          </cell>
        </row>
        <row r="994">
          <cell r="V994">
            <v>0</v>
          </cell>
          <cell r="Z994">
            <v>0</v>
          </cell>
        </row>
        <row r="995">
          <cell r="V995">
            <v>0</v>
          </cell>
          <cell r="Z995">
            <v>0</v>
          </cell>
        </row>
        <row r="996">
          <cell r="V996">
            <v>0</v>
          </cell>
          <cell r="Z996">
            <v>0</v>
          </cell>
        </row>
        <row r="997">
          <cell r="V997">
            <v>0</v>
          </cell>
          <cell r="Z997">
            <v>0</v>
          </cell>
        </row>
        <row r="998">
          <cell r="V998">
            <v>0</v>
          </cell>
          <cell r="Z998">
            <v>0</v>
          </cell>
        </row>
        <row r="999">
          <cell r="V999">
            <v>0</v>
          </cell>
          <cell r="Z999">
            <v>0</v>
          </cell>
        </row>
        <row r="1000">
          <cell r="V1000">
            <v>0</v>
          </cell>
          <cell r="Z1000">
            <v>0</v>
          </cell>
        </row>
        <row r="1001">
          <cell r="V1001">
            <v>0</v>
          </cell>
          <cell r="Z1001">
            <v>0</v>
          </cell>
        </row>
        <row r="1002">
          <cell r="V1002">
            <v>0</v>
          </cell>
          <cell r="Z1002">
            <v>0</v>
          </cell>
        </row>
        <row r="1003">
          <cell r="V1003">
            <v>0</v>
          </cell>
          <cell r="Z1003">
            <v>0</v>
          </cell>
        </row>
        <row r="1004">
          <cell r="V1004">
            <v>0</v>
          </cell>
          <cell r="Z1004">
            <v>0</v>
          </cell>
        </row>
        <row r="1005">
          <cell r="V1005">
            <v>0</v>
          </cell>
          <cell r="Z1005">
            <v>0</v>
          </cell>
        </row>
        <row r="1006">
          <cell r="V1006">
            <v>0</v>
          </cell>
          <cell r="Z1006">
            <v>0</v>
          </cell>
        </row>
        <row r="1007">
          <cell r="V1007">
            <v>0</v>
          </cell>
          <cell r="Z1007">
            <v>0</v>
          </cell>
        </row>
        <row r="1008">
          <cell r="V1008">
            <v>0</v>
          </cell>
          <cell r="Z1008">
            <v>0</v>
          </cell>
        </row>
        <row r="1009">
          <cell r="V1009">
            <v>0</v>
          </cell>
          <cell r="Z1009">
            <v>0</v>
          </cell>
        </row>
        <row r="1010">
          <cell r="V1010">
            <v>0</v>
          </cell>
          <cell r="Z1010">
            <v>0</v>
          </cell>
        </row>
        <row r="1011">
          <cell r="V1011">
            <v>0</v>
          </cell>
          <cell r="Z1011">
            <v>0</v>
          </cell>
        </row>
        <row r="1012">
          <cell r="V1012">
            <v>0</v>
          </cell>
          <cell r="Z1012">
            <v>0</v>
          </cell>
        </row>
        <row r="1013">
          <cell r="V1013">
            <v>0</v>
          </cell>
          <cell r="Z1013">
            <v>0</v>
          </cell>
        </row>
        <row r="1014">
          <cell r="V1014">
            <v>0</v>
          </cell>
          <cell r="Z1014">
            <v>0</v>
          </cell>
        </row>
        <row r="1015">
          <cell r="V1015">
            <v>0</v>
          </cell>
          <cell r="Z1015">
            <v>0</v>
          </cell>
        </row>
        <row r="1016">
          <cell r="V1016">
            <v>0</v>
          </cell>
          <cell r="Z1016">
            <v>0</v>
          </cell>
        </row>
        <row r="1017">
          <cell r="V1017">
            <v>0</v>
          </cell>
          <cell r="Z1017">
            <v>0</v>
          </cell>
        </row>
        <row r="1018">
          <cell r="V1018">
            <v>0</v>
          </cell>
          <cell r="Z1018">
            <v>0</v>
          </cell>
        </row>
        <row r="1019">
          <cell r="V1019">
            <v>0</v>
          </cell>
          <cell r="Z1019">
            <v>0</v>
          </cell>
        </row>
        <row r="1020">
          <cell r="V1020">
            <v>0</v>
          </cell>
          <cell r="Z1020">
            <v>0</v>
          </cell>
        </row>
        <row r="1021">
          <cell r="V1021">
            <v>0</v>
          </cell>
          <cell r="Z1021">
            <v>0</v>
          </cell>
        </row>
        <row r="1022">
          <cell r="V1022">
            <v>0</v>
          </cell>
          <cell r="Z1022">
            <v>0</v>
          </cell>
        </row>
        <row r="1023">
          <cell r="V1023">
            <v>0</v>
          </cell>
          <cell r="Z1023">
            <v>0</v>
          </cell>
        </row>
        <row r="1024">
          <cell r="V1024">
            <v>0</v>
          </cell>
          <cell r="Z1024">
            <v>0</v>
          </cell>
        </row>
        <row r="1025">
          <cell r="V1025">
            <v>0</v>
          </cell>
          <cell r="Z1025">
            <v>0</v>
          </cell>
        </row>
        <row r="1026">
          <cell r="V1026">
            <v>0</v>
          </cell>
          <cell r="Z1026">
            <v>0</v>
          </cell>
        </row>
        <row r="1027">
          <cell r="V1027">
            <v>0</v>
          </cell>
          <cell r="Z1027">
            <v>0</v>
          </cell>
        </row>
        <row r="1028">
          <cell r="V1028">
            <v>0</v>
          </cell>
          <cell r="Z1028">
            <v>0</v>
          </cell>
        </row>
        <row r="1029">
          <cell r="V1029">
            <v>0</v>
          </cell>
          <cell r="Z1029">
            <v>0</v>
          </cell>
        </row>
        <row r="1030">
          <cell r="V1030">
            <v>0</v>
          </cell>
          <cell r="Z1030">
            <v>0</v>
          </cell>
        </row>
        <row r="1031">
          <cell r="V1031">
            <v>0</v>
          </cell>
          <cell r="Z1031">
            <v>0</v>
          </cell>
        </row>
        <row r="1032">
          <cell r="V1032">
            <v>0</v>
          </cell>
          <cell r="Z1032">
            <v>0</v>
          </cell>
        </row>
        <row r="1033">
          <cell r="V1033">
            <v>0</v>
          </cell>
          <cell r="Z1033">
            <v>0</v>
          </cell>
        </row>
        <row r="1034">
          <cell r="V1034">
            <v>0</v>
          </cell>
          <cell r="Z1034">
            <v>0</v>
          </cell>
        </row>
        <row r="1035">
          <cell r="V1035">
            <v>0</v>
          </cell>
          <cell r="Z1035">
            <v>0</v>
          </cell>
        </row>
        <row r="1036">
          <cell r="V1036">
            <v>0</v>
          </cell>
          <cell r="Z1036">
            <v>0</v>
          </cell>
        </row>
        <row r="1037">
          <cell r="V1037">
            <v>0</v>
          </cell>
          <cell r="Z1037">
            <v>0</v>
          </cell>
        </row>
        <row r="1038">
          <cell r="V1038">
            <v>0</v>
          </cell>
          <cell r="Z1038">
            <v>0</v>
          </cell>
        </row>
        <row r="1039">
          <cell r="V1039">
            <v>0</v>
          </cell>
          <cell r="Z1039">
            <v>0</v>
          </cell>
        </row>
        <row r="1040">
          <cell r="V1040">
            <v>0</v>
          </cell>
          <cell r="Z1040">
            <v>0</v>
          </cell>
        </row>
        <row r="1041">
          <cell r="V1041">
            <v>0</v>
          </cell>
          <cell r="Z1041">
            <v>0</v>
          </cell>
        </row>
        <row r="1042">
          <cell r="V1042">
            <v>0</v>
          </cell>
          <cell r="Z1042">
            <v>0</v>
          </cell>
        </row>
        <row r="1043">
          <cell r="V1043">
            <v>0</v>
          </cell>
          <cell r="Z1043">
            <v>0</v>
          </cell>
        </row>
        <row r="1044">
          <cell r="V1044">
            <v>0</v>
          </cell>
          <cell r="Z1044">
            <v>0</v>
          </cell>
        </row>
        <row r="1045">
          <cell r="V1045">
            <v>0</v>
          </cell>
          <cell r="Z1045">
            <v>0</v>
          </cell>
        </row>
        <row r="1046">
          <cell r="V1046">
            <v>0</v>
          </cell>
          <cell r="Z1046">
            <v>0</v>
          </cell>
        </row>
        <row r="1047">
          <cell r="V1047">
            <v>0</v>
          </cell>
          <cell r="Z1047">
            <v>0</v>
          </cell>
        </row>
        <row r="1048">
          <cell r="V1048">
            <v>0</v>
          </cell>
          <cell r="Z1048">
            <v>0</v>
          </cell>
        </row>
        <row r="1049">
          <cell r="V1049">
            <v>0</v>
          </cell>
          <cell r="Z1049">
            <v>0</v>
          </cell>
        </row>
        <row r="1050">
          <cell r="V1050">
            <v>0</v>
          </cell>
          <cell r="Z1050">
            <v>0</v>
          </cell>
        </row>
        <row r="1051">
          <cell r="V1051">
            <v>0</v>
          </cell>
          <cell r="Z1051">
            <v>0</v>
          </cell>
        </row>
        <row r="1052">
          <cell r="V1052">
            <v>0</v>
          </cell>
          <cell r="Z1052">
            <v>0</v>
          </cell>
        </row>
        <row r="1053">
          <cell r="V1053">
            <v>0</v>
          </cell>
          <cell r="Z1053">
            <v>0</v>
          </cell>
        </row>
        <row r="1054">
          <cell r="V1054">
            <v>0</v>
          </cell>
          <cell r="Z1054">
            <v>0</v>
          </cell>
        </row>
        <row r="1055">
          <cell r="V1055">
            <v>0</v>
          </cell>
          <cell r="Z1055">
            <v>0</v>
          </cell>
        </row>
        <row r="1056">
          <cell r="V1056">
            <v>0</v>
          </cell>
          <cell r="Z1056">
            <v>0</v>
          </cell>
        </row>
        <row r="1057">
          <cell r="V1057">
            <v>0</v>
          </cell>
          <cell r="Z1057">
            <v>0</v>
          </cell>
        </row>
        <row r="1058">
          <cell r="V1058">
            <v>0</v>
          </cell>
          <cell r="Z1058">
            <v>0</v>
          </cell>
        </row>
        <row r="1059">
          <cell r="V1059">
            <v>0</v>
          </cell>
          <cell r="Z1059">
            <v>0</v>
          </cell>
        </row>
        <row r="1060">
          <cell r="V1060">
            <v>0</v>
          </cell>
          <cell r="Z1060">
            <v>0</v>
          </cell>
        </row>
        <row r="1061">
          <cell r="V1061">
            <v>0</v>
          </cell>
          <cell r="Z1061">
            <v>0</v>
          </cell>
        </row>
        <row r="1062">
          <cell r="V1062">
            <v>0</v>
          </cell>
          <cell r="Z1062">
            <v>0</v>
          </cell>
        </row>
        <row r="1063">
          <cell r="V1063">
            <v>0</v>
          </cell>
          <cell r="Z1063">
            <v>0</v>
          </cell>
        </row>
        <row r="1064">
          <cell r="V1064">
            <v>0</v>
          </cell>
          <cell r="Z1064">
            <v>0</v>
          </cell>
        </row>
        <row r="1065">
          <cell r="V1065">
            <v>0</v>
          </cell>
          <cell r="Z1065">
            <v>0</v>
          </cell>
        </row>
        <row r="1066">
          <cell r="V1066">
            <v>0</v>
          </cell>
          <cell r="Z1066">
            <v>0</v>
          </cell>
        </row>
        <row r="1067">
          <cell r="V1067">
            <v>0</v>
          </cell>
          <cell r="Z1067">
            <v>0</v>
          </cell>
        </row>
        <row r="1068">
          <cell r="V1068">
            <v>0</v>
          </cell>
          <cell r="Z1068">
            <v>0</v>
          </cell>
        </row>
        <row r="1069">
          <cell r="V1069">
            <v>0</v>
          </cell>
          <cell r="Z1069">
            <v>0</v>
          </cell>
        </row>
        <row r="1070">
          <cell r="V1070">
            <v>0</v>
          </cell>
          <cell r="Z1070">
            <v>0</v>
          </cell>
        </row>
        <row r="1071">
          <cell r="V1071">
            <v>0</v>
          </cell>
          <cell r="Z1071">
            <v>0</v>
          </cell>
        </row>
        <row r="1072">
          <cell r="V1072">
            <v>0</v>
          </cell>
          <cell r="Z1072">
            <v>0</v>
          </cell>
        </row>
        <row r="1073">
          <cell r="V1073">
            <v>0</v>
          </cell>
          <cell r="Z1073">
            <v>0</v>
          </cell>
        </row>
        <row r="1074">
          <cell r="V1074">
            <v>0</v>
          </cell>
          <cell r="Z1074">
            <v>0</v>
          </cell>
        </row>
        <row r="1075">
          <cell r="V1075">
            <v>0</v>
          </cell>
          <cell r="Z1075">
            <v>0</v>
          </cell>
        </row>
        <row r="1076">
          <cell r="V1076">
            <v>0</v>
          </cell>
          <cell r="Z1076">
            <v>0</v>
          </cell>
        </row>
        <row r="1077">
          <cell r="V1077">
            <v>0</v>
          </cell>
          <cell r="Z1077">
            <v>0</v>
          </cell>
        </row>
        <row r="1078">
          <cell r="V1078">
            <v>0</v>
          </cell>
          <cell r="Z1078">
            <v>0</v>
          </cell>
        </row>
        <row r="1079">
          <cell r="V1079">
            <v>0</v>
          </cell>
          <cell r="Z1079">
            <v>0</v>
          </cell>
        </row>
        <row r="1080">
          <cell r="V1080">
            <v>0</v>
          </cell>
          <cell r="Z1080">
            <v>0</v>
          </cell>
        </row>
        <row r="1081">
          <cell r="V1081">
            <v>0</v>
          </cell>
          <cell r="Z1081">
            <v>0</v>
          </cell>
        </row>
        <row r="1082">
          <cell r="V1082">
            <v>0</v>
          </cell>
          <cell r="Z1082">
            <v>0</v>
          </cell>
        </row>
        <row r="1083">
          <cell r="V1083">
            <v>0</v>
          </cell>
          <cell r="Z1083">
            <v>0</v>
          </cell>
        </row>
        <row r="1084">
          <cell r="V1084">
            <v>0</v>
          </cell>
          <cell r="Z1084">
            <v>0</v>
          </cell>
        </row>
        <row r="1085">
          <cell r="V1085">
            <v>0</v>
          </cell>
          <cell r="Z1085">
            <v>0</v>
          </cell>
        </row>
        <row r="1086">
          <cell r="V1086">
            <v>0</v>
          </cell>
          <cell r="Z1086">
            <v>0</v>
          </cell>
        </row>
        <row r="1087">
          <cell r="V1087">
            <v>0</v>
          </cell>
          <cell r="Z1087">
            <v>0</v>
          </cell>
        </row>
        <row r="1088">
          <cell r="V1088">
            <v>0</v>
          </cell>
          <cell r="Z1088">
            <v>0</v>
          </cell>
        </row>
        <row r="1089">
          <cell r="V1089">
            <v>0</v>
          </cell>
          <cell r="Z1089">
            <v>0</v>
          </cell>
        </row>
        <row r="1090">
          <cell r="V1090">
            <v>0</v>
          </cell>
          <cell r="Z1090">
            <v>0</v>
          </cell>
        </row>
        <row r="1091">
          <cell r="V1091">
            <v>0</v>
          </cell>
          <cell r="Z1091">
            <v>0</v>
          </cell>
        </row>
        <row r="1092">
          <cell r="V1092">
            <v>0</v>
          </cell>
          <cell r="Z1092">
            <v>0</v>
          </cell>
        </row>
        <row r="1093">
          <cell r="V1093">
            <v>0</v>
          </cell>
          <cell r="Z1093">
            <v>0</v>
          </cell>
        </row>
        <row r="1094">
          <cell r="V1094">
            <v>0</v>
          </cell>
          <cell r="Z1094">
            <v>0</v>
          </cell>
        </row>
        <row r="1095">
          <cell r="V1095">
            <v>0</v>
          </cell>
          <cell r="Z1095">
            <v>0</v>
          </cell>
        </row>
        <row r="1096">
          <cell r="V1096">
            <v>0</v>
          </cell>
          <cell r="Z1096">
            <v>0</v>
          </cell>
        </row>
        <row r="1097">
          <cell r="V1097">
            <v>0</v>
          </cell>
          <cell r="Z1097">
            <v>0</v>
          </cell>
        </row>
        <row r="1098">
          <cell r="V1098">
            <v>0</v>
          </cell>
          <cell r="Z1098">
            <v>0</v>
          </cell>
        </row>
        <row r="1099">
          <cell r="V1099">
            <v>0</v>
          </cell>
          <cell r="Z1099">
            <v>0</v>
          </cell>
        </row>
        <row r="1100">
          <cell r="V1100">
            <v>0</v>
          </cell>
          <cell r="Z1100">
            <v>0</v>
          </cell>
        </row>
        <row r="1101">
          <cell r="V1101">
            <v>0</v>
          </cell>
          <cell r="Z1101">
            <v>0</v>
          </cell>
        </row>
        <row r="1102">
          <cell r="V1102">
            <v>0</v>
          </cell>
          <cell r="Z1102">
            <v>0</v>
          </cell>
        </row>
        <row r="1103">
          <cell r="V1103">
            <v>0</v>
          </cell>
          <cell r="Z1103">
            <v>0</v>
          </cell>
        </row>
        <row r="1104">
          <cell r="V1104">
            <v>0</v>
          </cell>
          <cell r="Z1104">
            <v>0</v>
          </cell>
        </row>
        <row r="1105">
          <cell r="V1105">
            <v>0</v>
          </cell>
          <cell r="Z1105">
            <v>0</v>
          </cell>
        </row>
        <row r="1106">
          <cell r="V1106">
            <v>0</v>
          </cell>
          <cell r="Z1106">
            <v>0</v>
          </cell>
        </row>
        <row r="1107">
          <cell r="V1107">
            <v>0</v>
          </cell>
          <cell r="Z1107">
            <v>0</v>
          </cell>
        </row>
        <row r="1108">
          <cell r="V1108">
            <v>0</v>
          </cell>
          <cell r="Z1108">
            <v>0</v>
          </cell>
        </row>
        <row r="1109">
          <cell r="V1109">
            <v>0</v>
          </cell>
          <cell r="Z1109">
            <v>0</v>
          </cell>
        </row>
        <row r="1110">
          <cell r="V1110">
            <v>0</v>
          </cell>
          <cell r="Z1110">
            <v>0</v>
          </cell>
        </row>
        <row r="1111">
          <cell r="V1111">
            <v>0</v>
          </cell>
          <cell r="Z1111">
            <v>0</v>
          </cell>
        </row>
        <row r="1112">
          <cell r="V1112">
            <v>0</v>
          </cell>
          <cell r="Z1112">
            <v>0</v>
          </cell>
        </row>
        <row r="1113">
          <cell r="V1113">
            <v>0</v>
          </cell>
          <cell r="Z1113">
            <v>0</v>
          </cell>
        </row>
        <row r="1114">
          <cell r="V1114">
            <v>0</v>
          </cell>
          <cell r="Z1114">
            <v>0</v>
          </cell>
        </row>
        <row r="1115">
          <cell r="V1115">
            <v>0</v>
          </cell>
          <cell r="Z1115">
            <v>0</v>
          </cell>
        </row>
        <row r="1116">
          <cell r="V1116">
            <v>0</v>
          </cell>
          <cell r="Z1116">
            <v>0</v>
          </cell>
        </row>
        <row r="1117">
          <cell r="V1117">
            <v>0</v>
          </cell>
          <cell r="Z1117">
            <v>0</v>
          </cell>
        </row>
        <row r="1118">
          <cell r="V1118">
            <v>0</v>
          </cell>
          <cell r="Z1118">
            <v>0</v>
          </cell>
        </row>
        <row r="1119">
          <cell r="V1119">
            <v>0</v>
          </cell>
          <cell r="Z1119">
            <v>0</v>
          </cell>
        </row>
        <row r="1120">
          <cell r="V1120">
            <v>0</v>
          </cell>
          <cell r="Z1120">
            <v>0</v>
          </cell>
        </row>
        <row r="1121">
          <cell r="V1121">
            <v>0</v>
          </cell>
          <cell r="Z1121">
            <v>0</v>
          </cell>
        </row>
        <row r="1122">
          <cell r="V1122">
            <v>0</v>
          </cell>
          <cell r="Z1122">
            <v>0</v>
          </cell>
        </row>
        <row r="1123">
          <cell r="V1123">
            <v>0</v>
          </cell>
          <cell r="Z1123">
            <v>0</v>
          </cell>
        </row>
        <row r="1124">
          <cell r="V1124">
            <v>0</v>
          </cell>
          <cell r="Z1124">
            <v>0</v>
          </cell>
        </row>
        <row r="1125">
          <cell r="V1125">
            <v>0</v>
          </cell>
          <cell r="Z1125">
            <v>0</v>
          </cell>
        </row>
        <row r="1126">
          <cell r="V1126">
            <v>0</v>
          </cell>
          <cell r="Z1126">
            <v>0</v>
          </cell>
        </row>
        <row r="1127">
          <cell r="V1127">
            <v>0</v>
          </cell>
          <cell r="Z1127">
            <v>0</v>
          </cell>
        </row>
        <row r="1128">
          <cell r="V1128">
            <v>0</v>
          </cell>
          <cell r="Z1128">
            <v>0</v>
          </cell>
        </row>
        <row r="1129">
          <cell r="V1129">
            <v>0</v>
          </cell>
          <cell r="Z1129">
            <v>0</v>
          </cell>
        </row>
        <row r="1130">
          <cell r="V1130">
            <v>0</v>
          </cell>
          <cell r="Z1130">
            <v>0</v>
          </cell>
        </row>
        <row r="1131">
          <cell r="V1131">
            <v>0</v>
          </cell>
          <cell r="Z1131">
            <v>0</v>
          </cell>
        </row>
        <row r="1132">
          <cell r="V1132">
            <v>0</v>
          </cell>
          <cell r="Z1132">
            <v>0</v>
          </cell>
        </row>
        <row r="1133">
          <cell r="V1133">
            <v>0</v>
          </cell>
          <cell r="Z1133">
            <v>0</v>
          </cell>
        </row>
        <row r="1134">
          <cell r="V1134">
            <v>0</v>
          </cell>
          <cell r="Z1134">
            <v>0</v>
          </cell>
        </row>
        <row r="1135">
          <cell r="V1135">
            <v>0</v>
          </cell>
          <cell r="Z1135">
            <v>0</v>
          </cell>
        </row>
        <row r="1136">
          <cell r="V1136">
            <v>0</v>
          </cell>
          <cell r="Z1136">
            <v>0</v>
          </cell>
        </row>
        <row r="1137">
          <cell r="V1137">
            <v>0</v>
          </cell>
          <cell r="Z1137">
            <v>0</v>
          </cell>
        </row>
        <row r="1138">
          <cell r="V1138">
            <v>0</v>
          </cell>
          <cell r="Z1138">
            <v>0</v>
          </cell>
        </row>
        <row r="1139">
          <cell r="V1139">
            <v>0</v>
          </cell>
          <cell r="Z1139">
            <v>0</v>
          </cell>
        </row>
        <row r="1140">
          <cell r="V1140">
            <v>0</v>
          </cell>
          <cell r="Z1140">
            <v>0</v>
          </cell>
        </row>
        <row r="1141">
          <cell r="V1141">
            <v>0</v>
          </cell>
          <cell r="Z1141">
            <v>0</v>
          </cell>
        </row>
        <row r="1142">
          <cell r="V1142">
            <v>0</v>
          </cell>
          <cell r="Z1142">
            <v>0</v>
          </cell>
        </row>
        <row r="1143">
          <cell r="V1143">
            <v>0</v>
          </cell>
          <cell r="Z1143">
            <v>0</v>
          </cell>
        </row>
        <row r="1144">
          <cell r="V1144">
            <v>0</v>
          </cell>
          <cell r="Z1144">
            <v>0</v>
          </cell>
        </row>
        <row r="1145">
          <cell r="V1145">
            <v>0</v>
          </cell>
          <cell r="Z1145">
            <v>0</v>
          </cell>
        </row>
        <row r="1146">
          <cell r="V1146">
            <v>0</v>
          </cell>
          <cell r="Z1146">
            <v>0</v>
          </cell>
        </row>
        <row r="1147">
          <cell r="V1147">
            <v>0</v>
          </cell>
          <cell r="Z1147">
            <v>0</v>
          </cell>
        </row>
        <row r="1148">
          <cell r="V1148">
            <v>0</v>
          </cell>
          <cell r="Z1148">
            <v>0</v>
          </cell>
        </row>
        <row r="1149">
          <cell r="V1149">
            <v>0</v>
          </cell>
          <cell r="Z1149">
            <v>0</v>
          </cell>
        </row>
        <row r="1150">
          <cell r="V1150">
            <v>0</v>
          </cell>
          <cell r="Z1150">
            <v>0</v>
          </cell>
        </row>
        <row r="1151">
          <cell r="V1151">
            <v>0</v>
          </cell>
          <cell r="Z1151">
            <v>0</v>
          </cell>
        </row>
        <row r="1152">
          <cell r="V1152">
            <v>0</v>
          </cell>
          <cell r="Z1152">
            <v>0</v>
          </cell>
        </row>
        <row r="1153">
          <cell r="V1153">
            <v>0</v>
          </cell>
          <cell r="Z1153">
            <v>0</v>
          </cell>
        </row>
        <row r="1154">
          <cell r="V1154">
            <v>0</v>
          </cell>
          <cell r="Z1154">
            <v>0</v>
          </cell>
        </row>
        <row r="1155">
          <cell r="V1155">
            <v>0</v>
          </cell>
          <cell r="Z1155">
            <v>0</v>
          </cell>
        </row>
        <row r="1156">
          <cell r="V1156">
            <v>0</v>
          </cell>
          <cell r="Z1156">
            <v>0</v>
          </cell>
        </row>
        <row r="1157">
          <cell r="V1157">
            <v>0</v>
          </cell>
          <cell r="Z1157">
            <v>0</v>
          </cell>
        </row>
        <row r="1158">
          <cell r="V1158">
            <v>0</v>
          </cell>
          <cell r="Z1158">
            <v>0</v>
          </cell>
        </row>
        <row r="1159">
          <cell r="V1159">
            <v>0</v>
          </cell>
          <cell r="Z1159">
            <v>0</v>
          </cell>
        </row>
        <row r="1160">
          <cell r="V1160">
            <v>0</v>
          </cell>
          <cell r="Z1160">
            <v>0</v>
          </cell>
        </row>
        <row r="1161">
          <cell r="V1161">
            <v>0</v>
          </cell>
          <cell r="Z1161">
            <v>0</v>
          </cell>
        </row>
        <row r="1162">
          <cell r="V1162">
            <v>0</v>
          </cell>
          <cell r="Z1162">
            <v>0</v>
          </cell>
        </row>
        <row r="1163">
          <cell r="V1163">
            <v>0</v>
          </cell>
          <cell r="Z1163">
            <v>0</v>
          </cell>
        </row>
        <row r="1164">
          <cell r="V1164">
            <v>0</v>
          </cell>
          <cell r="Z1164">
            <v>0</v>
          </cell>
        </row>
        <row r="1165">
          <cell r="V1165">
            <v>0</v>
          </cell>
          <cell r="Z1165">
            <v>0</v>
          </cell>
        </row>
        <row r="1166">
          <cell r="V1166">
            <v>0</v>
          </cell>
          <cell r="Z1166">
            <v>0</v>
          </cell>
        </row>
        <row r="1167">
          <cell r="V1167">
            <v>0</v>
          </cell>
          <cell r="Z1167">
            <v>0</v>
          </cell>
        </row>
        <row r="1168">
          <cell r="V1168">
            <v>0</v>
          </cell>
          <cell r="Z1168">
            <v>0</v>
          </cell>
        </row>
        <row r="1169">
          <cell r="V1169">
            <v>0</v>
          </cell>
          <cell r="Z1169">
            <v>0</v>
          </cell>
        </row>
        <row r="1170">
          <cell r="V1170">
            <v>0</v>
          </cell>
          <cell r="Z1170">
            <v>0</v>
          </cell>
        </row>
        <row r="1171">
          <cell r="V1171">
            <v>0</v>
          </cell>
          <cell r="Z1171">
            <v>0</v>
          </cell>
        </row>
        <row r="1172">
          <cell r="V1172">
            <v>0</v>
          </cell>
          <cell r="Z1172">
            <v>0</v>
          </cell>
        </row>
        <row r="1173">
          <cell r="V1173">
            <v>0</v>
          </cell>
          <cell r="Z1173">
            <v>0</v>
          </cell>
        </row>
        <row r="1174">
          <cell r="V1174">
            <v>0</v>
          </cell>
          <cell r="Z1174">
            <v>0</v>
          </cell>
        </row>
        <row r="1175">
          <cell r="V1175">
            <v>0</v>
          </cell>
          <cell r="Z1175">
            <v>0</v>
          </cell>
        </row>
        <row r="1176">
          <cell r="V1176">
            <v>0</v>
          </cell>
          <cell r="Z1176">
            <v>0</v>
          </cell>
        </row>
        <row r="1177">
          <cell r="V1177">
            <v>0</v>
          </cell>
          <cell r="Z1177">
            <v>0</v>
          </cell>
        </row>
        <row r="1178">
          <cell r="V1178">
            <v>0</v>
          </cell>
          <cell r="Z1178">
            <v>0</v>
          </cell>
        </row>
        <row r="1179">
          <cell r="V1179">
            <v>0</v>
          </cell>
          <cell r="Z1179">
            <v>0</v>
          </cell>
        </row>
        <row r="1180">
          <cell r="V1180">
            <v>0</v>
          </cell>
          <cell r="Z1180">
            <v>0</v>
          </cell>
        </row>
        <row r="1181">
          <cell r="V1181">
            <v>0</v>
          </cell>
          <cell r="Z1181">
            <v>0</v>
          </cell>
        </row>
        <row r="1182">
          <cell r="V1182">
            <v>0</v>
          </cell>
          <cell r="Z1182">
            <v>0</v>
          </cell>
        </row>
        <row r="1183">
          <cell r="V1183">
            <v>0</v>
          </cell>
          <cell r="Z1183">
            <v>0</v>
          </cell>
        </row>
        <row r="1184">
          <cell r="V1184">
            <v>0</v>
          </cell>
          <cell r="Z1184">
            <v>0</v>
          </cell>
        </row>
        <row r="1185">
          <cell r="V1185">
            <v>0</v>
          </cell>
          <cell r="Z1185">
            <v>0</v>
          </cell>
        </row>
        <row r="1186">
          <cell r="V1186">
            <v>0</v>
          </cell>
          <cell r="Z1186">
            <v>0</v>
          </cell>
        </row>
        <row r="1187">
          <cell r="V1187">
            <v>0</v>
          </cell>
          <cell r="Z1187">
            <v>0</v>
          </cell>
        </row>
        <row r="1188">
          <cell r="V1188">
            <v>0</v>
          </cell>
          <cell r="Z1188">
            <v>0</v>
          </cell>
        </row>
        <row r="1189">
          <cell r="V1189">
            <v>0</v>
          </cell>
          <cell r="Z1189">
            <v>0</v>
          </cell>
        </row>
        <row r="1190">
          <cell r="V1190">
            <v>0</v>
          </cell>
          <cell r="Z1190">
            <v>0</v>
          </cell>
        </row>
        <row r="1191">
          <cell r="V1191">
            <v>0</v>
          </cell>
          <cell r="Z1191">
            <v>0</v>
          </cell>
        </row>
        <row r="1192">
          <cell r="V1192">
            <v>0</v>
          </cell>
          <cell r="Z1192">
            <v>0</v>
          </cell>
        </row>
        <row r="1193">
          <cell r="V1193">
            <v>0</v>
          </cell>
          <cell r="Z1193">
            <v>0</v>
          </cell>
        </row>
        <row r="1194">
          <cell r="V1194">
            <v>0</v>
          </cell>
          <cell r="Z1194">
            <v>0</v>
          </cell>
        </row>
        <row r="1195">
          <cell r="V1195">
            <v>0</v>
          </cell>
          <cell r="Z1195">
            <v>0</v>
          </cell>
        </row>
        <row r="1196">
          <cell r="V1196">
            <v>0</v>
          </cell>
          <cell r="Z1196">
            <v>0</v>
          </cell>
        </row>
        <row r="1197">
          <cell r="V1197">
            <v>0</v>
          </cell>
          <cell r="Z1197">
            <v>0</v>
          </cell>
        </row>
        <row r="1198">
          <cell r="V1198">
            <v>0</v>
          </cell>
          <cell r="Z1198">
            <v>0</v>
          </cell>
        </row>
        <row r="1199">
          <cell r="V1199">
            <v>0</v>
          </cell>
          <cell r="Z1199">
            <v>0</v>
          </cell>
        </row>
        <row r="1200">
          <cell r="V1200">
            <v>0</v>
          </cell>
          <cell r="Z1200">
            <v>0</v>
          </cell>
        </row>
        <row r="1201">
          <cell r="V1201">
            <v>0</v>
          </cell>
          <cell r="Z1201">
            <v>0</v>
          </cell>
        </row>
        <row r="1202">
          <cell r="V1202">
            <v>0</v>
          </cell>
          <cell r="Z1202">
            <v>0</v>
          </cell>
        </row>
        <row r="1203">
          <cell r="V1203">
            <v>0</v>
          </cell>
          <cell r="Z1203">
            <v>0</v>
          </cell>
        </row>
        <row r="1204">
          <cell r="V1204">
            <v>0</v>
          </cell>
          <cell r="Z1204">
            <v>0</v>
          </cell>
        </row>
        <row r="1205">
          <cell r="V1205">
            <v>0</v>
          </cell>
          <cell r="Z1205">
            <v>0</v>
          </cell>
        </row>
        <row r="1206">
          <cell r="V1206">
            <v>0</v>
          </cell>
          <cell r="Z1206">
            <v>0</v>
          </cell>
        </row>
        <row r="1207">
          <cell r="V1207">
            <v>0</v>
          </cell>
          <cell r="Z1207">
            <v>0</v>
          </cell>
        </row>
        <row r="1208">
          <cell r="V1208">
            <v>0</v>
          </cell>
          <cell r="Z1208">
            <v>0</v>
          </cell>
        </row>
        <row r="1209">
          <cell r="V1209">
            <v>0</v>
          </cell>
          <cell r="Z1209">
            <v>0</v>
          </cell>
        </row>
        <row r="1210">
          <cell r="V1210">
            <v>0</v>
          </cell>
          <cell r="Z1210">
            <v>0</v>
          </cell>
        </row>
        <row r="1211">
          <cell r="V1211">
            <v>0</v>
          </cell>
          <cell r="Z1211">
            <v>0</v>
          </cell>
        </row>
        <row r="1212">
          <cell r="V1212">
            <v>0</v>
          </cell>
          <cell r="Z1212">
            <v>0</v>
          </cell>
        </row>
        <row r="1213">
          <cell r="V1213">
            <v>0</v>
          </cell>
          <cell r="Z1213">
            <v>0</v>
          </cell>
        </row>
        <row r="1214">
          <cell r="V1214">
            <v>0</v>
          </cell>
          <cell r="Z1214">
            <v>0</v>
          </cell>
        </row>
        <row r="1215">
          <cell r="V1215">
            <v>0</v>
          </cell>
          <cell r="Z1215">
            <v>0</v>
          </cell>
        </row>
        <row r="1216">
          <cell r="V1216">
            <v>0</v>
          </cell>
          <cell r="Z1216">
            <v>0</v>
          </cell>
        </row>
        <row r="1217">
          <cell r="V1217">
            <v>0</v>
          </cell>
          <cell r="Z1217">
            <v>0</v>
          </cell>
        </row>
        <row r="1218">
          <cell r="V1218">
            <v>0</v>
          </cell>
          <cell r="Z1218">
            <v>0</v>
          </cell>
        </row>
        <row r="1219">
          <cell r="V1219">
            <v>0</v>
          </cell>
          <cell r="Z1219">
            <v>0</v>
          </cell>
        </row>
        <row r="1220">
          <cell r="V1220">
            <v>0</v>
          </cell>
          <cell r="Z1220">
            <v>0</v>
          </cell>
        </row>
        <row r="1221">
          <cell r="V1221">
            <v>0</v>
          </cell>
          <cell r="Z1221">
            <v>0</v>
          </cell>
        </row>
        <row r="1222">
          <cell r="V1222">
            <v>0</v>
          </cell>
          <cell r="Z1222">
            <v>0</v>
          </cell>
        </row>
        <row r="1223">
          <cell r="V1223">
            <v>0</v>
          </cell>
          <cell r="Z1223">
            <v>0</v>
          </cell>
        </row>
        <row r="1224">
          <cell r="V1224">
            <v>0</v>
          </cell>
          <cell r="Z1224">
            <v>0</v>
          </cell>
        </row>
        <row r="1225">
          <cell r="V1225">
            <v>0</v>
          </cell>
          <cell r="Z1225">
            <v>0</v>
          </cell>
        </row>
        <row r="1226">
          <cell r="V1226">
            <v>0</v>
          </cell>
          <cell r="Z1226">
            <v>0</v>
          </cell>
        </row>
        <row r="1227">
          <cell r="V1227">
            <v>0</v>
          </cell>
          <cell r="Z1227">
            <v>0</v>
          </cell>
        </row>
        <row r="1228">
          <cell r="V1228">
            <v>0</v>
          </cell>
          <cell r="Z1228">
            <v>0</v>
          </cell>
        </row>
        <row r="1229">
          <cell r="V1229">
            <v>0</v>
          </cell>
          <cell r="Z1229">
            <v>0</v>
          </cell>
        </row>
        <row r="1230">
          <cell r="V1230">
            <v>0</v>
          </cell>
          <cell r="Z1230">
            <v>0</v>
          </cell>
        </row>
        <row r="1231">
          <cell r="V1231">
            <v>0</v>
          </cell>
          <cell r="Z1231">
            <v>0</v>
          </cell>
        </row>
        <row r="1232">
          <cell r="V1232">
            <v>0</v>
          </cell>
          <cell r="Z1232">
            <v>0</v>
          </cell>
        </row>
        <row r="1233">
          <cell r="V1233">
            <v>0</v>
          </cell>
          <cell r="Z1233">
            <v>0</v>
          </cell>
        </row>
        <row r="1234">
          <cell r="V1234">
            <v>0</v>
          </cell>
          <cell r="Z1234">
            <v>0</v>
          </cell>
        </row>
        <row r="1235">
          <cell r="V1235">
            <v>0</v>
          </cell>
          <cell r="Z1235">
            <v>0</v>
          </cell>
        </row>
        <row r="1236">
          <cell r="V1236">
            <v>0</v>
          </cell>
          <cell r="Z1236">
            <v>0</v>
          </cell>
        </row>
        <row r="1237">
          <cell r="V1237">
            <v>0</v>
          </cell>
          <cell r="Z1237">
            <v>0</v>
          </cell>
        </row>
        <row r="1238">
          <cell r="V1238">
            <v>0</v>
          </cell>
          <cell r="Z1238">
            <v>0</v>
          </cell>
        </row>
        <row r="1239">
          <cell r="V1239">
            <v>0</v>
          </cell>
          <cell r="Z1239">
            <v>0</v>
          </cell>
        </row>
        <row r="1240">
          <cell r="V1240">
            <v>0</v>
          </cell>
          <cell r="Z1240">
            <v>0</v>
          </cell>
        </row>
        <row r="1241">
          <cell r="V1241">
            <v>0</v>
          </cell>
          <cell r="Z1241">
            <v>0</v>
          </cell>
        </row>
        <row r="1242">
          <cell r="V1242">
            <v>0</v>
          </cell>
          <cell r="Z1242">
            <v>0</v>
          </cell>
        </row>
        <row r="1243">
          <cell r="V1243">
            <v>0</v>
          </cell>
          <cell r="Z1243">
            <v>0</v>
          </cell>
        </row>
        <row r="1244">
          <cell r="V1244">
            <v>0</v>
          </cell>
          <cell r="Z1244">
            <v>0</v>
          </cell>
        </row>
        <row r="1245">
          <cell r="V1245">
            <v>0</v>
          </cell>
          <cell r="Z1245">
            <v>0</v>
          </cell>
        </row>
        <row r="1246">
          <cell r="V1246">
            <v>0</v>
          </cell>
          <cell r="Z1246">
            <v>0</v>
          </cell>
        </row>
        <row r="1247">
          <cell r="V1247">
            <v>0</v>
          </cell>
          <cell r="Z1247">
            <v>0</v>
          </cell>
        </row>
        <row r="1248">
          <cell r="V1248">
            <v>0</v>
          </cell>
          <cell r="Z1248">
            <v>0</v>
          </cell>
        </row>
        <row r="1249">
          <cell r="V1249">
            <v>0</v>
          </cell>
          <cell r="Z1249">
            <v>0</v>
          </cell>
        </row>
        <row r="1250">
          <cell r="V1250">
            <v>0</v>
          </cell>
          <cell r="Z1250">
            <v>0</v>
          </cell>
        </row>
        <row r="1251">
          <cell r="V1251">
            <v>0</v>
          </cell>
          <cell r="Z1251">
            <v>0</v>
          </cell>
        </row>
        <row r="1252">
          <cell r="V1252">
            <v>0</v>
          </cell>
          <cell r="Z1252">
            <v>0</v>
          </cell>
        </row>
        <row r="1253">
          <cell r="V1253">
            <v>0</v>
          </cell>
          <cell r="Z1253">
            <v>0</v>
          </cell>
        </row>
        <row r="1254">
          <cell r="V1254">
            <v>0</v>
          </cell>
          <cell r="Z1254">
            <v>0</v>
          </cell>
        </row>
        <row r="1255">
          <cell r="V1255">
            <v>0</v>
          </cell>
          <cell r="Z1255">
            <v>0</v>
          </cell>
        </row>
        <row r="1256">
          <cell r="V1256">
            <v>0</v>
          </cell>
          <cell r="Z1256">
            <v>0</v>
          </cell>
        </row>
        <row r="1257">
          <cell r="V1257">
            <v>0</v>
          </cell>
          <cell r="Z1257">
            <v>0</v>
          </cell>
        </row>
        <row r="1258">
          <cell r="V1258">
            <v>0</v>
          </cell>
          <cell r="Z1258">
            <v>0</v>
          </cell>
        </row>
        <row r="1259">
          <cell r="V1259">
            <v>0</v>
          </cell>
          <cell r="Z1259">
            <v>0</v>
          </cell>
        </row>
        <row r="1260">
          <cell r="V1260">
            <v>0</v>
          </cell>
          <cell r="Z1260">
            <v>0</v>
          </cell>
        </row>
        <row r="1261">
          <cell r="V1261">
            <v>0</v>
          </cell>
          <cell r="Z1261">
            <v>0</v>
          </cell>
        </row>
        <row r="1262">
          <cell r="V1262">
            <v>0</v>
          </cell>
          <cell r="Z1262">
            <v>0</v>
          </cell>
        </row>
        <row r="1263">
          <cell r="V1263">
            <v>0</v>
          </cell>
          <cell r="Z1263">
            <v>0</v>
          </cell>
        </row>
        <row r="1264">
          <cell r="V1264">
            <v>0</v>
          </cell>
          <cell r="Z1264">
            <v>0</v>
          </cell>
        </row>
        <row r="1265">
          <cell r="V1265">
            <v>0</v>
          </cell>
          <cell r="Z1265">
            <v>0</v>
          </cell>
        </row>
        <row r="1266">
          <cell r="V1266">
            <v>0</v>
          </cell>
          <cell r="Z1266">
            <v>0</v>
          </cell>
        </row>
        <row r="1267">
          <cell r="V1267">
            <v>0</v>
          </cell>
          <cell r="Z1267">
            <v>0</v>
          </cell>
        </row>
        <row r="1268">
          <cell r="V1268">
            <v>0</v>
          </cell>
          <cell r="Z1268">
            <v>0</v>
          </cell>
        </row>
        <row r="1269">
          <cell r="V1269">
            <v>0</v>
          </cell>
          <cell r="Z1269">
            <v>0</v>
          </cell>
        </row>
        <row r="1270">
          <cell r="V1270">
            <v>0</v>
          </cell>
          <cell r="Z1270">
            <v>0</v>
          </cell>
        </row>
        <row r="1271">
          <cell r="V1271">
            <v>0</v>
          </cell>
          <cell r="Z1271">
            <v>0</v>
          </cell>
        </row>
        <row r="1272">
          <cell r="V1272">
            <v>0</v>
          </cell>
          <cell r="Z1272">
            <v>0</v>
          </cell>
        </row>
        <row r="1273">
          <cell r="V1273">
            <v>0</v>
          </cell>
          <cell r="Z1273">
            <v>0</v>
          </cell>
        </row>
        <row r="1274">
          <cell r="V1274">
            <v>0</v>
          </cell>
          <cell r="Z1274">
            <v>0</v>
          </cell>
        </row>
        <row r="1275">
          <cell r="V1275">
            <v>0</v>
          </cell>
          <cell r="Z1275">
            <v>0</v>
          </cell>
        </row>
        <row r="1276">
          <cell r="V1276">
            <v>0</v>
          </cell>
          <cell r="Z1276">
            <v>0</v>
          </cell>
        </row>
        <row r="1277">
          <cell r="V1277">
            <v>0</v>
          </cell>
          <cell r="Z1277">
            <v>0</v>
          </cell>
        </row>
        <row r="1278">
          <cell r="V1278">
            <v>0</v>
          </cell>
          <cell r="Z1278">
            <v>0</v>
          </cell>
        </row>
        <row r="1279">
          <cell r="V1279">
            <v>0</v>
          </cell>
          <cell r="Z1279">
            <v>0</v>
          </cell>
        </row>
        <row r="1280">
          <cell r="V1280">
            <v>0</v>
          </cell>
          <cell r="Z1280">
            <v>0</v>
          </cell>
        </row>
        <row r="1281">
          <cell r="V1281">
            <v>0</v>
          </cell>
          <cell r="Z1281">
            <v>0</v>
          </cell>
        </row>
        <row r="1282">
          <cell r="V1282">
            <v>0</v>
          </cell>
          <cell r="Z1282">
            <v>0</v>
          </cell>
        </row>
        <row r="1283">
          <cell r="V1283">
            <v>0</v>
          </cell>
          <cell r="Z1283">
            <v>0</v>
          </cell>
        </row>
        <row r="1284">
          <cell r="V1284">
            <v>0</v>
          </cell>
          <cell r="Z1284">
            <v>0</v>
          </cell>
        </row>
        <row r="1285">
          <cell r="V1285">
            <v>0</v>
          </cell>
          <cell r="Z1285">
            <v>0</v>
          </cell>
        </row>
        <row r="1286">
          <cell r="V1286">
            <v>0</v>
          </cell>
          <cell r="Z1286">
            <v>0</v>
          </cell>
        </row>
        <row r="1287">
          <cell r="V1287">
            <v>0</v>
          </cell>
          <cell r="Z1287">
            <v>0</v>
          </cell>
        </row>
        <row r="1288">
          <cell r="V1288">
            <v>0</v>
          </cell>
          <cell r="Z1288">
            <v>0</v>
          </cell>
        </row>
        <row r="1289">
          <cell r="V1289">
            <v>0</v>
          </cell>
          <cell r="Z1289">
            <v>0</v>
          </cell>
        </row>
        <row r="1290">
          <cell r="V1290">
            <v>0</v>
          </cell>
          <cell r="Z1290">
            <v>0</v>
          </cell>
        </row>
        <row r="1291">
          <cell r="V1291">
            <v>0</v>
          </cell>
          <cell r="Z1291">
            <v>0</v>
          </cell>
        </row>
        <row r="1292">
          <cell r="V1292">
            <v>0</v>
          </cell>
          <cell r="Z1292">
            <v>0</v>
          </cell>
        </row>
        <row r="1293">
          <cell r="V1293">
            <v>0</v>
          </cell>
          <cell r="Z1293">
            <v>0</v>
          </cell>
        </row>
        <row r="1294">
          <cell r="V1294">
            <v>0</v>
          </cell>
          <cell r="Z1294">
            <v>0</v>
          </cell>
        </row>
        <row r="1295">
          <cell r="V1295">
            <v>0</v>
          </cell>
          <cell r="Z1295">
            <v>0</v>
          </cell>
        </row>
        <row r="1296">
          <cell r="V1296">
            <v>0</v>
          </cell>
          <cell r="Z1296">
            <v>0</v>
          </cell>
        </row>
        <row r="1297">
          <cell r="V1297">
            <v>0</v>
          </cell>
          <cell r="Z1297">
            <v>0</v>
          </cell>
        </row>
        <row r="1298">
          <cell r="V1298">
            <v>0</v>
          </cell>
          <cell r="Z1298">
            <v>0</v>
          </cell>
        </row>
        <row r="1299">
          <cell r="V1299">
            <v>0</v>
          </cell>
          <cell r="Z1299">
            <v>0</v>
          </cell>
        </row>
        <row r="1300">
          <cell r="V1300">
            <v>0</v>
          </cell>
          <cell r="Z1300">
            <v>0</v>
          </cell>
        </row>
        <row r="1301">
          <cell r="V1301">
            <v>0</v>
          </cell>
          <cell r="Z1301">
            <v>0</v>
          </cell>
        </row>
        <row r="1302">
          <cell r="V1302">
            <v>0</v>
          </cell>
          <cell r="Z1302">
            <v>0</v>
          </cell>
        </row>
        <row r="1303">
          <cell r="V1303">
            <v>0</v>
          </cell>
          <cell r="Z1303">
            <v>0</v>
          </cell>
        </row>
        <row r="1304">
          <cell r="V1304">
            <v>0</v>
          </cell>
          <cell r="Z1304">
            <v>0</v>
          </cell>
        </row>
        <row r="1305">
          <cell r="V1305">
            <v>0</v>
          </cell>
          <cell r="Z1305">
            <v>0</v>
          </cell>
        </row>
        <row r="1306">
          <cell r="V1306">
            <v>0</v>
          </cell>
          <cell r="Z1306">
            <v>0</v>
          </cell>
        </row>
        <row r="1307">
          <cell r="V1307">
            <v>0</v>
          </cell>
          <cell r="Z1307">
            <v>0</v>
          </cell>
        </row>
        <row r="1308">
          <cell r="V1308">
            <v>0</v>
          </cell>
          <cell r="Z1308">
            <v>0</v>
          </cell>
        </row>
        <row r="1309">
          <cell r="V1309">
            <v>0</v>
          </cell>
          <cell r="Z1309">
            <v>0</v>
          </cell>
        </row>
        <row r="1310">
          <cell r="V1310">
            <v>0</v>
          </cell>
          <cell r="Z1310">
            <v>0</v>
          </cell>
        </row>
        <row r="1311">
          <cell r="V1311">
            <v>0</v>
          </cell>
          <cell r="Z1311">
            <v>0</v>
          </cell>
        </row>
        <row r="1312">
          <cell r="V1312">
            <v>0</v>
          </cell>
          <cell r="Z1312">
            <v>0</v>
          </cell>
        </row>
        <row r="1313">
          <cell r="V1313">
            <v>0</v>
          </cell>
          <cell r="Z1313">
            <v>0</v>
          </cell>
        </row>
        <row r="1314">
          <cell r="V1314">
            <v>0</v>
          </cell>
          <cell r="Z1314">
            <v>0</v>
          </cell>
        </row>
        <row r="1315">
          <cell r="V1315">
            <v>0</v>
          </cell>
          <cell r="Z1315">
            <v>0</v>
          </cell>
        </row>
        <row r="1316">
          <cell r="V1316">
            <v>0</v>
          </cell>
          <cell r="Z1316">
            <v>0</v>
          </cell>
        </row>
        <row r="1317">
          <cell r="V1317">
            <v>0</v>
          </cell>
          <cell r="Z1317">
            <v>0</v>
          </cell>
        </row>
        <row r="1318">
          <cell r="V1318">
            <v>0</v>
          </cell>
          <cell r="Z1318">
            <v>0</v>
          </cell>
        </row>
        <row r="1319">
          <cell r="V1319">
            <v>0</v>
          </cell>
          <cell r="Z1319">
            <v>0</v>
          </cell>
        </row>
        <row r="1320">
          <cell r="V1320">
            <v>0</v>
          </cell>
          <cell r="Z1320">
            <v>0</v>
          </cell>
        </row>
        <row r="1321">
          <cell r="V1321">
            <v>0</v>
          </cell>
          <cell r="Z1321">
            <v>0</v>
          </cell>
        </row>
        <row r="1322">
          <cell r="V1322">
            <v>0</v>
          </cell>
          <cell r="Z1322">
            <v>0</v>
          </cell>
        </row>
        <row r="1323">
          <cell r="V1323">
            <v>0</v>
          </cell>
          <cell r="Z1323">
            <v>0</v>
          </cell>
        </row>
        <row r="1324">
          <cell r="V1324">
            <v>0</v>
          </cell>
          <cell r="Z1324">
            <v>0</v>
          </cell>
        </row>
        <row r="1325">
          <cell r="V1325">
            <v>0</v>
          </cell>
          <cell r="Z1325">
            <v>0</v>
          </cell>
        </row>
        <row r="1326">
          <cell r="V1326">
            <v>0</v>
          </cell>
          <cell r="Z1326">
            <v>0</v>
          </cell>
        </row>
        <row r="1327">
          <cell r="V1327">
            <v>0</v>
          </cell>
          <cell r="Z1327">
            <v>0</v>
          </cell>
        </row>
        <row r="1328">
          <cell r="V1328">
            <v>0</v>
          </cell>
          <cell r="Z1328">
            <v>0</v>
          </cell>
        </row>
        <row r="1329">
          <cell r="V1329">
            <v>0</v>
          </cell>
          <cell r="Z1329">
            <v>0</v>
          </cell>
        </row>
        <row r="1330">
          <cell r="V1330">
            <v>0</v>
          </cell>
          <cell r="Z1330">
            <v>0</v>
          </cell>
        </row>
        <row r="1331">
          <cell r="V1331">
            <v>0</v>
          </cell>
          <cell r="Z1331">
            <v>0</v>
          </cell>
        </row>
        <row r="1332">
          <cell r="V1332">
            <v>0</v>
          </cell>
          <cell r="Z1332">
            <v>0</v>
          </cell>
        </row>
        <row r="1333">
          <cell r="V1333">
            <v>0</v>
          </cell>
          <cell r="Z1333">
            <v>0</v>
          </cell>
        </row>
        <row r="1334">
          <cell r="V1334">
            <v>0</v>
          </cell>
          <cell r="Z1334">
            <v>0</v>
          </cell>
        </row>
        <row r="1335">
          <cell r="V1335">
            <v>0</v>
          </cell>
          <cell r="Z1335">
            <v>0</v>
          </cell>
        </row>
        <row r="1336">
          <cell r="V1336">
            <v>0</v>
          </cell>
          <cell r="Z1336">
            <v>0</v>
          </cell>
        </row>
        <row r="1337">
          <cell r="V1337">
            <v>0</v>
          </cell>
          <cell r="Z1337">
            <v>0</v>
          </cell>
        </row>
        <row r="1338">
          <cell r="V1338">
            <v>0</v>
          </cell>
          <cell r="Z1338">
            <v>0</v>
          </cell>
        </row>
        <row r="1339">
          <cell r="V1339">
            <v>0</v>
          </cell>
          <cell r="Z1339">
            <v>0</v>
          </cell>
        </row>
        <row r="1340">
          <cell r="V1340">
            <v>0</v>
          </cell>
          <cell r="Z1340">
            <v>0</v>
          </cell>
        </row>
        <row r="1341">
          <cell r="V1341">
            <v>0</v>
          </cell>
          <cell r="Z1341">
            <v>0</v>
          </cell>
        </row>
        <row r="1342">
          <cell r="V1342">
            <v>0</v>
          </cell>
          <cell r="Z1342">
            <v>0</v>
          </cell>
        </row>
        <row r="1343">
          <cell r="V1343">
            <v>0</v>
          </cell>
          <cell r="Z1343">
            <v>0</v>
          </cell>
        </row>
        <row r="1344">
          <cell r="V1344">
            <v>0</v>
          </cell>
          <cell r="Z1344">
            <v>0</v>
          </cell>
        </row>
        <row r="1345">
          <cell r="V1345">
            <v>0</v>
          </cell>
          <cell r="Z1345">
            <v>0</v>
          </cell>
        </row>
        <row r="1346">
          <cell r="V1346">
            <v>0</v>
          </cell>
          <cell r="Z1346">
            <v>0</v>
          </cell>
        </row>
        <row r="1347">
          <cell r="V1347">
            <v>0</v>
          </cell>
          <cell r="Z1347">
            <v>0</v>
          </cell>
        </row>
        <row r="1348">
          <cell r="V1348">
            <v>0</v>
          </cell>
          <cell r="Z1348">
            <v>0</v>
          </cell>
        </row>
        <row r="1349">
          <cell r="V1349">
            <v>0</v>
          </cell>
          <cell r="Z1349">
            <v>0</v>
          </cell>
        </row>
        <row r="1350">
          <cell r="V1350">
            <v>0</v>
          </cell>
          <cell r="Z1350">
            <v>0</v>
          </cell>
        </row>
        <row r="1351">
          <cell r="V1351">
            <v>0</v>
          </cell>
          <cell r="Z1351">
            <v>0</v>
          </cell>
        </row>
        <row r="1352">
          <cell r="V1352">
            <v>0</v>
          </cell>
          <cell r="Z1352">
            <v>0</v>
          </cell>
        </row>
        <row r="1353">
          <cell r="V1353">
            <v>0</v>
          </cell>
          <cell r="Z1353">
            <v>0</v>
          </cell>
        </row>
        <row r="1354">
          <cell r="V1354">
            <v>0</v>
          </cell>
          <cell r="Z1354">
            <v>0</v>
          </cell>
        </row>
        <row r="1355">
          <cell r="V1355">
            <v>0</v>
          </cell>
          <cell r="Z1355">
            <v>0</v>
          </cell>
        </row>
        <row r="1356">
          <cell r="V1356">
            <v>0</v>
          </cell>
          <cell r="Z1356">
            <v>0</v>
          </cell>
        </row>
        <row r="1357">
          <cell r="V1357">
            <v>0</v>
          </cell>
          <cell r="Z1357">
            <v>0</v>
          </cell>
        </row>
        <row r="1358">
          <cell r="V1358">
            <v>0</v>
          </cell>
          <cell r="Z1358">
            <v>0</v>
          </cell>
        </row>
        <row r="1359">
          <cell r="V1359">
            <v>0</v>
          </cell>
          <cell r="Z1359">
            <v>0</v>
          </cell>
        </row>
        <row r="1360">
          <cell r="V1360">
            <v>0</v>
          </cell>
          <cell r="Z1360">
            <v>0</v>
          </cell>
        </row>
        <row r="1361">
          <cell r="V1361">
            <v>0</v>
          </cell>
          <cell r="Z1361">
            <v>0</v>
          </cell>
        </row>
        <row r="1362">
          <cell r="V1362">
            <v>0</v>
          </cell>
          <cell r="Z1362">
            <v>0</v>
          </cell>
        </row>
        <row r="1363">
          <cell r="V1363">
            <v>0</v>
          </cell>
          <cell r="Z1363">
            <v>0</v>
          </cell>
        </row>
        <row r="1364">
          <cell r="V1364">
            <v>0</v>
          </cell>
          <cell r="Z1364">
            <v>0</v>
          </cell>
        </row>
        <row r="1365">
          <cell r="V1365">
            <v>0</v>
          </cell>
          <cell r="Z1365">
            <v>0</v>
          </cell>
        </row>
        <row r="1366">
          <cell r="V1366">
            <v>0</v>
          </cell>
          <cell r="Z1366">
            <v>0</v>
          </cell>
        </row>
        <row r="1367">
          <cell r="V1367">
            <v>0</v>
          </cell>
          <cell r="Z1367">
            <v>0</v>
          </cell>
        </row>
        <row r="1368">
          <cell r="V1368">
            <v>0</v>
          </cell>
          <cell r="Z1368">
            <v>0</v>
          </cell>
        </row>
        <row r="1369">
          <cell r="V1369">
            <v>0</v>
          </cell>
          <cell r="Z1369">
            <v>0</v>
          </cell>
        </row>
        <row r="1370">
          <cell r="V1370">
            <v>0</v>
          </cell>
          <cell r="Z1370">
            <v>0</v>
          </cell>
        </row>
        <row r="1371">
          <cell r="V1371">
            <v>0</v>
          </cell>
          <cell r="Z1371">
            <v>0</v>
          </cell>
        </row>
        <row r="1372">
          <cell r="V1372">
            <v>0</v>
          </cell>
          <cell r="Z1372">
            <v>0</v>
          </cell>
        </row>
        <row r="1373">
          <cell r="V1373">
            <v>0</v>
          </cell>
          <cell r="Z1373">
            <v>0</v>
          </cell>
        </row>
        <row r="1374">
          <cell r="V1374">
            <v>0</v>
          </cell>
          <cell r="Z1374">
            <v>0</v>
          </cell>
        </row>
        <row r="1375">
          <cell r="V1375">
            <v>0</v>
          </cell>
          <cell r="Z1375">
            <v>0</v>
          </cell>
        </row>
        <row r="1376">
          <cell r="V1376">
            <v>0</v>
          </cell>
          <cell r="Z1376">
            <v>0</v>
          </cell>
        </row>
        <row r="1377">
          <cell r="V1377">
            <v>0</v>
          </cell>
          <cell r="Z1377">
            <v>0</v>
          </cell>
        </row>
        <row r="1378">
          <cell r="V1378">
            <v>0</v>
          </cell>
          <cell r="Z1378">
            <v>0</v>
          </cell>
        </row>
        <row r="1379">
          <cell r="V1379">
            <v>0</v>
          </cell>
          <cell r="Z1379">
            <v>0</v>
          </cell>
        </row>
        <row r="1380">
          <cell r="V1380">
            <v>0</v>
          </cell>
          <cell r="Z1380">
            <v>0</v>
          </cell>
        </row>
        <row r="1381">
          <cell r="V1381">
            <v>0</v>
          </cell>
          <cell r="Z1381">
            <v>0</v>
          </cell>
        </row>
        <row r="1382">
          <cell r="V1382">
            <v>0</v>
          </cell>
          <cell r="Z1382">
            <v>0</v>
          </cell>
        </row>
        <row r="1383">
          <cell r="V1383">
            <v>0</v>
          </cell>
          <cell r="Z1383">
            <v>0</v>
          </cell>
        </row>
        <row r="1384">
          <cell r="V1384">
            <v>0</v>
          </cell>
          <cell r="Z1384">
            <v>0</v>
          </cell>
        </row>
        <row r="1385">
          <cell r="V1385">
            <v>0</v>
          </cell>
          <cell r="Z1385">
            <v>0</v>
          </cell>
        </row>
        <row r="1386">
          <cell r="V1386">
            <v>0</v>
          </cell>
          <cell r="Z1386">
            <v>0</v>
          </cell>
        </row>
        <row r="1387">
          <cell r="V1387">
            <v>0</v>
          </cell>
          <cell r="Z1387">
            <v>0</v>
          </cell>
        </row>
        <row r="1388">
          <cell r="V1388">
            <v>0</v>
          </cell>
          <cell r="Z1388">
            <v>0</v>
          </cell>
        </row>
        <row r="1389">
          <cell r="V1389">
            <v>0</v>
          </cell>
          <cell r="Z1389">
            <v>0</v>
          </cell>
        </row>
        <row r="1390">
          <cell r="V1390">
            <v>0</v>
          </cell>
          <cell r="Z1390">
            <v>0</v>
          </cell>
        </row>
        <row r="1391">
          <cell r="V1391">
            <v>0</v>
          </cell>
          <cell r="Z1391">
            <v>0</v>
          </cell>
        </row>
        <row r="1392">
          <cell r="V1392">
            <v>0</v>
          </cell>
          <cell r="Z1392">
            <v>0</v>
          </cell>
        </row>
        <row r="1393">
          <cell r="V1393">
            <v>0</v>
          </cell>
          <cell r="Z1393">
            <v>0</v>
          </cell>
        </row>
        <row r="1394">
          <cell r="V1394">
            <v>0</v>
          </cell>
          <cell r="Z1394">
            <v>0</v>
          </cell>
        </row>
        <row r="1395">
          <cell r="V1395">
            <v>0</v>
          </cell>
          <cell r="Z1395">
            <v>0</v>
          </cell>
        </row>
        <row r="1396">
          <cell r="V1396">
            <v>0</v>
          </cell>
          <cell r="Z1396">
            <v>0</v>
          </cell>
        </row>
        <row r="1397">
          <cell r="V1397">
            <v>0</v>
          </cell>
          <cell r="Z1397">
            <v>0</v>
          </cell>
        </row>
        <row r="1398">
          <cell r="V1398">
            <v>0</v>
          </cell>
          <cell r="Z1398">
            <v>0</v>
          </cell>
        </row>
        <row r="1399">
          <cell r="V1399">
            <v>0</v>
          </cell>
          <cell r="Z1399">
            <v>0</v>
          </cell>
        </row>
        <row r="1400">
          <cell r="V1400">
            <v>0</v>
          </cell>
          <cell r="Z1400">
            <v>0</v>
          </cell>
        </row>
        <row r="1401">
          <cell r="V1401">
            <v>0</v>
          </cell>
          <cell r="Z1401">
            <v>0</v>
          </cell>
        </row>
        <row r="1402">
          <cell r="V1402">
            <v>0</v>
          </cell>
          <cell r="Z1402">
            <v>0</v>
          </cell>
        </row>
        <row r="1403">
          <cell r="V1403">
            <v>0</v>
          </cell>
          <cell r="Z1403">
            <v>0</v>
          </cell>
        </row>
        <row r="1404">
          <cell r="V1404">
            <v>0</v>
          </cell>
          <cell r="Z1404">
            <v>0</v>
          </cell>
        </row>
        <row r="1405">
          <cell r="V1405">
            <v>0</v>
          </cell>
          <cell r="Z1405">
            <v>0</v>
          </cell>
        </row>
        <row r="1406">
          <cell r="V1406">
            <v>0</v>
          </cell>
          <cell r="Z1406">
            <v>0</v>
          </cell>
        </row>
        <row r="1407">
          <cell r="V1407">
            <v>0</v>
          </cell>
          <cell r="Z1407">
            <v>0</v>
          </cell>
        </row>
        <row r="1408">
          <cell r="V1408">
            <v>0</v>
          </cell>
          <cell r="Z1408">
            <v>0</v>
          </cell>
        </row>
        <row r="1409">
          <cell r="V1409">
            <v>0</v>
          </cell>
          <cell r="Z1409">
            <v>0</v>
          </cell>
        </row>
        <row r="1410">
          <cell r="V1410">
            <v>0</v>
          </cell>
          <cell r="Z1410">
            <v>0</v>
          </cell>
        </row>
        <row r="1411">
          <cell r="V1411">
            <v>0</v>
          </cell>
          <cell r="Z1411">
            <v>0</v>
          </cell>
        </row>
        <row r="1412">
          <cell r="V1412">
            <v>0</v>
          </cell>
          <cell r="Z1412">
            <v>0</v>
          </cell>
        </row>
        <row r="1413">
          <cell r="V1413">
            <v>0</v>
          </cell>
          <cell r="Z1413">
            <v>0</v>
          </cell>
        </row>
        <row r="1414">
          <cell r="V1414">
            <v>0</v>
          </cell>
          <cell r="Z1414">
            <v>0</v>
          </cell>
        </row>
        <row r="1415">
          <cell r="V1415">
            <v>0</v>
          </cell>
          <cell r="Z1415">
            <v>0</v>
          </cell>
        </row>
        <row r="1416">
          <cell r="V1416">
            <v>0</v>
          </cell>
          <cell r="Z1416">
            <v>0</v>
          </cell>
        </row>
        <row r="1417">
          <cell r="V1417">
            <v>0</v>
          </cell>
          <cell r="Z1417">
            <v>0</v>
          </cell>
        </row>
        <row r="1418">
          <cell r="V1418">
            <v>0</v>
          </cell>
          <cell r="Z1418">
            <v>0</v>
          </cell>
        </row>
        <row r="1419">
          <cell r="V1419">
            <v>0</v>
          </cell>
          <cell r="Z1419">
            <v>0</v>
          </cell>
        </row>
        <row r="1420">
          <cell r="V1420">
            <v>0</v>
          </cell>
          <cell r="Z1420">
            <v>0</v>
          </cell>
        </row>
        <row r="1421">
          <cell r="V1421">
            <v>0</v>
          </cell>
          <cell r="Z1421">
            <v>0</v>
          </cell>
        </row>
        <row r="1422">
          <cell r="V1422">
            <v>0</v>
          </cell>
          <cell r="Z1422">
            <v>0</v>
          </cell>
        </row>
        <row r="1423">
          <cell r="V1423">
            <v>0</v>
          </cell>
          <cell r="Z1423">
            <v>0</v>
          </cell>
        </row>
        <row r="1424">
          <cell r="V1424">
            <v>0</v>
          </cell>
          <cell r="Z1424">
            <v>0</v>
          </cell>
        </row>
        <row r="1425">
          <cell r="V1425">
            <v>0</v>
          </cell>
          <cell r="Z1425">
            <v>0</v>
          </cell>
        </row>
        <row r="1426">
          <cell r="V1426">
            <v>0</v>
          </cell>
          <cell r="Z1426">
            <v>0</v>
          </cell>
        </row>
        <row r="1427">
          <cell r="V1427">
            <v>0</v>
          </cell>
          <cell r="Z1427">
            <v>0</v>
          </cell>
        </row>
        <row r="1428">
          <cell r="V1428">
            <v>0</v>
          </cell>
          <cell r="Z1428">
            <v>0</v>
          </cell>
        </row>
        <row r="1429">
          <cell r="V1429">
            <v>0</v>
          </cell>
          <cell r="Z1429">
            <v>0</v>
          </cell>
        </row>
        <row r="1430">
          <cell r="V1430">
            <v>0</v>
          </cell>
          <cell r="Z1430">
            <v>0</v>
          </cell>
        </row>
        <row r="1431">
          <cell r="V1431">
            <v>0</v>
          </cell>
          <cell r="Z1431">
            <v>0</v>
          </cell>
        </row>
        <row r="1432">
          <cell r="V1432">
            <v>0</v>
          </cell>
          <cell r="Z1432">
            <v>0</v>
          </cell>
        </row>
        <row r="1433">
          <cell r="V1433">
            <v>0</v>
          </cell>
          <cell r="Z1433">
            <v>0</v>
          </cell>
        </row>
        <row r="1434">
          <cell r="V1434">
            <v>0</v>
          </cell>
          <cell r="Z1434">
            <v>0</v>
          </cell>
        </row>
        <row r="1435">
          <cell r="V1435">
            <v>0</v>
          </cell>
          <cell r="Z1435">
            <v>0</v>
          </cell>
        </row>
        <row r="1436">
          <cell r="V1436">
            <v>0</v>
          </cell>
          <cell r="Z1436">
            <v>0</v>
          </cell>
        </row>
        <row r="1437">
          <cell r="V1437">
            <v>0</v>
          </cell>
          <cell r="Z1437">
            <v>0</v>
          </cell>
        </row>
        <row r="1438">
          <cell r="V1438">
            <v>0</v>
          </cell>
          <cell r="Z1438">
            <v>0</v>
          </cell>
        </row>
        <row r="1439">
          <cell r="V1439">
            <v>0</v>
          </cell>
          <cell r="Z1439">
            <v>0</v>
          </cell>
        </row>
        <row r="1440">
          <cell r="V1440">
            <v>0</v>
          </cell>
          <cell r="Z1440">
            <v>0</v>
          </cell>
        </row>
        <row r="1441">
          <cell r="V1441">
            <v>0</v>
          </cell>
          <cell r="Z1441">
            <v>0</v>
          </cell>
        </row>
        <row r="1442">
          <cell r="V1442">
            <v>0</v>
          </cell>
          <cell r="Z1442">
            <v>0</v>
          </cell>
        </row>
        <row r="1443">
          <cell r="V1443">
            <v>0</v>
          </cell>
          <cell r="Z1443">
            <v>0</v>
          </cell>
        </row>
        <row r="1444">
          <cell r="V1444">
            <v>0</v>
          </cell>
          <cell r="Z1444">
            <v>0</v>
          </cell>
        </row>
        <row r="1445">
          <cell r="V1445">
            <v>0</v>
          </cell>
          <cell r="Z1445">
            <v>0</v>
          </cell>
        </row>
        <row r="1446">
          <cell r="V1446">
            <v>0</v>
          </cell>
          <cell r="Z1446">
            <v>0</v>
          </cell>
        </row>
        <row r="1447">
          <cell r="V1447">
            <v>0</v>
          </cell>
          <cell r="Z1447">
            <v>0</v>
          </cell>
        </row>
        <row r="1448">
          <cell r="V1448">
            <v>0</v>
          </cell>
          <cell r="Z1448">
            <v>0</v>
          </cell>
        </row>
        <row r="1449">
          <cell r="V1449">
            <v>0</v>
          </cell>
          <cell r="Z1449">
            <v>0</v>
          </cell>
        </row>
        <row r="1450">
          <cell r="V1450">
            <v>0</v>
          </cell>
          <cell r="Z1450">
            <v>0</v>
          </cell>
        </row>
        <row r="1451">
          <cell r="V1451">
            <v>0</v>
          </cell>
          <cell r="Z1451">
            <v>0</v>
          </cell>
        </row>
        <row r="1452">
          <cell r="V1452">
            <v>0</v>
          </cell>
          <cell r="Z1452">
            <v>0</v>
          </cell>
        </row>
        <row r="1453">
          <cell r="V1453">
            <v>0</v>
          </cell>
          <cell r="Z1453">
            <v>0</v>
          </cell>
        </row>
        <row r="1454">
          <cell r="V1454">
            <v>0</v>
          </cell>
          <cell r="Z1454">
            <v>0</v>
          </cell>
        </row>
        <row r="1455">
          <cell r="V1455">
            <v>0</v>
          </cell>
          <cell r="Z1455">
            <v>0</v>
          </cell>
        </row>
        <row r="1456">
          <cell r="V1456">
            <v>0</v>
          </cell>
          <cell r="Z1456">
            <v>0</v>
          </cell>
        </row>
        <row r="1457">
          <cell r="V1457">
            <v>0</v>
          </cell>
          <cell r="Z1457">
            <v>0</v>
          </cell>
        </row>
        <row r="1458">
          <cell r="V1458">
            <v>0</v>
          </cell>
          <cell r="Z1458">
            <v>0</v>
          </cell>
        </row>
        <row r="1459">
          <cell r="V1459">
            <v>0</v>
          </cell>
          <cell r="Z1459">
            <v>0</v>
          </cell>
        </row>
        <row r="1460">
          <cell r="V1460">
            <v>0</v>
          </cell>
          <cell r="Z1460">
            <v>0</v>
          </cell>
        </row>
        <row r="1461">
          <cell r="V1461">
            <v>0</v>
          </cell>
          <cell r="Z1461">
            <v>0</v>
          </cell>
        </row>
        <row r="1462">
          <cell r="V1462">
            <v>0</v>
          </cell>
          <cell r="Z1462">
            <v>0</v>
          </cell>
        </row>
        <row r="1463">
          <cell r="V1463">
            <v>0</v>
          </cell>
          <cell r="Z1463">
            <v>0</v>
          </cell>
        </row>
        <row r="1464">
          <cell r="V1464">
            <v>0</v>
          </cell>
          <cell r="Z1464">
            <v>0</v>
          </cell>
        </row>
        <row r="1465">
          <cell r="V1465">
            <v>0</v>
          </cell>
          <cell r="Z1465">
            <v>0</v>
          </cell>
        </row>
        <row r="1466">
          <cell r="V1466">
            <v>0</v>
          </cell>
          <cell r="Z1466">
            <v>0</v>
          </cell>
        </row>
        <row r="1467">
          <cell r="V1467">
            <v>0</v>
          </cell>
          <cell r="Z1467">
            <v>0</v>
          </cell>
        </row>
        <row r="1468">
          <cell r="V1468">
            <v>0</v>
          </cell>
          <cell r="Z1468">
            <v>0</v>
          </cell>
        </row>
        <row r="1469">
          <cell r="V1469">
            <v>0</v>
          </cell>
          <cell r="Z1469">
            <v>0</v>
          </cell>
        </row>
        <row r="1470">
          <cell r="V1470">
            <v>0</v>
          </cell>
          <cell r="Z1470">
            <v>0</v>
          </cell>
        </row>
        <row r="1471">
          <cell r="V1471">
            <v>0</v>
          </cell>
          <cell r="Z1471">
            <v>0</v>
          </cell>
        </row>
        <row r="1472">
          <cell r="V1472">
            <v>0</v>
          </cell>
          <cell r="Z1472">
            <v>0</v>
          </cell>
        </row>
        <row r="1473">
          <cell r="V1473">
            <v>0</v>
          </cell>
          <cell r="Z1473">
            <v>0</v>
          </cell>
        </row>
        <row r="1474">
          <cell r="V1474">
            <v>0</v>
          </cell>
          <cell r="Z1474">
            <v>0</v>
          </cell>
        </row>
        <row r="1475">
          <cell r="V1475">
            <v>0</v>
          </cell>
          <cell r="Z1475">
            <v>0</v>
          </cell>
        </row>
        <row r="1476">
          <cell r="V1476">
            <v>0</v>
          </cell>
          <cell r="Z1476">
            <v>0</v>
          </cell>
        </row>
        <row r="1477">
          <cell r="V1477">
            <v>0</v>
          </cell>
          <cell r="Z1477">
            <v>0</v>
          </cell>
        </row>
        <row r="1478">
          <cell r="V1478">
            <v>0</v>
          </cell>
          <cell r="Z1478">
            <v>0</v>
          </cell>
        </row>
        <row r="1479">
          <cell r="V1479">
            <v>0</v>
          </cell>
          <cell r="Z1479">
            <v>0</v>
          </cell>
        </row>
        <row r="1480">
          <cell r="V1480">
            <v>0</v>
          </cell>
          <cell r="Z1480">
            <v>0</v>
          </cell>
        </row>
        <row r="1481">
          <cell r="V1481">
            <v>0</v>
          </cell>
          <cell r="Z1481">
            <v>0</v>
          </cell>
        </row>
        <row r="1482">
          <cell r="V1482">
            <v>0</v>
          </cell>
          <cell r="Z1482">
            <v>0</v>
          </cell>
        </row>
        <row r="1483">
          <cell r="V1483">
            <v>0</v>
          </cell>
          <cell r="Z1483">
            <v>0</v>
          </cell>
        </row>
        <row r="1484">
          <cell r="V1484">
            <v>0</v>
          </cell>
          <cell r="Z1484">
            <v>0</v>
          </cell>
        </row>
        <row r="1485">
          <cell r="V1485">
            <v>0</v>
          </cell>
          <cell r="Z1485">
            <v>0</v>
          </cell>
        </row>
        <row r="1486">
          <cell r="V1486">
            <v>0</v>
          </cell>
          <cell r="Z1486">
            <v>0</v>
          </cell>
        </row>
        <row r="1487">
          <cell r="V1487">
            <v>0</v>
          </cell>
          <cell r="Z1487">
            <v>0</v>
          </cell>
        </row>
        <row r="1488">
          <cell r="V1488">
            <v>0</v>
          </cell>
          <cell r="Z1488">
            <v>0</v>
          </cell>
        </row>
        <row r="1489">
          <cell r="V1489">
            <v>0</v>
          </cell>
          <cell r="Z1489">
            <v>0</v>
          </cell>
        </row>
        <row r="1490">
          <cell r="V1490">
            <v>0</v>
          </cell>
          <cell r="Z1490">
            <v>0</v>
          </cell>
        </row>
        <row r="1491">
          <cell r="V1491">
            <v>0</v>
          </cell>
          <cell r="Z1491">
            <v>0</v>
          </cell>
        </row>
        <row r="1492">
          <cell r="V1492">
            <v>0</v>
          </cell>
          <cell r="Z1492">
            <v>0</v>
          </cell>
        </row>
        <row r="1493">
          <cell r="V1493">
            <v>0</v>
          </cell>
          <cell r="Z1493">
            <v>0</v>
          </cell>
        </row>
        <row r="1494">
          <cell r="V1494">
            <v>0</v>
          </cell>
          <cell r="Z1494">
            <v>0</v>
          </cell>
        </row>
        <row r="1495">
          <cell r="V1495">
            <v>0</v>
          </cell>
          <cell r="Z1495">
            <v>0</v>
          </cell>
        </row>
        <row r="1496">
          <cell r="V1496">
            <v>0</v>
          </cell>
          <cell r="Z1496">
            <v>0</v>
          </cell>
        </row>
        <row r="1497">
          <cell r="V1497">
            <v>0</v>
          </cell>
          <cell r="Z1497">
            <v>0</v>
          </cell>
        </row>
        <row r="1498">
          <cell r="V1498">
            <v>0</v>
          </cell>
          <cell r="Z1498">
            <v>0</v>
          </cell>
        </row>
        <row r="1499">
          <cell r="V1499">
            <v>0</v>
          </cell>
          <cell r="Z1499">
            <v>0</v>
          </cell>
        </row>
        <row r="1500">
          <cell r="V1500">
            <v>0</v>
          </cell>
          <cell r="Z1500">
            <v>0</v>
          </cell>
        </row>
        <row r="1501">
          <cell r="V1501">
            <v>0</v>
          </cell>
          <cell r="Z1501">
            <v>0</v>
          </cell>
        </row>
        <row r="1502">
          <cell r="V1502">
            <v>0</v>
          </cell>
          <cell r="Z1502">
            <v>0</v>
          </cell>
        </row>
        <row r="1503">
          <cell r="V1503">
            <v>0</v>
          </cell>
          <cell r="Z1503">
            <v>0</v>
          </cell>
        </row>
        <row r="1504">
          <cell r="V1504">
            <v>0</v>
          </cell>
          <cell r="Z1504">
            <v>0</v>
          </cell>
        </row>
        <row r="1505">
          <cell r="V1505">
            <v>0</v>
          </cell>
          <cell r="Z1505">
            <v>0</v>
          </cell>
        </row>
        <row r="1506">
          <cell r="V1506">
            <v>0</v>
          </cell>
          <cell r="Z1506">
            <v>0</v>
          </cell>
        </row>
        <row r="1507">
          <cell r="V1507">
            <v>0</v>
          </cell>
          <cell r="Z1507">
            <v>0</v>
          </cell>
        </row>
        <row r="1508">
          <cell r="V1508">
            <v>0</v>
          </cell>
          <cell r="Z1508">
            <v>0</v>
          </cell>
        </row>
        <row r="1509">
          <cell r="V1509">
            <v>0</v>
          </cell>
          <cell r="Z1509">
            <v>0</v>
          </cell>
        </row>
        <row r="1510">
          <cell r="V1510">
            <v>0</v>
          </cell>
          <cell r="Z1510">
            <v>0</v>
          </cell>
        </row>
        <row r="1511">
          <cell r="V1511">
            <v>0</v>
          </cell>
          <cell r="Z1511">
            <v>0</v>
          </cell>
        </row>
        <row r="1512">
          <cell r="V1512">
            <v>0</v>
          </cell>
          <cell r="Z1512">
            <v>0</v>
          </cell>
        </row>
        <row r="1513">
          <cell r="V1513">
            <v>0</v>
          </cell>
          <cell r="Z1513">
            <v>0</v>
          </cell>
        </row>
        <row r="1514">
          <cell r="V1514">
            <v>0</v>
          </cell>
          <cell r="Z1514">
            <v>0</v>
          </cell>
        </row>
        <row r="1515">
          <cell r="V1515">
            <v>0</v>
          </cell>
          <cell r="Z1515">
            <v>0</v>
          </cell>
        </row>
        <row r="1516">
          <cell r="V1516">
            <v>0</v>
          </cell>
          <cell r="Z1516">
            <v>0</v>
          </cell>
        </row>
        <row r="1517">
          <cell r="V1517">
            <v>0</v>
          </cell>
          <cell r="Z1517">
            <v>0</v>
          </cell>
        </row>
        <row r="1518">
          <cell r="V1518">
            <v>0</v>
          </cell>
          <cell r="Z1518">
            <v>0</v>
          </cell>
        </row>
        <row r="1519">
          <cell r="V1519">
            <v>0</v>
          </cell>
          <cell r="Z1519">
            <v>0</v>
          </cell>
        </row>
        <row r="1520">
          <cell r="V1520">
            <v>0</v>
          </cell>
          <cell r="Z1520">
            <v>0</v>
          </cell>
        </row>
        <row r="1521">
          <cell r="V1521">
            <v>0</v>
          </cell>
          <cell r="Z1521">
            <v>0</v>
          </cell>
        </row>
        <row r="1522">
          <cell r="V1522">
            <v>0</v>
          </cell>
          <cell r="Z1522">
            <v>0</v>
          </cell>
        </row>
        <row r="1523">
          <cell r="V1523">
            <v>0</v>
          </cell>
          <cell r="Z1523">
            <v>0</v>
          </cell>
        </row>
        <row r="1524">
          <cell r="V1524">
            <v>0</v>
          </cell>
          <cell r="Z1524">
            <v>0</v>
          </cell>
        </row>
        <row r="1525">
          <cell r="V1525">
            <v>0</v>
          </cell>
          <cell r="Z1525">
            <v>0</v>
          </cell>
        </row>
        <row r="1526">
          <cell r="V1526">
            <v>0</v>
          </cell>
          <cell r="Z1526">
            <v>0</v>
          </cell>
        </row>
        <row r="1527">
          <cell r="V1527">
            <v>0</v>
          </cell>
          <cell r="Z1527">
            <v>0</v>
          </cell>
        </row>
        <row r="1528">
          <cell r="V1528">
            <v>0</v>
          </cell>
          <cell r="Z1528">
            <v>0</v>
          </cell>
        </row>
        <row r="1529">
          <cell r="V1529">
            <v>0</v>
          </cell>
          <cell r="Z1529">
            <v>0</v>
          </cell>
        </row>
        <row r="1530">
          <cell r="V1530">
            <v>0</v>
          </cell>
          <cell r="Z1530">
            <v>0</v>
          </cell>
        </row>
        <row r="1531">
          <cell r="V1531">
            <v>0</v>
          </cell>
          <cell r="Z1531">
            <v>0</v>
          </cell>
        </row>
        <row r="1532">
          <cell r="V1532">
            <v>0</v>
          </cell>
          <cell r="Z1532">
            <v>0</v>
          </cell>
        </row>
        <row r="1533">
          <cell r="V1533">
            <v>0</v>
          </cell>
          <cell r="Z1533">
            <v>0</v>
          </cell>
        </row>
        <row r="1534">
          <cell r="V1534">
            <v>0</v>
          </cell>
          <cell r="Z1534">
            <v>0</v>
          </cell>
        </row>
        <row r="1535">
          <cell r="V1535">
            <v>0</v>
          </cell>
          <cell r="Z1535">
            <v>0</v>
          </cell>
        </row>
        <row r="1536">
          <cell r="V1536">
            <v>0</v>
          </cell>
          <cell r="Z1536">
            <v>0</v>
          </cell>
        </row>
        <row r="1537">
          <cell r="V1537">
            <v>0</v>
          </cell>
          <cell r="Z1537">
            <v>0</v>
          </cell>
        </row>
        <row r="1538">
          <cell r="V1538">
            <v>0</v>
          </cell>
          <cell r="Z1538">
            <v>0</v>
          </cell>
        </row>
        <row r="1539">
          <cell r="V1539">
            <v>0</v>
          </cell>
          <cell r="Z1539">
            <v>0</v>
          </cell>
        </row>
        <row r="1540">
          <cell r="V1540">
            <v>0</v>
          </cell>
          <cell r="Z1540">
            <v>0</v>
          </cell>
        </row>
        <row r="1541">
          <cell r="V1541">
            <v>0</v>
          </cell>
          <cell r="Z1541">
            <v>0</v>
          </cell>
        </row>
        <row r="1542">
          <cell r="V1542">
            <v>0</v>
          </cell>
          <cell r="Z1542">
            <v>0</v>
          </cell>
        </row>
        <row r="1543">
          <cell r="V1543">
            <v>0</v>
          </cell>
          <cell r="Z1543">
            <v>0</v>
          </cell>
        </row>
        <row r="1544">
          <cell r="V1544">
            <v>0</v>
          </cell>
          <cell r="Z1544">
            <v>0</v>
          </cell>
        </row>
        <row r="1545">
          <cell r="V1545">
            <v>0</v>
          </cell>
          <cell r="Z1545">
            <v>0</v>
          </cell>
        </row>
        <row r="1546">
          <cell r="V1546">
            <v>0</v>
          </cell>
          <cell r="Z1546">
            <v>0</v>
          </cell>
        </row>
        <row r="1547">
          <cell r="V1547">
            <v>0</v>
          </cell>
          <cell r="Z1547">
            <v>0</v>
          </cell>
        </row>
        <row r="1548">
          <cell r="V1548">
            <v>0</v>
          </cell>
          <cell r="Z1548">
            <v>0</v>
          </cell>
        </row>
        <row r="1549">
          <cell r="V1549">
            <v>0</v>
          </cell>
          <cell r="Z1549">
            <v>0</v>
          </cell>
        </row>
        <row r="1550">
          <cell r="V1550">
            <v>0</v>
          </cell>
          <cell r="Z1550">
            <v>0</v>
          </cell>
        </row>
        <row r="1551">
          <cell r="V1551">
            <v>0</v>
          </cell>
          <cell r="Z1551">
            <v>0</v>
          </cell>
        </row>
        <row r="1552">
          <cell r="V1552">
            <v>0</v>
          </cell>
          <cell r="Z1552">
            <v>0</v>
          </cell>
        </row>
        <row r="1553">
          <cell r="V1553">
            <v>0</v>
          </cell>
          <cell r="Z1553">
            <v>0</v>
          </cell>
        </row>
        <row r="1554">
          <cell r="V1554">
            <v>0</v>
          </cell>
          <cell r="Z1554">
            <v>0</v>
          </cell>
        </row>
        <row r="1555">
          <cell r="V1555">
            <v>0</v>
          </cell>
          <cell r="Z1555">
            <v>0</v>
          </cell>
        </row>
        <row r="1556">
          <cell r="V1556">
            <v>0</v>
          </cell>
          <cell r="Z1556">
            <v>0</v>
          </cell>
        </row>
        <row r="1557">
          <cell r="V1557">
            <v>0</v>
          </cell>
          <cell r="Z1557">
            <v>0</v>
          </cell>
        </row>
        <row r="1558">
          <cell r="V1558">
            <v>0</v>
          </cell>
          <cell r="Z1558">
            <v>0</v>
          </cell>
        </row>
        <row r="1559">
          <cell r="V1559">
            <v>0</v>
          </cell>
          <cell r="Z1559">
            <v>0</v>
          </cell>
        </row>
        <row r="1560">
          <cell r="V1560">
            <v>0</v>
          </cell>
          <cell r="Z1560">
            <v>0</v>
          </cell>
        </row>
        <row r="1561">
          <cell r="V1561">
            <v>0</v>
          </cell>
          <cell r="Z1561">
            <v>0</v>
          </cell>
        </row>
        <row r="1562">
          <cell r="V1562">
            <v>0</v>
          </cell>
          <cell r="Z1562">
            <v>0</v>
          </cell>
        </row>
        <row r="1563">
          <cell r="V1563">
            <v>0</v>
          </cell>
          <cell r="Z1563">
            <v>0</v>
          </cell>
        </row>
        <row r="1564">
          <cell r="V1564">
            <v>0</v>
          </cell>
          <cell r="Z1564">
            <v>0</v>
          </cell>
        </row>
        <row r="1565">
          <cell r="V1565">
            <v>0</v>
          </cell>
          <cell r="Z1565">
            <v>0</v>
          </cell>
        </row>
        <row r="1566">
          <cell r="V1566">
            <v>0</v>
          </cell>
          <cell r="Z1566">
            <v>0</v>
          </cell>
        </row>
        <row r="1567">
          <cell r="V1567">
            <v>0</v>
          </cell>
          <cell r="Z1567">
            <v>0</v>
          </cell>
        </row>
        <row r="1568">
          <cell r="V1568">
            <v>0</v>
          </cell>
          <cell r="Z1568">
            <v>0</v>
          </cell>
        </row>
        <row r="1569">
          <cell r="V1569">
            <v>0</v>
          </cell>
          <cell r="Z1569">
            <v>0</v>
          </cell>
        </row>
        <row r="1570">
          <cell r="V1570">
            <v>0</v>
          </cell>
          <cell r="Z1570">
            <v>0</v>
          </cell>
        </row>
        <row r="1571">
          <cell r="V1571">
            <v>0</v>
          </cell>
          <cell r="Z1571">
            <v>0</v>
          </cell>
        </row>
        <row r="1572">
          <cell r="V1572">
            <v>0</v>
          </cell>
          <cell r="Z1572">
            <v>0</v>
          </cell>
        </row>
        <row r="1573">
          <cell r="V1573">
            <v>0</v>
          </cell>
          <cell r="Z1573">
            <v>0</v>
          </cell>
        </row>
        <row r="1574">
          <cell r="V1574">
            <v>0</v>
          </cell>
          <cell r="Z1574">
            <v>0</v>
          </cell>
        </row>
        <row r="1575">
          <cell r="V1575">
            <v>0</v>
          </cell>
          <cell r="Z1575">
            <v>0</v>
          </cell>
        </row>
        <row r="1576">
          <cell r="V1576">
            <v>0</v>
          </cell>
          <cell r="Z1576">
            <v>0</v>
          </cell>
        </row>
        <row r="1577">
          <cell r="V1577">
            <v>0</v>
          </cell>
          <cell r="Z1577">
            <v>0</v>
          </cell>
        </row>
        <row r="1578">
          <cell r="V1578">
            <v>0</v>
          </cell>
          <cell r="Z1578">
            <v>0</v>
          </cell>
        </row>
        <row r="1579">
          <cell r="V1579">
            <v>0</v>
          </cell>
          <cell r="Z1579">
            <v>0</v>
          </cell>
        </row>
        <row r="1580">
          <cell r="V1580">
            <v>0</v>
          </cell>
          <cell r="Z1580">
            <v>0</v>
          </cell>
        </row>
        <row r="1581">
          <cell r="V1581">
            <v>0</v>
          </cell>
          <cell r="Z1581">
            <v>0</v>
          </cell>
        </row>
        <row r="1582">
          <cell r="V1582">
            <v>0</v>
          </cell>
          <cell r="Z1582">
            <v>0</v>
          </cell>
        </row>
        <row r="1583">
          <cell r="V1583">
            <v>0</v>
          </cell>
          <cell r="Z1583">
            <v>0</v>
          </cell>
        </row>
        <row r="1584">
          <cell r="V1584">
            <v>0</v>
          </cell>
          <cell r="Z1584">
            <v>0</v>
          </cell>
        </row>
        <row r="1585">
          <cell r="V1585">
            <v>0</v>
          </cell>
          <cell r="Z1585">
            <v>0</v>
          </cell>
        </row>
        <row r="1586">
          <cell r="V1586">
            <v>0</v>
          </cell>
          <cell r="Z1586">
            <v>0</v>
          </cell>
        </row>
        <row r="1587">
          <cell r="V1587">
            <v>0</v>
          </cell>
          <cell r="Z1587">
            <v>0</v>
          </cell>
        </row>
        <row r="1588">
          <cell r="V1588">
            <v>0</v>
          </cell>
          <cell r="Z1588">
            <v>0</v>
          </cell>
        </row>
        <row r="1589">
          <cell r="V1589">
            <v>0</v>
          </cell>
          <cell r="Z1589">
            <v>0</v>
          </cell>
        </row>
        <row r="1590">
          <cell r="V1590">
            <v>0</v>
          </cell>
          <cell r="Z1590">
            <v>0</v>
          </cell>
        </row>
        <row r="1591">
          <cell r="V1591">
            <v>0</v>
          </cell>
          <cell r="Z1591">
            <v>0</v>
          </cell>
        </row>
        <row r="1592">
          <cell r="V1592">
            <v>0</v>
          </cell>
          <cell r="Z1592">
            <v>0</v>
          </cell>
        </row>
        <row r="1593">
          <cell r="V1593">
            <v>0</v>
          </cell>
          <cell r="Z1593">
            <v>0</v>
          </cell>
        </row>
        <row r="1594">
          <cell r="V1594">
            <v>0</v>
          </cell>
          <cell r="Z1594">
            <v>0</v>
          </cell>
        </row>
        <row r="1595">
          <cell r="V1595">
            <v>0</v>
          </cell>
          <cell r="Z1595">
            <v>0</v>
          </cell>
        </row>
        <row r="1596">
          <cell r="V1596">
            <v>0</v>
          </cell>
          <cell r="Z1596">
            <v>0</v>
          </cell>
        </row>
        <row r="1597">
          <cell r="V1597">
            <v>0</v>
          </cell>
          <cell r="Z1597">
            <v>0</v>
          </cell>
        </row>
        <row r="1598">
          <cell r="V1598">
            <v>0</v>
          </cell>
          <cell r="Z1598">
            <v>0</v>
          </cell>
        </row>
        <row r="1599">
          <cell r="V1599">
            <v>0</v>
          </cell>
          <cell r="Z1599">
            <v>0</v>
          </cell>
        </row>
        <row r="1600">
          <cell r="V1600">
            <v>0</v>
          </cell>
          <cell r="Z1600">
            <v>0</v>
          </cell>
        </row>
        <row r="1601">
          <cell r="V1601">
            <v>0</v>
          </cell>
          <cell r="Z1601">
            <v>0</v>
          </cell>
        </row>
        <row r="1602">
          <cell r="V1602">
            <v>0</v>
          </cell>
          <cell r="Z1602">
            <v>0</v>
          </cell>
        </row>
        <row r="1603">
          <cell r="V1603">
            <v>0</v>
          </cell>
          <cell r="Z1603">
            <v>0</v>
          </cell>
        </row>
        <row r="1604">
          <cell r="V1604">
            <v>0</v>
          </cell>
          <cell r="Z1604">
            <v>0</v>
          </cell>
        </row>
        <row r="1605">
          <cell r="V1605">
            <v>0</v>
          </cell>
          <cell r="Z1605">
            <v>0</v>
          </cell>
        </row>
        <row r="1606">
          <cell r="V1606">
            <v>0</v>
          </cell>
          <cell r="Z1606">
            <v>0</v>
          </cell>
        </row>
        <row r="1607">
          <cell r="V1607">
            <v>0</v>
          </cell>
          <cell r="Z1607">
            <v>0</v>
          </cell>
        </row>
        <row r="1608">
          <cell r="V1608">
            <v>0</v>
          </cell>
          <cell r="Z1608">
            <v>0</v>
          </cell>
        </row>
        <row r="1609">
          <cell r="V1609">
            <v>0</v>
          </cell>
          <cell r="Z1609">
            <v>0</v>
          </cell>
        </row>
        <row r="1610">
          <cell r="V1610">
            <v>0</v>
          </cell>
          <cell r="Z1610">
            <v>0</v>
          </cell>
        </row>
        <row r="1611">
          <cell r="V1611">
            <v>0</v>
          </cell>
          <cell r="Z1611">
            <v>0</v>
          </cell>
        </row>
        <row r="1612">
          <cell r="V1612">
            <v>0</v>
          </cell>
          <cell r="Z1612">
            <v>0</v>
          </cell>
        </row>
        <row r="1613">
          <cell r="V1613">
            <v>0</v>
          </cell>
          <cell r="Z1613">
            <v>0</v>
          </cell>
        </row>
        <row r="1614">
          <cell r="V1614">
            <v>0</v>
          </cell>
          <cell r="Z1614">
            <v>0</v>
          </cell>
        </row>
        <row r="1615">
          <cell r="V1615">
            <v>0</v>
          </cell>
          <cell r="Z1615">
            <v>0</v>
          </cell>
        </row>
        <row r="1616">
          <cell r="V1616">
            <v>0</v>
          </cell>
          <cell r="Z1616">
            <v>0</v>
          </cell>
        </row>
        <row r="1617">
          <cell r="V1617">
            <v>0</v>
          </cell>
          <cell r="Z1617">
            <v>0</v>
          </cell>
        </row>
        <row r="1618">
          <cell r="V1618">
            <v>0</v>
          </cell>
          <cell r="Z1618">
            <v>0</v>
          </cell>
        </row>
        <row r="1619">
          <cell r="V1619">
            <v>0</v>
          </cell>
          <cell r="Z1619">
            <v>0</v>
          </cell>
        </row>
        <row r="1620">
          <cell r="V1620">
            <v>0</v>
          </cell>
          <cell r="Z1620">
            <v>0</v>
          </cell>
        </row>
        <row r="1621">
          <cell r="V1621">
            <v>0</v>
          </cell>
          <cell r="Z1621">
            <v>0</v>
          </cell>
        </row>
        <row r="1622">
          <cell r="V1622">
            <v>0</v>
          </cell>
          <cell r="Z1622">
            <v>0</v>
          </cell>
        </row>
        <row r="1623">
          <cell r="V1623">
            <v>0</v>
          </cell>
          <cell r="Z1623">
            <v>0</v>
          </cell>
        </row>
        <row r="1624">
          <cell r="V1624">
            <v>0</v>
          </cell>
          <cell r="Z1624">
            <v>0</v>
          </cell>
        </row>
        <row r="1625">
          <cell r="V1625">
            <v>0</v>
          </cell>
          <cell r="Z1625">
            <v>0</v>
          </cell>
        </row>
        <row r="1626">
          <cell r="V1626">
            <v>0</v>
          </cell>
          <cell r="Z1626">
            <v>0</v>
          </cell>
        </row>
        <row r="1627">
          <cell r="V1627">
            <v>0</v>
          </cell>
          <cell r="Z1627">
            <v>0</v>
          </cell>
        </row>
        <row r="1628">
          <cell r="V1628">
            <v>0</v>
          </cell>
          <cell r="Z1628">
            <v>0</v>
          </cell>
        </row>
        <row r="1629">
          <cell r="V1629">
            <v>0</v>
          </cell>
          <cell r="Z1629">
            <v>0</v>
          </cell>
        </row>
        <row r="1630">
          <cell r="V1630">
            <v>0</v>
          </cell>
          <cell r="Z1630">
            <v>0</v>
          </cell>
        </row>
        <row r="1631">
          <cell r="V1631">
            <v>0</v>
          </cell>
          <cell r="Z1631">
            <v>0</v>
          </cell>
        </row>
        <row r="1632">
          <cell r="V1632">
            <v>0</v>
          </cell>
          <cell r="Z1632">
            <v>0</v>
          </cell>
        </row>
        <row r="1633">
          <cell r="V1633">
            <v>0</v>
          </cell>
          <cell r="Z1633">
            <v>0</v>
          </cell>
        </row>
        <row r="1634">
          <cell r="V1634">
            <v>0</v>
          </cell>
          <cell r="Z1634">
            <v>0</v>
          </cell>
        </row>
        <row r="1635">
          <cell r="V1635">
            <v>0</v>
          </cell>
          <cell r="Z1635">
            <v>0</v>
          </cell>
        </row>
        <row r="1636">
          <cell r="V1636">
            <v>0</v>
          </cell>
          <cell r="Z1636">
            <v>0</v>
          </cell>
        </row>
        <row r="1637">
          <cell r="V1637">
            <v>0</v>
          </cell>
          <cell r="Z1637">
            <v>0</v>
          </cell>
        </row>
        <row r="1638">
          <cell r="V1638">
            <v>0</v>
          </cell>
          <cell r="Z1638">
            <v>0</v>
          </cell>
        </row>
        <row r="1639">
          <cell r="V1639">
            <v>0</v>
          </cell>
          <cell r="Z1639">
            <v>0</v>
          </cell>
        </row>
        <row r="1640">
          <cell r="V1640">
            <v>0</v>
          </cell>
          <cell r="Z1640">
            <v>0</v>
          </cell>
        </row>
        <row r="1641">
          <cell r="V1641">
            <v>0</v>
          </cell>
          <cell r="Z1641">
            <v>0</v>
          </cell>
        </row>
        <row r="1642">
          <cell r="V1642">
            <v>0</v>
          </cell>
          <cell r="Z1642">
            <v>0</v>
          </cell>
        </row>
        <row r="1643">
          <cell r="V1643">
            <v>0</v>
          </cell>
          <cell r="Z1643">
            <v>0</v>
          </cell>
        </row>
        <row r="1644">
          <cell r="V1644">
            <v>0</v>
          </cell>
          <cell r="Z1644">
            <v>0</v>
          </cell>
        </row>
        <row r="1645">
          <cell r="V1645">
            <v>0</v>
          </cell>
          <cell r="Z1645">
            <v>0</v>
          </cell>
        </row>
        <row r="1646">
          <cell r="V1646">
            <v>0</v>
          </cell>
          <cell r="Z1646">
            <v>0</v>
          </cell>
        </row>
        <row r="1647">
          <cell r="V1647">
            <v>0</v>
          </cell>
          <cell r="Z1647">
            <v>0</v>
          </cell>
        </row>
        <row r="1648">
          <cell r="V1648">
            <v>0</v>
          </cell>
          <cell r="Z1648">
            <v>0</v>
          </cell>
        </row>
        <row r="1649">
          <cell r="V1649">
            <v>0</v>
          </cell>
          <cell r="Z1649">
            <v>0</v>
          </cell>
        </row>
        <row r="1650">
          <cell r="V1650">
            <v>0</v>
          </cell>
          <cell r="Z1650">
            <v>0</v>
          </cell>
        </row>
        <row r="1651">
          <cell r="V1651">
            <v>0</v>
          </cell>
          <cell r="Z1651">
            <v>0</v>
          </cell>
        </row>
        <row r="1652">
          <cell r="V1652">
            <v>0</v>
          </cell>
          <cell r="Z1652">
            <v>0</v>
          </cell>
        </row>
        <row r="1653">
          <cell r="V1653">
            <v>0</v>
          </cell>
          <cell r="Z1653">
            <v>0</v>
          </cell>
        </row>
        <row r="1654">
          <cell r="V1654">
            <v>0</v>
          </cell>
          <cell r="Z1654">
            <v>0</v>
          </cell>
        </row>
        <row r="1655">
          <cell r="V1655">
            <v>0</v>
          </cell>
          <cell r="Z1655">
            <v>0</v>
          </cell>
        </row>
        <row r="1656">
          <cell r="V1656">
            <v>0</v>
          </cell>
          <cell r="Z1656">
            <v>0</v>
          </cell>
        </row>
        <row r="1657">
          <cell r="V1657">
            <v>0</v>
          </cell>
          <cell r="Z1657">
            <v>0</v>
          </cell>
        </row>
        <row r="1658">
          <cell r="V1658">
            <v>0</v>
          </cell>
          <cell r="Z1658">
            <v>0</v>
          </cell>
        </row>
        <row r="1659">
          <cell r="V1659">
            <v>0</v>
          </cell>
          <cell r="Z1659">
            <v>0</v>
          </cell>
        </row>
        <row r="1660">
          <cell r="V1660">
            <v>0</v>
          </cell>
          <cell r="Z1660">
            <v>0</v>
          </cell>
        </row>
        <row r="1661">
          <cell r="V1661">
            <v>0</v>
          </cell>
          <cell r="Z1661">
            <v>0</v>
          </cell>
        </row>
        <row r="1662">
          <cell r="V1662">
            <v>0</v>
          </cell>
          <cell r="Z1662">
            <v>0</v>
          </cell>
        </row>
        <row r="1663">
          <cell r="V1663">
            <v>0</v>
          </cell>
          <cell r="Z1663">
            <v>0</v>
          </cell>
        </row>
        <row r="1664">
          <cell r="V1664">
            <v>0</v>
          </cell>
          <cell r="Z1664">
            <v>0</v>
          </cell>
        </row>
        <row r="1665">
          <cell r="V1665">
            <v>0</v>
          </cell>
          <cell r="Z1665">
            <v>0</v>
          </cell>
        </row>
        <row r="1666">
          <cell r="V1666">
            <v>0</v>
          </cell>
          <cell r="Z1666">
            <v>0</v>
          </cell>
        </row>
        <row r="1667">
          <cell r="V1667">
            <v>0</v>
          </cell>
          <cell r="Z1667">
            <v>0</v>
          </cell>
        </row>
        <row r="1668">
          <cell r="V1668">
            <v>0</v>
          </cell>
          <cell r="Z1668">
            <v>0</v>
          </cell>
        </row>
        <row r="1669">
          <cell r="V1669">
            <v>0</v>
          </cell>
          <cell r="Z1669">
            <v>0</v>
          </cell>
        </row>
        <row r="1670">
          <cell r="V1670">
            <v>0</v>
          </cell>
          <cell r="Z1670">
            <v>0</v>
          </cell>
        </row>
        <row r="1671">
          <cell r="V1671">
            <v>0</v>
          </cell>
          <cell r="Z1671">
            <v>0</v>
          </cell>
        </row>
        <row r="1672">
          <cell r="V1672">
            <v>0</v>
          </cell>
          <cell r="Z1672">
            <v>0</v>
          </cell>
        </row>
        <row r="1673">
          <cell r="V1673">
            <v>0</v>
          </cell>
          <cell r="Z1673">
            <v>0</v>
          </cell>
        </row>
        <row r="1674">
          <cell r="V1674">
            <v>0</v>
          </cell>
          <cell r="Z1674">
            <v>0</v>
          </cell>
        </row>
        <row r="1675">
          <cell r="V1675">
            <v>0</v>
          </cell>
          <cell r="Z1675">
            <v>0</v>
          </cell>
        </row>
        <row r="1676">
          <cell r="V1676">
            <v>0</v>
          </cell>
          <cell r="Z1676">
            <v>0</v>
          </cell>
        </row>
        <row r="1677">
          <cell r="V1677">
            <v>0</v>
          </cell>
          <cell r="Z1677">
            <v>0</v>
          </cell>
        </row>
        <row r="1678">
          <cell r="V1678">
            <v>0</v>
          </cell>
          <cell r="Z1678">
            <v>0</v>
          </cell>
        </row>
        <row r="1679">
          <cell r="V1679">
            <v>0</v>
          </cell>
          <cell r="Z1679">
            <v>0</v>
          </cell>
        </row>
        <row r="1680">
          <cell r="V1680">
            <v>0</v>
          </cell>
          <cell r="Z1680">
            <v>0</v>
          </cell>
        </row>
        <row r="1681">
          <cell r="V1681">
            <v>0</v>
          </cell>
          <cell r="Z1681">
            <v>0</v>
          </cell>
        </row>
        <row r="1682">
          <cell r="V1682">
            <v>0</v>
          </cell>
          <cell r="Z1682">
            <v>0</v>
          </cell>
        </row>
        <row r="1683">
          <cell r="V1683">
            <v>0</v>
          </cell>
          <cell r="Z1683">
            <v>0</v>
          </cell>
        </row>
        <row r="1684">
          <cell r="V1684">
            <v>0</v>
          </cell>
          <cell r="Z1684">
            <v>0</v>
          </cell>
        </row>
        <row r="1685">
          <cell r="V1685">
            <v>0</v>
          </cell>
          <cell r="Z1685">
            <v>0</v>
          </cell>
        </row>
        <row r="1686">
          <cell r="V1686">
            <v>0</v>
          </cell>
          <cell r="Z1686">
            <v>0</v>
          </cell>
        </row>
        <row r="1687">
          <cell r="V1687">
            <v>0</v>
          </cell>
          <cell r="Z1687">
            <v>0</v>
          </cell>
        </row>
        <row r="1688">
          <cell r="V1688">
            <v>0</v>
          </cell>
          <cell r="Z1688">
            <v>0</v>
          </cell>
        </row>
        <row r="1689">
          <cell r="V1689">
            <v>0</v>
          </cell>
          <cell r="Z1689">
            <v>0</v>
          </cell>
        </row>
        <row r="1690">
          <cell r="V1690">
            <v>0</v>
          </cell>
          <cell r="Z1690">
            <v>0</v>
          </cell>
        </row>
        <row r="1691">
          <cell r="V1691">
            <v>0</v>
          </cell>
          <cell r="Z1691">
            <v>0</v>
          </cell>
        </row>
        <row r="1692">
          <cell r="V1692">
            <v>0</v>
          </cell>
          <cell r="Z1692">
            <v>0</v>
          </cell>
        </row>
        <row r="1693">
          <cell r="V1693">
            <v>0</v>
          </cell>
          <cell r="Z1693">
            <v>0</v>
          </cell>
        </row>
        <row r="1694">
          <cell r="V1694">
            <v>0</v>
          </cell>
          <cell r="Z1694">
            <v>0</v>
          </cell>
        </row>
        <row r="1695">
          <cell r="V1695">
            <v>0</v>
          </cell>
          <cell r="Z1695">
            <v>0</v>
          </cell>
        </row>
        <row r="1696">
          <cell r="V1696">
            <v>0</v>
          </cell>
          <cell r="Z1696">
            <v>0</v>
          </cell>
        </row>
        <row r="1697">
          <cell r="V1697">
            <v>0</v>
          </cell>
          <cell r="Z1697">
            <v>0</v>
          </cell>
        </row>
        <row r="1698">
          <cell r="V1698">
            <v>0</v>
          </cell>
          <cell r="Z1698">
            <v>0</v>
          </cell>
        </row>
        <row r="1699">
          <cell r="V1699">
            <v>0</v>
          </cell>
          <cell r="Z1699">
            <v>0</v>
          </cell>
        </row>
        <row r="1700">
          <cell r="V1700">
            <v>0</v>
          </cell>
          <cell r="Z1700">
            <v>0</v>
          </cell>
        </row>
        <row r="1701">
          <cell r="V1701">
            <v>0</v>
          </cell>
          <cell r="Z1701">
            <v>0</v>
          </cell>
        </row>
        <row r="1702">
          <cell r="V1702">
            <v>0</v>
          </cell>
          <cell r="Z1702">
            <v>0</v>
          </cell>
        </row>
        <row r="1703">
          <cell r="V1703">
            <v>0</v>
          </cell>
          <cell r="Z1703">
            <v>0</v>
          </cell>
        </row>
        <row r="1704">
          <cell r="V1704">
            <v>0</v>
          </cell>
          <cell r="Z1704">
            <v>0</v>
          </cell>
        </row>
        <row r="1705">
          <cell r="V1705">
            <v>0</v>
          </cell>
          <cell r="Z1705">
            <v>0</v>
          </cell>
        </row>
        <row r="1706">
          <cell r="V1706">
            <v>0</v>
          </cell>
          <cell r="Z1706">
            <v>0</v>
          </cell>
        </row>
        <row r="1707">
          <cell r="V1707">
            <v>0</v>
          </cell>
          <cell r="Z1707">
            <v>0</v>
          </cell>
        </row>
        <row r="1708">
          <cell r="V1708">
            <v>0</v>
          </cell>
          <cell r="Z1708">
            <v>0</v>
          </cell>
        </row>
        <row r="1709">
          <cell r="V1709">
            <v>0</v>
          </cell>
          <cell r="Z1709">
            <v>0</v>
          </cell>
        </row>
        <row r="1710">
          <cell r="V1710">
            <v>0</v>
          </cell>
          <cell r="Z1710">
            <v>0</v>
          </cell>
        </row>
        <row r="1711">
          <cell r="V1711">
            <v>0</v>
          </cell>
          <cell r="Z1711">
            <v>0</v>
          </cell>
        </row>
        <row r="1712">
          <cell r="V1712">
            <v>0</v>
          </cell>
          <cell r="Z1712">
            <v>0</v>
          </cell>
        </row>
        <row r="1713">
          <cell r="V1713">
            <v>0</v>
          </cell>
          <cell r="Z1713">
            <v>0</v>
          </cell>
        </row>
        <row r="1714">
          <cell r="V1714">
            <v>0</v>
          </cell>
          <cell r="Z1714">
            <v>0</v>
          </cell>
        </row>
        <row r="1715">
          <cell r="V1715">
            <v>0</v>
          </cell>
          <cell r="Z1715">
            <v>0</v>
          </cell>
        </row>
        <row r="1716">
          <cell r="V1716">
            <v>0</v>
          </cell>
          <cell r="Z1716">
            <v>0</v>
          </cell>
        </row>
        <row r="1717">
          <cell r="V1717">
            <v>0</v>
          </cell>
          <cell r="Z1717">
            <v>0</v>
          </cell>
        </row>
        <row r="1718">
          <cell r="V1718">
            <v>0</v>
          </cell>
          <cell r="Z1718">
            <v>0</v>
          </cell>
        </row>
        <row r="1719">
          <cell r="V1719">
            <v>0</v>
          </cell>
          <cell r="Z1719">
            <v>0</v>
          </cell>
        </row>
        <row r="1720">
          <cell r="V1720">
            <v>0</v>
          </cell>
          <cell r="Z1720">
            <v>0</v>
          </cell>
        </row>
        <row r="1721">
          <cell r="V1721">
            <v>0</v>
          </cell>
          <cell r="Z1721">
            <v>0</v>
          </cell>
        </row>
        <row r="1722">
          <cell r="V1722">
            <v>0</v>
          </cell>
          <cell r="Z1722">
            <v>0</v>
          </cell>
        </row>
        <row r="1723">
          <cell r="V1723">
            <v>0</v>
          </cell>
          <cell r="Z1723">
            <v>0</v>
          </cell>
        </row>
        <row r="1724">
          <cell r="V1724">
            <v>0</v>
          </cell>
          <cell r="Z1724">
            <v>0</v>
          </cell>
        </row>
        <row r="1725">
          <cell r="V1725">
            <v>0</v>
          </cell>
          <cell r="Z1725">
            <v>0</v>
          </cell>
        </row>
        <row r="1726">
          <cell r="V1726">
            <v>0</v>
          </cell>
          <cell r="Z1726">
            <v>0</v>
          </cell>
        </row>
        <row r="1727">
          <cell r="V1727">
            <v>0</v>
          </cell>
          <cell r="Z1727">
            <v>0</v>
          </cell>
        </row>
        <row r="1728">
          <cell r="V1728">
            <v>0</v>
          </cell>
          <cell r="Z1728">
            <v>0</v>
          </cell>
        </row>
        <row r="1729">
          <cell r="V1729">
            <v>0</v>
          </cell>
          <cell r="Z1729">
            <v>0</v>
          </cell>
        </row>
        <row r="1730">
          <cell r="V1730">
            <v>0</v>
          </cell>
          <cell r="Z1730">
            <v>0</v>
          </cell>
        </row>
        <row r="1731">
          <cell r="V1731">
            <v>0</v>
          </cell>
          <cell r="Z1731">
            <v>0</v>
          </cell>
        </row>
        <row r="1732">
          <cell r="V1732">
            <v>0</v>
          </cell>
          <cell r="Z1732">
            <v>0</v>
          </cell>
        </row>
        <row r="1733">
          <cell r="V1733">
            <v>0</v>
          </cell>
          <cell r="Z1733">
            <v>0</v>
          </cell>
        </row>
        <row r="1734">
          <cell r="V1734">
            <v>0</v>
          </cell>
          <cell r="Z1734">
            <v>0</v>
          </cell>
        </row>
        <row r="1735">
          <cell r="V1735">
            <v>0</v>
          </cell>
          <cell r="Z1735">
            <v>0</v>
          </cell>
        </row>
        <row r="1736">
          <cell r="V1736">
            <v>0</v>
          </cell>
          <cell r="Z1736">
            <v>0</v>
          </cell>
        </row>
        <row r="1737">
          <cell r="V1737">
            <v>0</v>
          </cell>
          <cell r="Z1737">
            <v>0</v>
          </cell>
        </row>
        <row r="1738">
          <cell r="V1738">
            <v>0</v>
          </cell>
          <cell r="Z1738">
            <v>0</v>
          </cell>
        </row>
        <row r="1739">
          <cell r="V1739">
            <v>0</v>
          </cell>
          <cell r="Z1739">
            <v>0</v>
          </cell>
        </row>
        <row r="1740">
          <cell r="V1740">
            <v>0</v>
          </cell>
          <cell r="Z1740">
            <v>0</v>
          </cell>
        </row>
        <row r="1741">
          <cell r="V1741">
            <v>0</v>
          </cell>
          <cell r="Z1741">
            <v>0</v>
          </cell>
        </row>
        <row r="1742">
          <cell r="V1742">
            <v>0</v>
          </cell>
          <cell r="Z1742">
            <v>0</v>
          </cell>
        </row>
        <row r="1743">
          <cell r="V1743">
            <v>0</v>
          </cell>
          <cell r="Z1743">
            <v>0</v>
          </cell>
        </row>
        <row r="1744">
          <cell r="V1744">
            <v>0</v>
          </cell>
          <cell r="Z1744">
            <v>0</v>
          </cell>
        </row>
        <row r="1745">
          <cell r="V1745">
            <v>0</v>
          </cell>
          <cell r="Z1745">
            <v>0</v>
          </cell>
        </row>
        <row r="1746">
          <cell r="V1746">
            <v>0</v>
          </cell>
          <cell r="Z1746">
            <v>0</v>
          </cell>
        </row>
        <row r="1747">
          <cell r="V1747">
            <v>0</v>
          </cell>
          <cell r="Z1747">
            <v>0</v>
          </cell>
        </row>
        <row r="1748">
          <cell r="V1748">
            <v>0</v>
          </cell>
          <cell r="Z1748">
            <v>0</v>
          </cell>
        </row>
        <row r="1749">
          <cell r="V1749">
            <v>0</v>
          </cell>
          <cell r="Z1749">
            <v>0</v>
          </cell>
        </row>
        <row r="1750">
          <cell r="V1750">
            <v>0</v>
          </cell>
          <cell r="Z1750">
            <v>0</v>
          </cell>
        </row>
        <row r="1751">
          <cell r="V1751">
            <v>0</v>
          </cell>
          <cell r="Z1751">
            <v>0</v>
          </cell>
        </row>
        <row r="1752">
          <cell r="V1752">
            <v>0</v>
          </cell>
          <cell r="Z1752">
            <v>0</v>
          </cell>
        </row>
        <row r="1753">
          <cell r="V1753">
            <v>0</v>
          </cell>
          <cell r="Z1753">
            <v>0</v>
          </cell>
        </row>
        <row r="1754">
          <cell r="V1754">
            <v>0</v>
          </cell>
          <cell r="Z1754">
            <v>0</v>
          </cell>
        </row>
        <row r="1755">
          <cell r="V1755">
            <v>0</v>
          </cell>
          <cell r="Z1755">
            <v>0</v>
          </cell>
        </row>
        <row r="1756">
          <cell r="V1756">
            <v>0</v>
          </cell>
          <cell r="Z1756">
            <v>0</v>
          </cell>
        </row>
        <row r="1757">
          <cell r="V1757">
            <v>0</v>
          </cell>
          <cell r="Z1757">
            <v>0</v>
          </cell>
        </row>
        <row r="1758">
          <cell r="V1758">
            <v>0</v>
          </cell>
          <cell r="Z1758">
            <v>0</v>
          </cell>
        </row>
        <row r="1759">
          <cell r="V1759">
            <v>0</v>
          </cell>
          <cell r="Z1759">
            <v>0</v>
          </cell>
        </row>
        <row r="1760">
          <cell r="V1760">
            <v>0</v>
          </cell>
          <cell r="Z1760">
            <v>0</v>
          </cell>
        </row>
        <row r="1761">
          <cell r="V1761">
            <v>0</v>
          </cell>
          <cell r="Z1761">
            <v>0</v>
          </cell>
        </row>
        <row r="1762">
          <cell r="V1762">
            <v>0</v>
          </cell>
          <cell r="Z1762">
            <v>0</v>
          </cell>
        </row>
        <row r="1763">
          <cell r="V1763">
            <v>0</v>
          </cell>
          <cell r="Z1763">
            <v>0</v>
          </cell>
        </row>
        <row r="1764">
          <cell r="V1764">
            <v>0</v>
          </cell>
          <cell r="Z1764">
            <v>0</v>
          </cell>
        </row>
        <row r="1765">
          <cell r="V1765">
            <v>0</v>
          </cell>
          <cell r="Z1765">
            <v>0</v>
          </cell>
        </row>
        <row r="1766">
          <cell r="V1766">
            <v>0</v>
          </cell>
          <cell r="Z1766">
            <v>0</v>
          </cell>
        </row>
        <row r="1767">
          <cell r="V1767">
            <v>0</v>
          </cell>
          <cell r="Z1767">
            <v>0</v>
          </cell>
        </row>
        <row r="1768">
          <cell r="V1768">
            <v>0</v>
          </cell>
          <cell r="Z1768">
            <v>0</v>
          </cell>
        </row>
        <row r="1769">
          <cell r="V1769">
            <v>0</v>
          </cell>
          <cell r="Z1769">
            <v>0</v>
          </cell>
        </row>
        <row r="1770">
          <cell r="V1770">
            <v>0</v>
          </cell>
          <cell r="Z1770">
            <v>0</v>
          </cell>
        </row>
        <row r="1771">
          <cell r="V1771">
            <v>0</v>
          </cell>
          <cell r="Z1771">
            <v>0</v>
          </cell>
        </row>
        <row r="1772">
          <cell r="V1772">
            <v>0</v>
          </cell>
          <cell r="Z1772">
            <v>0</v>
          </cell>
        </row>
        <row r="1773">
          <cell r="V1773">
            <v>0</v>
          </cell>
          <cell r="Z1773">
            <v>0</v>
          </cell>
        </row>
        <row r="1774">
          <cell r="V1774">
            <v>0</v>
          </cell>
          <cell r="Z1774">
            <v>0</v>
          </cell>
        </row>
        <row r="1775">
          <cell r="V1775">
            <v>0</v>
          </cell>
          <cell r="Z1775">
            <v>0</v>
          </cell>
        </row>
        <row r="1776">
          <cell r="V1776">
            <v>0</v>
          </cell>
          <cell r="Z1776">
            <v>0</v>
          </cell>
        </row>
        <row r="1777">
          <cell r="V1777">
            <v>0</v>
          </cell>
          <cell r="Z1777">
            <v>0</v>
          </cell>
        </row>
        <row r="1778">
          <cell r="V1778">
            <v>0</v>
          </cell>
          <cell r="Z1778">
            <v>0</v>
          </cell>
        </row>
        <row r="1779">
          <cell r="V1779">
            <v>0</v>
          </cell>
          <cell r="Z1779">
            <v>0</v>
          </cell>
        </row>
        <row r="1780">
          <cell r="V1780">
            <v>0</v>
          </cell>
          <cell r="Z1780">
            <v>0</v>
          </cell>
        </row>
        <row r="1781">
          <cell r="V1781">
            <v>0</v>
          </cell>
          <cell r="Z1781">
            <v>0</v>
          </cell>
        </row>
        <row r="1782">
          <cell r="V1782">
            <v>0</v>
          </cell>
          <cell r="Z1782">
            <v>0</v>
          </cell>
        </row>
        <row r="1783">
          <cell r="V1783">
            <v>0</v>
          </cell>
          <cell r="Z1783">
            <v>0</v>
          </cell>
        </row>
        <row r="1784">
          <cell r="V1784">
            <v>0</v>
          </cell>
          <cell r="Z1784">
            <v>0</v>
          </cell>
        </row>
        <row r="1785">
          <cell r="V1785">
            <v>0</v>
          </cell>
          <cell r="Z1785">
            <v>0</v>
          </cell>
        </row>
        <row r="1786">
          <cell r="V1786">
            <v>0</v>
          </cell>
          <cell r="Z1786">
            <v>0</v>
          </cell>
        </row>
        <row r="1787">
          <cell r="V1787">
            <v>0</v>
          </cell>
          <cell r="Z1787">
            <v>0</v>
          </cell>
        </row>
        <row r="1788">
          <cell r="V1788">
            <v>0</v>
          </cell>
          <cell r="Z1788">
            <v>0</v>
          </cell>
        </row>
        <row r="1789">
          <cell r="V1789">
            <v>0</v>
          </cell>
          <cell r="Z1789">
            <v>0</v>
          </cell>
        </row>
        <row r="1790">
          <cell r="V1790">
            <v>0</v>
          </cell>
          <cell r="Z1790">
            <v>0</v>
          </cell>
        </row>
        <row r="1791">
          <cell r="V1791">
            <v>0</v>
          </cell>
          <cell r="Z1791">
            <v>0</v>
          </cell>
        </row>
        <row r="1792">
          <cell r="V1792">
            <v>0</v>
          </cell>
          <cell r="Z1792">
            <v>0</v>
          </cell>
        </row>
        <row r="1793">
          <cell r="V1793">
            <v>0</v>
          </cell>
          <cell r="Z1793">
            <v>0</v>
          </cell>
        </row>
        <row r="1794">
          <cell r="V1794">
            <v>0</v>
          </cell>
          <cell r="Z1794">
            <v>0</v>
          </cell>
        </row>
        <row r="1795">
          <cell r="V1795">
            <v>0</v>
          </cell>
          <cell r="Z1795">
            <v>0</v>
          </cell>
        </row>
        <row r="1796">
          <cell r="V1796">
            <v>0</v>
          </cell>
          <cell r="Z1796">
            <v>0</v>
          </cell>
        </row>
        <row r="1797">
          <cell r="V1797">
            <v>0</v>
          </cell>
          <cell r="Z1797">
            <v>0</v>
          </cell>
        </row>
        <row r="1798">
          <cell r="V1798">
            <v>0</v>
          </cell>
          <cell r="Z1798">
            <v>0</v>
          </cell>
        </row>
        <row r="1799">
          <cell r="V1799">
            <v>0</v>
          </cell>
          <cell r="Z1799">
            <v>0</v>
          </cell>
        </row>
        <row r="1800">
          <cell r="V1800">
            <v>0</v>
          </cell>
          <cell r="Z1800">
            <v>0</v>
          </cell>
        </row>
        <row r="1801">
          <cell r="V1801">
            <v>0</v>
          </cell>
          <cell r="Z1801">
            <v>0</v>
          </cell>
        </row>
        <row r="1802">
          <cell r="V1802">
            <v>0</v>
          </cell>
          <cell r="Z1802">
            <v>0</v>
          </cell>
        </row>
        <row r="1803">
          <cell r="V1803">
            <v>0</v>
          </cell>
          <cell r="Z1803">
            <v>0</v>
          </cell>
        </row>
        <row r="1804">
          <cell r="V1804">
            <v>0</v>
          </cell>
          <cell r="Z1804">
            <v>0</v>
          </cell>
        </row>
        <row r="1805">
          <cell r="V1805">
            <v>0</v>
          </cell>
          <cell r="Z1805">
            <v>0</v>
          </cell>
        </row>
        <row r="1806">
          <cell r="V1806">
            <v>0</v>
          </cell>
          <cell r="Z1806">
            <v>0</v>
          </cell>
        </row>
        <row r="1807">
          <cell r="V1807">
            <v>0</v>
          </cell>
          <cell r="Z1807">
            <v>0</v>
          </cell>
        </row>
        <row r="1808">
          <cell r="V1808">
            <v>0</v>
          </cell>
          <cell r="Z1808">
            <v>0</v>
          </cell>
        </row>
        <row r="1809">
          <cell r="V1809">
            <v>0</v>
          </cell>
          <cell r="Z1809">
            <v>0</v>
          </cell>
        </row>
        <row r="1810">
          <cell r="V1810">
            <v>0</v>
          </cell>
          <cell r="Z1810">
            <v>0</v>
          </cell>
        </row>
        <row r="1811">
          <cell r="V1811">
            <v>0</v>
          </cell>
          <cell r="Z1811">
            <v>0</v>
          </cell>
        </row>
        <row r="1812">
          <cell r="V1812">
            <v>0</v>
          </cell>
          <cell r="Z1812">
            <v>0</v>
          </cell>
        </row>
        <row r="1813">
          <cell r="V1813">
            <v>0</v>
          </cell>
          <cell r="Z1813">
            <v>0</v>
          </cell>
        </row>
        <row r="1814">
          <cell r="V1814">
            <v>0</v>
          </cell>
          <cell r="Z1814">
            <v>0</v>
          </cell>
        </row>
        <row r="1815">
          <cell r="V1815">
            <v>0</v>
          </cell>
          <cell r="Z1815">
            <v>0</v>
          </cell>
        </row>
        <row r="1816">
          <cell r="V1816">
            <v>0</v>
          </cell>
          <cell r="Z1816">
            <v>0</v>
          </cell>
        </row>
        <row r="1817">
          <cell r="V1817">
            <v>0</v>
          </cell>
          <cell r="Z1817">
            <v>0</v>
          </cell>
        </row>
        <row r="1818">
          <cell r="V1818">
            <v>0</v>
          </cell>
          <cell r="Z1818">
            <v>0</v>
          </cell>
        </row>
        <row r="1819">
          <cell r="V1819">
            <v>0</v>
          </cell>
          <cell r="Z1819">
            <v>0</v>
          </cell>
        </row>
        <row r="1820">
          <cell r="V1820">
            <v>0</v>
          </cell>
          <cell r="Z1820">
            <v>0</v>
          </cell>
        </row>
        <row r="1821">
          <cell r="V1821">
            <v>0</v>
          </cell>
          <cell r="Z1821">
            <v>0</v>
          </cell>
        </row>
        <row r="1822">
          <cell r="V1822">
            <v>0</v>
          </cell>
          <cell r="Z1822">
            <v>0</v>
          </cell>
        </row>
        <row r="1823">
          <cell r="V1823">
            <v>0</v>
          </cell>
          <cell r="Z1823">
            <v>0</v>
          </cell>
        </row>
        <row r="1824">
          <cell r="V1824">
            <v>0</v>
          </cell>
          <cell r="Z1824">
            <v>0</v>
          </cell>
        </row>
        <row r="1825">
          <cell r="V1825">
            <v>0</v>
          </cell>
          <cell r="Z1825">
            <v>0</v>
          </cell>
        </row>
        <row r="1826">
          <cell r="V1826">
            <v>0</v>
          </cell>
          <cell r="Z1826">
            <v>0</v>
          </cell>
        </row>
        <row r="1827">
          <cell r="V1827">
            <v>0</v>
          </cell>
          <cell r="Z1827">
            <v>0</v>
          </cell>
        </row>
        <row r="1828">
          <cell r="V1828">
            <v>0</v>
          </cell>
          <cell r="Z1828">
            <v>0</v>
          </cell>
        </row>
        <row r="1829">
          <cell r="V1829">
            <v>0</v>
          </cell>
          <cell r="Z1829">
            <v>0</v>
          </cell>
        </row>
        <row r="1830">
          <cell r="V1830">
            <v>0</v>
          </cell>
          <cell r="Z1830">
            <v>0</v>
          </cell>
        </row>
        <row r="1831">
          <cell r="V1831">
            <v>0</v>
          </cell>
          <cell r="Z1831">
            <v>0</v>
          </cell>
        </row>
        <row r="1832">
          <cell r="V1832">
            <v>0</v>
          </cell>
          <cell r="Z1832">
            <v>0</v>
          </cell>
        </row>
        <row r="1833">
          <cell r="V1833">
            <v>0</v>
          </cell>
          <cell r="Z1833">
            <v>0</v>
          </cell>
        </row>
        <row r="1834">
          <cell r="V1834">
            <v>0</v>
          </cell>
          <cell r="Z1834">
            <v>0</v>
          </cell>
        </row>
        <row r="1835">
          <cell r="V1835">
            <v>0</v>
          </cell>
          <cell r="Z1835">
            <v>0</v>
          </cell>
        </row>
        <row r="1836">
          <cell r="V1836">
            <v>0</v>
          </cell>
          <cell r="Z1836">
            <v>0</v>
          </cell>
        </row>
        <row r="1837">
          <cell r="V1837">
            <v>0</v>
          </cell>
          <cell r="Z1837">
            <v>0</v>
          </cell>
        </row>
        <row r="1838">
          <cell r="V1838">
            <v>0</v>
          </cell>
          <cell r="Z1838">
            <v>0</v>
          </cell>
        </row>
        <row r="1839">
          <cell r="V1839">
            <v>0</v>
          </cell>
          <cell r="Z1839">
            <v>0</v>
          </cell>
        </row>
        <row r="1840">
          <cell r="V1840">
            <v>0</v>
          </cell>
          <cell r="Z1840">
            <v>0</v>
          </cell>
        </row>
        <row r="1841">
          <cell r="V1841">
            <v>0</v>
          </cell>
          <cell r="Z1841">
            <v>0</v>
          </cell>
        </row>
        <row r="1842">
          <cell r="V1842">
            <v>0</v>
          </cell>
          <cell r="Z1842">
            <v>0</v>
          </cell>
        </row>
        <row r="1843">
          <cell r="V1843">
            <v>0</v>
          </cell>
          <cell r="Z1843">
            <v>0</v>
          </cell>
        </row>
        <row r="1844">
          <cell r="V1844">
            <v>0</v>
          </cell>
          <cell r="Z1844">
            <v>0</v>
          </cell>
        </row>
        <row r="1845">
          <cell r="V1845">
            <v>0</v>
          </cell>
          <cell r="Z1845">
            <v>0</v>
          </cell>
        </row>
        <row r="1846">
          <cell r="V1846">
            <v>0</v>
          </cell>
          <cell r="Z1846">
            <v>0</v>
          </cell>
        </row>
        <row r="1847">
          <cell r="V1847">
            <v>0</v>
          </cell>
          <cell r="Z1847">
            <v>0</v>
          </cell>
        </row>
        <row r="1848">
          <cell r="V1848">
            <v>0</v>
          </cell>
          <cell r="Z1848">
            <v>0</v>
          </cell>
        </row>
        <row r="1849">
          <cell r="V1849">
            <v>0</v>
          </cell>
          <cell r="Z1849">
            <v>0</v>
          </cell>
        </row>
        <row r="1850">
          <cell r="V1850">
            <v>0</v>
          </cell>
          <cell r="Z1850">
            <v>0</v>
          </cell>
        </row>
        <row r="1851">
          <cell r="V1851">
            <v>0</v>
          </cell>
          <cell r="Z1851">
            <v>0</v>
          </cell>
        </row>
        <row r="1852">
          <cell r="V1852">
            <v>0</v>
          </cell>
          <cell r="Z1852">
            <v>0</v>
          </cell>
        </row>
        <row r="1853">
          <cell r="V1853">
            <v>0</v>
          </cell>
          <cell r="Z1853">
            <v>0</v>
          </cell>
        </row>
        <row r="1854">
          <cell r="V1854">
            <v>0</v>
          </cell>
          <cell r="Z1854">
            <v>0</v>
          </cell>
        </row>
        <row r="1855">
          <cell r="V1855">
            <v>0</v>
          </cell>
          <cell r="Z1855">
            <v>0</v>
          </cell>
        </row>
        <row r="1856">
          <cell r="V1856">
            <v>0</v>
          </cell>
          <cell r="Z1856">
            <v>0</v>
          </cell>
        </row>
        <row r="1857">
          <cell r="V1857">
            <v>0</v>
          </cell>
          <cell r="Z1857">
            <v>0</v>
          </cell>
        </row>
        <row r="1858">
          <cell r="V1858">
            <v>0</v>
          </cell>
          <cell r="Z1858">
            <v>0</v>
          </cell>
        </row>
        <row r="1859">
          <cell r="V1859">
            <v>0</v>
          </cell>
          <cell r="Z1859">
            <v>0</v>
          </cell>
        </row>
        <row r="1860">
          <cell r="V1860">
            <v>0</v>
          </cell>
          <cell r="Z1860">
            <v>0</v>
          </cell>
        </row>
        <row r="1861">
          <cell r="V1861">
            <v>0</v>
          </cell>
          <cell r="Z1861">
            <v>0</v>
          </cell>
        </row>
        <row r="1862">
          <cell r="V1862">
            <v>0</v>
          </cell>
          <cell r="Z1862">
            <v>0</v>
          </cell>
        </row>
        <row r="1863">
          <cell r="V1863">
            <v>0</v>
          </cell>
          <cell r="Z1863">
            <v>0</v>
          </cell>
        </row>
        <row r="1864">
          <cell r="V1864">
            <v>0</v>
          </cell>
          <cell r="Z1864">
            <v>0</v>
          </cell>
        </row>
        <row r="1865">
          <cell r="V1865">
            <v>0</v>
          </cell>
          <cell r="Z1865">
            <v>0</v>
          </cell>
        </row>
        <row r="1866">
          <cell r="V1866">
            <v>0</v>
          </cell>
          <cell r="Z1866">
            <v>0</v>
          </cell>
        </row>
        <row r="1867">
          <cell r="V1867">
            <v>0</v>
          </cell>
          <cell r="Z1867">
            <v>0</v>
          </cell>
        </row>
        <row r="1868">
          <cell r="V1868">
            <v>0</v>
          </cell>
          <cell r="Z1868">
            <v>0</v>
          </cell>
        </row>
        <row r="1869">
          <cell r="V1869">
            <v>0</v>
          </cell>
          <cell r="Z1869">
            <v>0</v>
          </cell>
        </row>
        <row r="1870">
          <cell r="V1870">
            <v>0</v>
          </cell>
          <cell r="Z1870">
            <v>0</v>
          </cell>
        </row>
        <row r="1871">
          <cell r="V1871">
            <v>0</v>
          </cell>
          <cell r="Z1871">
            <v>0</v>
          </cell>
        </row>
        <row r="1872">
          <cell r="V1872">
            <v>0</v>
          </cell>
          <cell r="Z1872">
            <v>0</v>
          </cell>
        </row>
        <row r="1873">
          <cell r="V1873">
            <v>0</v>
          </cell>
          <cell r="Z1873">
            <v>0</v>
          </cell>
        </row>
        <row r="1874">
          <cell r="V1874">
            <v>0</v>
          </cell>
          <cell r="Z1874">
            <v>0</v>
          </cell>
        </row>
        <row r="1875">
          <cell r="V1875">
            <v>0</v>
          </cell>
          <cell r="Z1875">
            <v>0</v>
          </cell>
        </row>
        <row r="1876">
          <cell r="V1876">
            <v>0</v>
          </cell>
          <cell r="Z1876">
            <v>0</v>
          </cell>
        </row>
        <row r="1877">
          <cell r="V1877">
            <v>0</v>
          </cell>
          <cell r="Z1877">
            <v>0</v>
          </cell>
        </row>
        <row r="1878">
          <cell r="V1878">
            <v>0</v>
          </cell>
          <cell r="Z1878">
            <v>0</v>
          </cell>
        </row>
        <row r="1879">
          <cell r="V1879">
            <v>0</v>
          </cell>
          <cell r="Z1879">
            <v>0</v>
          </cell>
        </row>
        <row r="1880">
          <cell r="V1880">
            <v>0</v>
          </cell>
          <cell r="Z1880">
            <v>0</v>
          </cell>
        </row>
        <row r="1881">
          <cell r="V1881">
            <v>0</v>
          </cell>
          <cell r="Z1881">
            <v>0</v>
          </cell>
        </row>
        <row r="1882">
          <cell r="V1882">
            <v>0</v>
          </cell>
          <cell r="Z1882">
            <v>0</v>
          </cell>
        </row>
        <row r="1883">
          <cell r="V1883">
            <v>0</v>
          </cell>
          <cell r="Z1883">
            <v>0</v>
          </cell>
        </row>
        <row r="1884">
          <cell r="V1884">
            <v>0</v>
          </cell>
          <cell r="Z1884">
            <v>0</v>
          </cell>
        </row>
        <row r="1885">
          <cell r="V1885">
            <v>0</v>
          </cell>
          <cell r="Z1885">
            <v>0</v>
          </cell>
        </row>
        <row r="1886">
          <cell r="V1886">
            <v>0</v>
          </cell>
          <cell r="Z1886">
            <v>0</v>
          </cell>
        </row>
        <row r="1887">
          <cell r="V1887">
            <v>0</v>
          </cell>
          <cell r="Z1887">
            <v>0</v>
          </cell>
        </row>
        <row r="1888">
          <cell r="V1888">
            <v>0</v>
          </cell>
          <cell r="Z1888">
            <v>0</v>
          </cell>
        </row>
        <row r="1889">
          <cell r="V1889">
            <v>0</v>
          </cell>
          <cell r="Z1889">
            <v>0</v>
          </cell>
        </row>
        <row r="1890">
          <cell r="V1890">
            <v>0</v>
          </cell>
          <cell r="Z1890">
            <v>0</v>
          </cell>
        </row>
        <row r="1891">
          <cell r="V1891">
            <v>0</v>
          </cell>
          <cell r="Z1891">
            <v>0</v>
          </cell>
        </row>
        <row r="1892">
          <cell r="V1892">
            <v>0</v>
          </cell>
          <cell r="Z1892">
            <v>0</v>
          </cell>
        </row>
        <row r="1893">
          <cell r="V1893">
            <v>0</v>
          </cell>
          <cell r="Z1893">
            <v>0</v>
          </cell>
        </row>
        <row r="1894">
          <cell r="V1894">
            <v>0</v>
          </cell>
          <cell r="Z1894">
            <v>0</v>
          </cell>
        </row>
        <row r="1895">
          <cell r="V1895">
            <v>0</v>
          </cell>
          <cell r="Z1895">
            <v>0</v>
          </cell>
        </row>
        <row r="1896">
          <cell r="V1896">
            <v>0</v>
          </cell>
          <cell r="Z1896">
            <v>0</v>
          </cell>
        </row>
        <row r="1897">
          <cell r="V1897">
            <v>0</v>
          </cell>
          <cell r="Z1897">
            <v>0</v>
          </cell>
        </row>
        <row r="1898">
          <cell r="V1898">
            <v>0</v>
          </cell>
          <cell r="Z1898">
            <v>0</v>
          </cell>
        </row>
        <row r="1899">
          <cell r="V1899">
            <v>0</v>
          </cell>
          <cell r="Z1899">
            <v>0</v>
          </cell>
        </row>
        <row r="1900">
          <cell r="V1900">
            <v>0</v>
          </cell>
          <cell r="Z1900">
            <v>0</v>
          </cell>
        </row>
        <row r="1901">
          <cell r="V1901">
            <v>0</v>
          </cell>
          <cell r="Z1901">
            <v>0</v>
          </cell>
        </row>
        <row r="1902">
          <cell r="V1902">
            <v>0</v>
          </cell>
          <cell r="Z1902">
            <v>0</v>
          </cell>
        </row>
        <row r="1903">
          <cell r="V1903">
            <v>0</v>
          </cell>
          <cell r="Z1903">
            <v>0</v>
          </cell>
        </row>
        <row r="1904">
          <cell r="V1904">
            <v>0</v>
          </cell>
          <cell r="Z1904">
            <v>0</v>
          </cell>
        </row>
        <row r="1905">
          <cell r="V1905">
            <v>0</v>
          </cell>
          <cell r="Z1905">
            <v>0</v>
          </cell>
        </row>
        <row r="1906">
          <cell r="V1906">
            <v>0</v>
          </cell>
          <cell r="Z1906">
            <v>0</v>
          </cell>
        </row>
        <row r="1907">
          <cell r="V1907">
            <v>0</v>
          </cell>
          <cell r="Z1907">
            <v>0</v>
          </cell>
        </row>
        <row r="1908">
          <cell r="V1908">
            <v>0</v>
          </cell>
          <cell r="Z1908">
            <v>0</v>
          </cell>
        </row>
        <row r="1909">
          <cell r="V1909">
            <v>0</v>
          </cell>
          <cell r="Z1909">
            <v>0</v>
          </cell>
        </row>
        <row r="1910">
          <cell r="V1910">
            <v>0</v>
          </cell>
          <cell r="Z1910">
            <v>0</v>
          </cell>
        </row>
        <row r="1911">
          <cell r="V1911">
            <v>0</v>
          </cell>
          <cell r="Z1911">
            <v>0</v>
          </cell>
        </row>
        <row r="1912">
          <cell r="V1912">
            <v>0</v>
          </cell>
          <cell r="Z1912">
            <v>0</v>
          </cell>
        </row>
        <row r="1913">
          <cell r="V1913">
            <v>0</v>
          </cell>
          <cell r="Z1913">
            <v>0</v>
          </cell>
        </row>
        <row r="1914">
          <cell r="V1914">
            <v>0</v>
          </cell>
          <cell r="Z1914">
            <v>0</v>
          </cell>
        </row>
        <row r="1915">
          <cell r="V1915">
            <v>0</v>
          </cell>
          <cell r="Z1915">
            <v>0</v>
          </cell>
        </row>
        <row r="1916">
          <cell r="V1916">
            <v>0</v>
          </cell>
          <cell r="Z1916">
            <v>0</v>
          </cell>
        </row>
        <row r="1917">
          <cell r="V1917">
            <v>0</v>
          </cell>
          <cell r="Z1917">
            <v>0</v>
          </cell>
        </row>
        <row r="1918">
          <cell r="V1918">
            <v>0</v>
          </cell>
          <cell r="Z1918">
            <v>0</v>
          </cell>
        </row>
        <row r="1919">
          <cell r="V1919">
            <v>0</v>
          </cell>
          <cell r="Z1919">
            <v>0</v>
          </cell>
        </row>
        <row r="1920">
          <cell r="V1920">
            <v>0</v>
          </cell>
          <cell r="Z1920">
            <v>0</v>
          </cell>
        </row>
        <row r="1921">
          <cell r="V1921">
            <v>0</v>
          </cell>
          <cell r="Z1921">
            <v>0</v>
          </cell>
        </row>
        <row r="1922">
          <cell r="V1922">
            <v>0</v>
          </cell>
          <cell r="Z1922">
            <v>0</v>
          </cell>
        </row>
        <row r="1923">
          <cell r="V1923">
            <v>0</v>
          </cell>
          <cell r="Z1923">
            <v>0</v>
          </cell>
        </row>
        <row r="1924">
          <cell r="V1924">
            <v>0</v>
          </cell>
          <cell r="Z1924">
            <v>0</v>
          </cell>
        </row>
        <row r="1925">
          <cell r="V1925">
            <v>0</v>
          </cell>
          <cell r="Z1925">
            <v>0</v>
          </cell>
        </row>
        <row r="1926">
          <cell r="V1926">
            <v>0</v>
          </cell>
          <cell r="Z1926">
            <v>0</v>
          </cell>
        </row>
        <row r="1927">
          <cell r="V1927">
            <v>0</v>
          </cell>
          <cell r="Z1927">
            <v>0</v>
          </cell>
        </row>
        <row r="1928">
          <cell r="V1928">
            <v>0</v>
          </cell>
          <cell r="Z1928">
            <v>0</v>
          </cell>
        </row>
        <row r="1929">
          <cell r="V1929">
            <v>0</v>
          </cell>
          <cell r="Z1929">
            <v>0</v>
          </cell>
        </row>
        <row r="1930">
          <cell r="V1930">
            <v>0</v>
          </cell>
          <cell r="Z1930">
            <v>0</v>
          </cell>
        </row>
        <row r="1931">
          <cell r="V1931">
            <v>0</v>
          </cell>
          <cell r="Z1931">
            <v>0</v>
          </cell>
        </row>
        <row r="1932">
          <cell r="V1932">
            <v>0</v>
          </cell>
          <cell r="Z1932">
            <v>0</v>
          </cell>
        </row>
        <row r="1933">
          <cell r="V1933">
            <v>0</v>
          </cell>
          <cell r="Z1933">
            <v>0</v>
          </cell>
        </row>
        <row r="1934">
          <cell r="V1934">
            <v>0</v>
          </cell>
          <cell r="Z1934">
            <v>0</v>
          </cell>
        </row>
        <row r="1935">
          <cell r="V1935">
            <v>0</v>
          </cell>
          <cell r="Z1935">
            <v>0</v>
          </cell>
        </row>
        <row r="1936">
          <cell r="V1936">
            <v>0</v>
          </cell>
          <cell r="Z1936">
            <v>0</v>
          </cell>
        </row>
        <row r="1937">
          <cell r="V1937">
            <v>0</v>
          </cell>
          <cell r="Z1937">
            <v>0</v>
          </cell>
        </row>
        <row r="1938">
          <cell r="V1938">
            <v>0</v>
          </cell>
          <cell r="Z1938">
            <v>0</v>
          </cell>
        </row>
        <row r="1939">
          <cell r="V1939">
            <v>0</v>
          </cell>
          <cell r="Z1939">
            <v>0</v>
          </cell>
        </row>
        <row r="1940">
          <cell r="V1940">
            <v>0</v>
          </cell>
          <cell r="Z1940">
            <v>0</v>
          </cell>
        </row>
        <row r="1941">
          <cell r="V1941">
            <v>0</v>
          </cell>
          <cell r="Z1941">
            <v>0</v>
          </cell>
        </row>
        <row r="1942">
          <cell r="V1942">
            <v>0</v>
          </cell>
          <cell r="Z1942">
            <v>0</v>
          </cell>
        </row>
        <row r="1943">
          <cell r="V1943">
            <v>0</v>
          </cell>
          <cell r="Z1943">
            <v>0</v>
          </cell>
        </row>
        <row r="1944">
          <cell r="V1944">
            <v>0</v>
          </cell>
          <cell r="Z1944">
            <v>0</v>
          </cell>
        </row>
        <row r="1945">
          <cell r="V1945">
            <v>0</v>
          </cell>
          <cell r="Z1945">
            <v>0</v>
          </cell>
        </row>
        <row r="1946">
          <cell r="V1946">
            <v>0</v>
          </cell>
          <cell r="Z1946">
            <v>0</v>
          </cell>
        </row>
        <row r="1947">
          <cell r="V1947">
            <v>0</v>
          </cell>
          <cell r="Z1947">
            <v>0</v>
          </cell>
        </row>
        <row r="1948">
          <cell r="V1948">
            <v>0</v>
          </cell>
          <cell r="Z1948">
            <v>0</v>
          </cell>
        </row>
        <row r="1949">
          <cell r="V1949">
            <v>0</v>
          </cell>
          <cell r="Z1949">
            <v>0</v>
          </cell>
        </row>
        <row r="1950">
          <cell r="V1950">
            <v>0</v>
          </cell>
          <cell r="Z1950">
            <v>0</v>
          </cell>
        </row>
        <row r="1951">
          <cell r="V1951">
            <v>0</v>
          </cell>
          <cell r="Z1951">
            <v>0</v>
          </cell>
        </row>
        <row r="1952">
          <cell r="V1952">
            <v>0</v>
          </cell>
          <cell r="Z1952">
            <v>0</v>
          </cell>
        </row>
        <row r="1953">
          <cell r="V1953">
            <v>0</v>
          </cell>
          <cell r="Z1953">
            <v>0</v>
          </cell>
        </row>
        <row r="1954">
          <cell r="V1954">
            <v>0</v>
          </cell>
          <cell r="Z1954">
            <v>0</v>
          </cell>
        </row>
        <row r="1955">
          <cell r="V1955">
            <v>0</v>
          </cell>
          <cell r="Z1955">
            <v>0</v>
          </cell>
        </row>
        <row r="1956">
          <cell r="V1956">
            <v>0</v>
          </cell>
          <cell r="Z1956">
            <v>0</v>
          </cell>
        </row>
        <row r="1957">
          <cell r="V1957">
            <v>0</v>
          </cell>
          <cell r="Z1957">
            <v>0</v>
          </cell>
        </row>
        <row r="1958">
          <cell r="V1958">
            <v>0</v>
          </cell>
          <cell r="Z1958">
            <v>0</v>
          </cell>
        </row>
        <row r="1959">
          <cell r="V1959">
            <v>0</v>
          </cell>
          <cell r="Z1959">
            <v>0</v>
          </cell>
        </row>
        <row r="1960">
          <cell r="V1960">
            <v>0</v>
          </cell>
          <cell r="Z1960">
            <v>0</v>
          </cell>
        </row>
        <row r="1961">
          <cell r="V1961">
            <v>0</v>
          </cell>
          <cell r="Z1961">
            <v>0</v>
          </cell>
        </row>
        <row r="1962">
          <cell r="V1962">
            <v>0</v>
          </cell>
          <cell r="Z1962">
            <v>0</v>
          </cell>
        </row>
        <row r="1963">
          <cell r="V1963">
            <v>0</v>
          </cell>
          <cell r="Z1963">
            <v>0</v>
          </cell>
        </row>
        <row r="1964">
          <cell r="V1964">
            <v>0</v>
          </cell>
          <cell r="Z1964">
            <v>0</v>
          </cell>
        </row>
        <row r="1965">
          <cell r="V1965">
            <v>0</v>
          </cell>
          <cell r="Z1965">
            <v>0</v>
          </cell>
        </row>
        <row r="1966">
          <cell r="V1966">
            <v>0</v>
          </cell>
          <cell r="Z1966">
            <v>0</v>
          </cell>
        </row>
        <row r="1967">
          <cell r="V1967">
            <v>0</v>
          </cell>
          <cell r="Z1967">
            <v>0</v>
          </cell>
        </row>
        <row r="1968">
          <cell r="V1968">
            <v>0</v>
          </cell>
          <cell r="Z1968">
            <v>0</v>
          </cell>
        </row>
        <row r="1969">
          <cell r="V1969">
            <v>0</v>
          </cell>
          <cell r="Z1969">
            <v>0</v>
          </cell>
        </row>
        <row r="1970">
          <cell r="V1970">
            <v>0</v>
          </cell>
          <cell r="Z1970">
            <v>0</v>
          </cell>
        </row>
        <row r="1971">
          <cell r="V1971">
            <v>0</v>
          </cell>
          <cell r="Z1971">
            <v>0</v>
          </cell>
        </row>
        <row r="1972">
          <cell r="V1972">
            <v>0</v>
          </cell>
          <cell r="Z1972">
            <v>0</v>
          </cell>
        </row>
        <row r="1973">
          <cell r="V1973">
            <v>0</v>
          </cell>
          <cell r="Z1973">
            <v>0</v>
          </cell>
        </row>
        <row r="1974">
          <cell r="V1974">
            <v>0</v>
          </cell>
          <cell r="Z1974">
            <v>0</v>
          </cell>
        </row>
        <row r="1975">
          <cell r="V1975">
            <v>0</v>
          </cell>
          <cell r="Z1975">
            <v>0</v>
          </cell>
        </row>
        <row r="1976">
          <cell r="V1976">
            <v>0</v>
          </cell>
          <cell r="Z1976">
            <v>0</v>
          </cell>
        </row>
        <row r="1977">
          <cell r="V1977">
            <v>0</v>
          </cell>
          <cell r="Z1977">
            <v>0</v>
          </cell>
        </row>
        <row r="1978">
          <cell r="V1978">
            <v>0</v>
          </cell>
          <cell r="Z1978">
            <v>0</v>
          </cell>
        </row>
        <row r="1979">
          <cell r="V1979">
            <v>0</v>
          </cell>
          <cell r="Z1979">
            <v>0</v>
          </cell>
        </row>
        <row r="1980">
          <cell r="V1980">
            <v>0</v>
          </cell>
          <cell r="Z1980">
            <v>0</v>
          </cell>
        </row>
        <row r="1981">
          <cell r="V1981">
            <v>0</v>
          </cell>
          <cell r="Z1981">
            <v>0</v>
          </cell>
        </row>
        <row r="1982">
          <cell r="V1982">
            <v>0</v>
          </cell>
          <cell r="Z1982">
            <v>0</v>
          </cell>
        </row>
        <row r="1983">
          <cell r="V1983">
            <v>0</v>
          </cell>
          <cell r="Z1983">
            <v>0</v>
          </cell>
        </row>
        <row r="1984">
          <cell r="V1984">
            <v>0</v>
          </cell>
          <cell r="Z1984">
            <v>0</v>
          </cell>
        </row>
        <row r="1985">
          <cell r="V1985">
            <v>0</v>
          </cell>
          <cell r="Z1985">
            <v>0</v>
          </cell>
        </row>
        <row r="1986">
          <cell r="V1986">
            <v>0</v>
          </cell>
          <cell r="Z1986">
            <v>0</v>
          </cell>
        </row>
        <row r="1987">
          <cell r="V1987">
            <v>0</v>
          </cell>
          <cell r="Z1987">
            <v>0</v>
          </cell>
        </row>
        <row r="1988">
          <cell r="V1988">
            <v>0</v>
          </cell>
          <cell r="Z1988">
            <v>0</v>
          </cell>
        </row>
        <row r="1989">
          <cell r="V1989">
            <v>0</v>
          </cell>
          <cell r="Z1989">
            <v>0</v>
          </cell>
        </row>
        <row r="1990">
          <cell r="V1990">
            <v>0</v>
          </cell>
          <cell r="Z1990">
            <v>0</v>
          </cell>
        </row>
        <row r="1991">
          <cell r="V1991">
            <v>0</v>
          </cell>
          <cell r="Z1991">
            <v>0</v>
          </cell>
        </row>
        <row r="1992">
          <cell r="V1992">
            <v>0</v>
          </cell>
          <cell r="Z1992">
            <v>0</v>
          </cell>
        </row>
        <row r="1993">
          <cell r="V1993">
            <v>0</v>
          </cell>
          <cell r="Z1993">
            <v>0</v>
          </cell>
        </row>
        <row r="1994">
          <cell r="V1994">
            <v>0</v>
          </cell>
          <cell r="Z1994">
            <v>0</v>
          </cell>
        </row>
        <row r="1995">
          <cell r="V1995">
            <v>0</v>
          </cell>
          <cell r="Z1995">
            <v>0</v>
          </cell>
        </row>
        <row r="1996">
          <cell r="V1996">
            <v>0</v>
          </cell>
          <cell r="Z1996">
            <v>0</v>
          </cell>
        </row>
        <row r="1997">
          <cell r="V1997">
            <v>0</v>
          </cell>
          <cell r="Z1997">
            <v>0</v>
          </cell>
        </row>
        <row r="1998">
          <cell r="V1998">
            <v>0</v>
          </cell>
          <cell r="Z1998">
            <v>0</v>
          </cell>
        </row>
        <row r="1999">
          <cell r="V1999">
            <v>0</v>
          </cell>
          <cell r="Z1999">
            <v>0</v>
          </cell>
        </row>
        <row r="2000">
          <cell r="V2000">
            <v>0</v>
          </cell>
          <cell r="Z2000">
            <v>0</v>
          </cell>
        </row>
        <row r="2001">
          <cell r="V2001">
            <v>0</v>
          </cell>
          <cell r="Z2001">
            <v>0</v>
          </cell>
        </row>
        <row r="2002">
          <cell r="V2002">
            <v>0</v>
          </cell>
          <cell r="Z2002">
            <v>0</v>
          </cell>
        </row>
        <row r="2003">
          <cell r="V2003">
            <v>0</v>
          </cell>
          <cell r="Z2003">
            <v>0</v>
          </cell>
        </row>
        <row r="2004">
          <cell r="V2004">
            <v>0</v>
          </cell>
          <cell r="Z2004">
            <v>0</v>
          </cell>
        </row>
        <row r="2005">
          <cell r="V2005">
            <v>0</v>
          </cell>
          <cell r="Z2005">
            <v>0</v>
          </cell>
        </row>
        <row r="2006">
          <cell r="V2006">
            <v>0</v>
          </cell>
          <cell r="Z2006">
            <v>0</v>
          </cell>
        </row>
        <row r="2007">
          <cell r="V2007">
            <v>0</v>
          </cell>
          <cell r="Z2007">
            <v>0</v>
          </cell>
        </row>
        <row r="2008">
          <cell r="V2008">
            <v>0</v>
          </cell>
          <cell r="Z2008">
            <v>0</v>
          </cell>
        </row>
        <row r="2009">
          <cell r="V2009">
            <v>0</v>
          </cell>
          <cell r="Z2009">
            <v>0</v>
          </cell>
        </row>
        <row r="2010">
          <cell r="V2010">
            <v>0</v>
          </cell>
          <cell r="Z2010">
            <v>0</v>
          </cell>
        </row>
        <row r="2011">
          <cell r="V2011">
            <v>0</v>
          </cell>
          <cell r="Z2011">
            <v>0</v>
          </cell>
        </row>
        <row r="2012">
          <cell r="V2012">
            <v>0</v>
          </cell>
          <cell r="Z2012">
            <v>0</v>
          </cell>
        </row>
        <row r="2013">
          <cell r="V2013">
            <v>0</v>
          </cell>
          <cell r="Z2013">
            <v>0</v>
          </cell>
        </row>
        <row r="2014">
          <cell r="V2014">
            <v>0</v>
          </cell>
          <cell r="Z2014">
            <v>0</v>
          </cell>
        </row>
        <row r="2015">
          <cell r="V2015">
            <v>0</v>
          </cell>
          <cell r="Z2015">
            <v>0</v>
          </cell>
        </row>
        <row r="2016">
          <cell r="V2016">
            <v>0</v>
          </cell>
          <cell r="Z2016">
            <v>0</v>
          </cell>
        </row>
        <row r="2017">
          <cell r="V2017">
            <v>0</v>
          </cell>
          <cell r="Z2017">
            <v>0</v>
          </cell>
        </row>
        <row r="2018">
          <cell r="V2018">
            <v>0</v>
          </cell>
          <cell r="Z2018">
            <v>0</v>
          </cell>
        </row>
        <row r="2019">
          <cell r="V2019">
            <v>0</v>
          </cell>
          <cell r="Z2019">
            <v>0</v>
          </cell>
        </row>
        <row r="2020">
          <cell r="V2020">
            <v>0</v>
          </cell>
          <cell r="Z2020">
            <v>0</v>
          </cell>
        </row>
        <row r="2021">
          <cell r="V2021">
            <v>0</v>
          </cell>
          <cell r="Z2021">
            <v>0</v>
          </cell>
        </row>
        <row r="2022">
          <cell r="V2022">
            <v>0</v>
          </cell>
          <cell r="Z2022">
            <v>0</v>
          </cell>
        </row>
        <row r="2023">
          <cell r="V2023">
            <v>0</v>
          </cell>
          <cell r="Z2023">
            <v>0</v>
          </cell>
        </row>
        <row r="2024">
          <cell r="V2024">
            <v>0</v>
          </cell>
          <cell r="Z2024">
            <v>0</v>
          </cell>
        </row>
        <row r="2025">
          <cell r="V2025">
            <v>0</v>
          </cell>
          <cell r="Z2025">
            <v>0</v>
          </cell>
        </row>
        <row r="2026">
          <cell r="V2026">
            <v>0</v>
          </cell>
          <cell r="Z2026">
            <v>0</v>
          </cell>
        </row>
        <row r="2027">
          <cell r="V2027">
            <v>0</v>
          </cell>
          <cell r="Z2027">
            <v>0</v>
          </cell>
        </row>
        <row r="2028">
          <cell r="V2028">
            <v>0</v>
          </cell>
          <cell r="Z2028">
            <v>0</v>
          </cell>
        </row>
        <row r="2029">
          <cell r="V2029">
            <v>0</v>
          </cell>
          <cell r="Z2029">
            <v>0</v>
          </cell>
        </row>
        <row r="2030">
          <cell r="V2030">
            <v>0</v>
          </cell>
          <cell r="Z2030">
            <v>0</v>
          </cell>
        </row>
        <row r="2031">
          <cell r="V2031">
            <v>0</v>
          </cell>
          <cell r="Z2031">
            <v>0</v>
          </cell>
        </row>
        <row r="2032">
          <cell r="V2032">
            <v>0</v>
          </cell>
          <cell r="Z2032">
            <v>0</v>
          </cell>
        </row>
        <row r="2033">
          <cell r="V2033">
            <v>0</v>
          </cell>
          <cell r="Z2033">
            <v>0</v>
          </cell>
        </row>
        <row r="2034">
          <cell r="V2034">
            <v>0</v>
          </cell>
          <cell r="Z2034">
            <v>0</v>
          </cell>
        </row>
        <row r="2035">
          <cell r="V2035">
            <v>0</v>
          </cell>
          <cell r="Z2035">
            <v>0</v>
          </cell>
        </row>
        <row r="2036">
          <cell r="V2036">
            <v>0</v>
          </cell>
          <cell r="Z2036">
            <v>0</v>
          </cell>
        </row>
        <row r="2037">
          <cell r="V2037">
            <v>0</v>
          </cell>
          <cell r="Z2037">
            <v>0</v>
          </cell>
        </row>
        <row r="2038">
          <cell r="V2038">
            <v>0</v>
          </cell>
          <cell r="Z2038">
            <v>0</v>
          </cell>
        </row>
        <row r="2039">
          <cell r="V2039">
            <v>0</v>
          </cell>
          <cell r="Z2039">
            <v>0</v>
          </cell>
        </row>
        <row r="2040">
          <cell r="V2040">
            <v>0</v>
          </cell>
          <cell r="Z2040">
            <v>0</v>
          </cell>
        </row>
        <row r="2041">
          <cell r="V2041">
            <v>0</v>
          </cell>
          <cell r="Z2041">
            <v>0</v>
          </cell>
        </row>
        <row r="2042">
          <cell r="V2042">
            <v>0</v>
          </cell>
          <cell r="Z2042">
            <v>0</v>
          </cell>
        </row>
        <row r="2043">
          <cell r="V2043">
            <v>0</v>
          </cell>
          <cell r="Z2043">
            <v>0</v>
          </cell>
        </row>
        <row r="2044">
          <cell r="V2044">
            <v>0</v>
          </cell>
          <cell r="Z2044">
            <v>0</v>
          </cell>
        </row>
        <row r="2045">
          <cell r="V2045">
            <v>0</v>
          </cell>
          <cell r="Z2045">
            <v>0</v>
          </cell>
        </row>
        <row r="2046">
          <cell r="V2046">
            <v>0</v>
          </cell>
          <cell r="Z2046">
            <v>0</v>
          </cell>
        </row>
        <row r="2047">
          <cell r="V2047">
            <v>0</v>
          </cell>
          <cell r="Z2047">
            <v>0</v>
          </cell>
        </row>
        <row r="2048">
          <cell r="V2048">
            <v>0</v>
          </cell>
          <cell r="Z2048">
            <v>0</v>
          </cell>
        </row>
        <row r="2049">
          <cell r="V2049">
            <v>0</v>
          </cell>
          <cell r="Z2049">
            <v>0</v>
          </cell>
        </row>
        <row r="2050">
          <cell r="V2050">
            <v>0</v>
          </cell>
          <cell r="Z2050">
            <v>0</v>
          </cell>
        </row>
        <row r="2051">
          <cell r="V2051">
            <v>0</v>
          </cell>
          <cell r="Z2051">
            <v>0</v>
          </cell>
        </row>
        <row r="2052">
          <cell r="V2052">
            <v>0</v>
          </cell>
          <cell r="Z2052">
            <v>0</v>
          </cell>
        </row>
        <row r="2053">
          <cell r="V2053">
            <v>0</v>
          </cell>
          <cell r="Z2053">
            <v>0</v>
          </cell>
        </row>
        <row r="2054">
          <cell r="V2054">
            <v>0</v>
          </cell>
          <cell r="Z2054">
            <v>0</v>
          </cell>
        </row>
        <row r="2055">
          <cell r="V2055">
            <v>0</v>
          </cell>
          <cell r="Z2055">
            <v>0</v>
          </cell>
        </row>
        <row r="2056">
          <cell r="V2056">
            <v>0</v>
          </cell>
          <cell r="Z2056">
            <v>0</v>
          </cell>
        </row>
        <row r="2057">
          <cell r="V2057">
            <v>0</v>
          </cell>
          <cell r="Z2057">
            <v>0</v>
          </cell>
        </row>
        <row r="2058">
          <cell r="V2058">
            <v>0</v>
          </cell>
          <cell r="Z2058">
            <v>0</v>
          </cell>
        </row>
        <row r="2059">
          <cell r="V2059">
            <v>0</v>
          </cell>
          <cell r="Z2059">
            <v>0</v>
          </cell>
        </row>
        <row r="2060">
          <cell r="V2060">
            <v>0</v>
          </cell>
          <cell r="Z2060">
            <v>0</v>
          </cell>
        </row>
        <row r="2061">
          <cell r="V2061">
            <v>0</v>
          </cell>
          <cell r="Z2061">
            <v>0</v>
          </cell>
        </row>
        <row r="2062">
          <cell r="V2062">
            <v>0</v>
          </cell>
          <cell r="Z2062">
            <v>0</v>
          </cell>
        </row>
        <row r="2063">
          <cell r="V2063">
            <v>0</v>
          </cell>
          <cell r="Z2063">
            <v>0</v>
          </cell>
        </row>
        <row r="2064">
          <cell r="V2064">
            <v>0</v>
          </cell>
          <cell r="Z2064">
            <v>0</v>
          </cell>
        </row>
        <row r="2065">
          <cell r="V2065">
            <v>0</v>
          </cell>
          <cell r="Z2065">
            <v>0</v>
          </cell>
        </row>
        <row r="2066">
          <cell r="V2066">
            <v>0</v>
          </cell>
          <cell r="Z2066">
            <v>0</v>
          </cell>
        </row>
        <row r="2067">
          <cell r="V2067">
            <v>0</v>
          </cell>
          <cell r="Z2067">
            <v>0</v>
          </cell>
        </row>
        <row r="2068">
          <cell r="V2068">
            <v>0</v>
          </cell>
          <cell r="Z2068">
            <v>0</v>
          </cell>
        </row>
        <row r="2069">
          <cell r="V2069">
            <v>0</v>
          </cell>
          <cell r="Z2069">
            <v>0</v>
          </cell>
        </row>
        <row r="2070">
          <cell r="V2070">
            <v>0</v>
          </cell>
          <cell r="Z2070">
            <v>0</v>
          </cell>
        </row>
        <row r="2071">
          <cell r="V2071">
            <v>0</v>
          </cell>
          <cell r="Z2071">
            <v>0</v>
          </cell>
        </row>
        <row r="2072">
          <cell r="V2072">
            <v>0</v>
          </cell>
          <cell r="Z2072">
            <v>0</v>
          </cell>
        </row>
        <row r="2073">
          <cell r="V2073">
            <v>0</v>
          </cell>
          <cell r="Z2073">
            <v>0</v>
          </cell>
        </row>
        <row r="2074">
          <cell r="V2074">
            <v>0</v>
          </cell>
          <cell r="Z2074">
            <v>0</v>
          </cell>
        </row>
        <row r="2075">
          <cell r="V2075">
            <v>0</v>
          </cell>
          <cell r="Z2075">
            <v>0</v>
          </cell>
        </row>
        <row r="2076">
          <cell r="V2076">
            <v>0</v>
          </cell>
          <cell r="Z2076">
            <v>0</v>
          </cell>
        </row>
        <row r="2077">
          <cell r="V2077">
            <v>0</v>
          </cell>
          <cell r="Z2077">
            <v>0</v>
          </cell>
        </row>
        <row r="2078">
          <cell r="V2078">
            <v>0</v>
          </cell>
          <cell r="Z2078">
            <v>0</v>
          </cell>
        </row>
        <row r="2079">
          <cell r="V2079">
            <v>0</v>
          </cell>
          <cell r="Z2079">
            <v>0</v>
          </cell>
        </row>
        <row r="2080">
          <cell r="V2080">
            <v>0</v>
          </cell>
          <cell r="Z2080">
            <v>0</v>
          </cell>
        </row>
        <row r="2081">
          <cell r="V2081">
            <v>0</v>
          </cell>
          <cell r="Z2081">
            <v>0</v>
          </cell>
        </row>
        <row r="2082">
          <cell r="V2082">
            <v>0</v>
          </cell>
          <cell r="Z2082">
            <v>0</v>
          </cell>
        </row>
        <row r="2083">
          <cell r="V2083">
            <v>0</v>
          </cell>
          <cell r="Z2083">
            <v>0</v>
          </cell>
        </row>
        <row r="2084">
          <cell r="V2084">
            <v>0</v>
          </cell>
          <cell r="Z2084">
            <v>0</v>
          </cell>
        </row>
        <row r="2085">
          <cell r="V2085">
            <v>0</v>
          </cell>
          <cell r="Z2085">
            <v>0</v>
          </cell>
        </row>
        <row r="2086">
          <cell r="V2086">
            <v>0</v>
          </cell>
          <cell r="Z2086">
            <v>0</v>
          </cell>
        </row>
        <row r="2087">
          <cell r="V2087">
            <v>0</v>
          </cell>
          <cell r="Z2087">
            <v>0</v>
          </cell>
        </row>
        <row r="2088">
          <cell r="V2088">
            <v>0</v>
          </cell>
          <cell r="Z2088">
            <v>0</v>
          </cell>
        </row>
        <row r="2089">
          <cell r="V2089">
            <v>0</v>
          </cell>
          <cell r="Z2089">
            <v>0</v>
          </cell>
        </row>
        <row r="2090">
          <cell r="V2090">
            <v>0</v>
          </cell>
          <cell r="Z2090">
            <v>0</v>
          </cell>
        </row>
        <row r="2091">
          <cell r="V2091">
            <v>0</v>
          </cell>
          <cell r="Z2091">
            <v>0</v>
          </cell>
        </row>
        <row r="2092">
          <cell r="V2092">
            <v>0</v>
          </cell>
          <cell r="Z2092">
            <v>0</v>
          </cell>
        </row>
        <row r="2093">
          <cell r="V2093">
            <v>0</v>
          </cell>
          <cell r="Z2093">
            <v>0</v>
          </cell>
        </row>
        <row r="2094">
          <cell r="V2094">
            <v>0</v>
          </cell>
          <cell r="Z2094">
            <v>0</v>
          </cell>
        </row>
        <row r="2095">
          <cell r="V2095">
            <v>0</v>
          </cell>
          <cell r="Z2095">
            <v>0</v>
          </cell>
        </row>
        <row r="2096">
          <cell r="V2096">
            <v>0</v>
          </cell>
          <cell r="Z2096">
            <v>0</v>
          </cell>
        </row>
        <row r="2097">
          <cell r="V2097">
            <v>0</v>
          </cell>
          <cell r="Z2097">
            <v>0</v>
          </cell>
        </row>
        <row r="2098">
          <cell r="V2098">
            <v>0</v>
          </cell>
          <cell r="Z2098">
            <v>0</v>
          </cell>
        </row>
        <row r="2099">
          <cell r="V2099">
            <v>0</v>
          </cell>
          <cell r="Z2099">
            <v>0</v>
          </cell>
        </row>
        <row r="2100">
          <cell r="V2100">
            <v>0</v>
          </cell>
          <cell r="Z2100">
            <v>0</v>
          </cell>
        </row>
        <row r="2101">
          <cell r="V2101">
            <v>0</v>
          </cell>
          <cell r="Z2101">
            <v>0</v>
          </cell>
        </row>
        <row r="2102">
          <cell r="V2102">
            <v>0</v>
          </cell>
          <cell r="Z2102">
            <v>0</v>
          </cell>
        </row>
        <row r="2103">
          <cell r="V2103">
            <v>0</v>
          </cell>
          <cell r="Z2103">
            <v>0</v>
          </cell>
        </row>
        <row r="2104">
          <cell r="V2104">
            <v>0</v>
          </cell>
          <cell r="Z2104">
            <v>0</v>
          </cell>
        </row>
        <row r="2105">
          <cell r="V2105">
            <v>0</v>
          </cell>
          <cell r="Z2105">
            <v>0</v>
          </cell>
        </row>
        <row r="2106">
          <cell r="V2106">
            <v>0</v>
          </cell>
          <cell r="Z2106">
            <v>0</v>
          </cell>
        </row>
        <row r="2107">
          <cell r="V2107">
            <v>0</v>
          </cell>
          <cell r="Z2107">
            <v>0</v>
          </cell>
        </row>
        <row r="2108">
          <cell r="V2108">
            <v>0</v>
          </cell>
          <cell r="Z2108">
            <v>0</v>
          </cell>
        </row>
        <row r="2109">
          <cell r="V2109">
            <v>0</v>
          </cell>
          <cell r="Z2109">
            <v>0</v>
          </cell>
        </row>
        <row r="2110">
          <cell r="V2110">
            <v>0</v>
          </cell>
          <cell r="Z2110">
            <v>0</v>
          </cell>
        </row>
        <row r="2111">
          <cell r="V2111">
            <v>0</v>
          </cell>
          <cell r="Z2111">
            <v>0</v>
          </cell>
        </row>
        <row r="2112">
          <cell r="V2112">
            <v>0</v>
          </cell>
          <cell r="Z2112">
            <v>0</v>
          </cell>
        </row>
        <row r="2113">
          <cell r="V2113">
            <v>0</v>
          </cell>
          <cell r="Z2113">
            <v>0</v>
          </cell>
        </row>
        <row r="2114">
          <cell r="V2114">
            <v>0</v>
          </cell>
          <cell r="Z2114">
            <v>0</v>
          </cell>
        </row>
        <row r="2115">
          <cell r="V2115">
            <v>0</v>
          </cell>
          <cell r="Z2115">
            <v>0</v>
          </cell>
        </row>
        <row r="2116">
          <cell r="V2116">
            <v>0</v>
          </cell>
          <cell r="Z2116">
            <v>0</v>
          </cell>
        </row>
        <row r="2117">
          <cell r="V2117">
            <v>0</v>
          </cell>
          <cell r="Z2117">
            <v>0</v>
          </cell>
        </row>
        <row r="2118">
          <cell r="V2118">
            <v>0</v>
          </cell>
          <cell r="Z2118">
            <v>0</v>
          </cell>
        </row>
        <row r="2119">
          <cell r="V2119">
            <v>0</v>
          </cell>
          <cell r="Z2119">
            <v>0</v>
          </cell>
        </row>
        <row r="2120">
          <cell r="V2120">
            <v>0</v>
          </cell>
          <cell r="Z2120">
            <v>0</v>
          </cell>
        </row>
        <row r="2121">
          <cell r="V2121">
            <v>0</v>
          </cell>
          <cell r="Z2121">
            <v>0</v>
          </cell>
        </row>
        <row r="2122">
          <cell r="V2122">
            <v>0</v>
          </cell>
          <cell r="Z2122">
            <v>0</v>
          </cell>
        </row>
        <row r="2123">
          <cell r="V2123">
            <v>0</v>
          </cell>
          <cell r="Z2123">
            <v>0</v>
          </cell>
        </row>
        <row r="2124">
          <cell r="V2124">
            <v>0</v>
          </cell>
          <cell r="Z2124">
            <v>0</v>
          </cell>
        </row>
        <row r="2125">
          <cell r="V2125">
            <v>0</v>
          </cell>
          <cell r="Z2125">
            <v>0</v>
          </cell>
        </row>
        <row r="2126">
          <cell r="V2126">
            <v>0</v>
          </cell>
          <cell r="Z2126">
            <v>0</v>
          </cell>
        </row>
        <row r="2127">
          <cell r="V2127">
            <v>0</v>
          </cell>
          <cell r="Z2127">
            <v>0</v>
          </cell>
        </row>
        <row r="2128">
          <cell r="V2128">
            <v>0</v>
          </cell>
          <cell r="Z2128">
            <v>0</v>
          </cell>
        </row>
        <row r="2129">
          <cell r="V2129">
            <v>0</v>
          </cell>
          <cell r="Z2129">
            <v>0</v>
          </cell>
        </row>
        <row r="2130">
          <cell r="V2130">
            <v>0</v>
          </cell>
          <cell r="Z2130">
            <v>0</v>
          </cell>
        </row>
        <row r="2131">
          <cell r="V2131">
            <v>0</v>
          </cell>
          <cell r="Z2131">
            <v>0</v>
          </cell>
        </row>
        <row r="2132">
          <cell r="V2132">
            <v>0</v>
          </cell>
          <cell r="Z2132">
            <v>0</v>
          </cell>
        </row>
        <row r="2133">
          <cell r="V2133">
            <v>0</v>
          </cell>
          <cell r="Z2133">
            <v>0</v>
          </cell>
        </row>
        <row r="2134">
          <cell r="V2134">
            <v>0</v>
          </cell>
          <cell r="Z2134">
            <v>0</v>
          </cell>
        </row>
        <row r="2135">
          <cell r="V2135">
            <v>0</v>
          </cell>
          <cell r="Z2135">
            <v>0</v>
          </cell>
        </row>
        <row r="2136">
          <cell r="V2136">
            <v>0</v>
          </cell>
          <cell r="Z2136">
            <v>0</v>
          </cell>
        </row>
        <row r="2137">
          <cell r="V2137">
            <v>0</v>
          </cell>
          <cell r="Z2137">
            <v>0</v>
          </cell>
        </row>
        <row r="2138">
          <cell r="V2138">
            <v>0</v>
          </cell>
          <cell r="Z2138">
            <v>0</v>
          </cell>
        </row>
        <row r="2139">
          <cell r="V2139">
            <v>0</v>
          </cell>
          <cell r="Z2139">
            <v>0</v>
          </cell>
        </row>
        <row r="2140">
          <cell r="V2140">
            <v>0</v>
          </cell>
          <cell r="Z2140">
            <v>0</v>
          </cell>
        </row>
        <row r="2141">
          <cell r="V2141">
            <v>0</v>
          </cell>
          <cell r="Z2141">
            <v>0</v>
          </cell>
        </row>
        <row r="2142">
          <cell r="V2142">
            <v>0</v>
          </cell>
          <cell r="Z2142">
            <v>0</v>
          </cell>
        </row>
        <row r="2143">
          <cell r="V2143">
            <v>0</v>
          </cell>
          <cell r="Z2143">
            <v>0</v>
          </cell>
        </row>
        <row r="2144">
          <cell r="V2144">
            <v>0</v>
          </cell>
          <cell r="Z2144">
            <v>0</v>
          </cell>
        </row>
        <row r="2145">
          <cell r="V2145">
            <v>0</v>
          </cell>
          <cell r="Z2145">
            <v>0</v>
          </cell>
        </row>
        <row r="2146">
          <cell r="V2146">
            <v>0</v>
          </cell>
          <cell r="Z2146">
            <v>0</v>
          </cell>
        </row>
        <row r="2147">
          <cell r="V2147">
            <v>0</v>
          </cell>
          <cell r="Z2147">
            <v>0</v>
          </cell>
        </row>
        <row r="2148">
          <cell r="V2148">
            <v>0</v>
          </cell>
          <cell r="Z2148">
            <v>0</v>
          </cell>
        </row>
        <row r="2149">
          <cell r="V2149">
            <v>0</v>
          </cell>
          <cell r="Z2149">
            <v>0</v>
          </cell>
        </row>
        <row r="2150">
          <cell r="V2150">
            <v>0</v>
          </cell>
          <cell r="Z2150">
            <v>0</v>
          </cell>
        </row>
        <row r="2151">
          <cell r="V2151">
            <v>0</v>
          </cell>
          <cell r="Z2151">
            <v>0</v>
          </cell>
        </row>
        <row r="2152">
          <cell r="V2152">
            <v>0</v>
          </cell>
          <cell r="Z2152">
            <v>0</v>
          </cell>
        </row>
        <row r="2153">
          <cell r="V2153">
            <v>0</v>
          </cell>
          <cell r="Z2153">
            <v>0</v>
          </cell>
        </row>
        <row r="2154">
          <cell r="V2154">
            <v>0</v>
          </cell>
          <cell r="Z2154">
            <v>0</v>
          </cell>
        </row>
        <row r="2155">
          <cell r="V2155">
            <v>0</v>
          </cell>
          <cell r="Z2155">
            <v>0</v>
          </cell>
        </row>
        <row r="2156">
          <cell r="V2156">
            <v>0</v>
          </cell>
          <cell r="Z2156">
            <v>0</v>
          </cell>
        </row>
        <row r="2157">
          <cell r="V2157">
            <v>0</v>
          </cell>
          <cell r="Z2157">
            <v>0</v>
          </cell>
        </row>
        <row r="2158">
          <cell r="V2158">
            <v>0</v>
          </cell>
          <cell r="Z2158">
            <v>0</v>
          </cell>
        </row>
        <row r="2159">
          <cell r="V2159">
            <v>0</v>
          </cell>
          <cell r="Z2159">
            <v>0</v>
          </cell>
        </row>
        <row r="2160">
          <cell r="V2160">
            <v>0</v>
          </cell>
          <cell r="Z2160">
            <v>0</v>
          </cell>
        </row>
        <row r="2161">
          <cell r="V2161">
            <v>0</v>
          </cell>
          <cell r="Z2161">
            <v>0</v>
          </cell>
        </row>
        <row r="2162">
          <cell r="V2162">
            <v>0</v>
          </cell>
          <cell r="Z2162">
            <v>0</v>
          </cell>
        </row>
        <row r="2163">
          <cell r="V2163">
            <v>0</v>
          </cell>
          <cell r="Z2163">
            <v>0</v>
          </cell>
        </row>
        <row r="2164">
          <cell r="V2164">
            <v>0</v>
          </cell>
          <cell r="Z2164">
            <v>0</v>
          </cell>
        </row>
        <row r="2165">
          <cell r="V2165">
            <v>0</v>
          </cell>
          <cell r="Z2165">
            <v>0</v>
          </cell>
        </row>
        <row r="2166">
          <cell r="V2166">
            <v>0</v>
          </cell>
          <cell r="Z2166">
            <v>0</v>
          </cell>
        </row>
        <row r="2167">
          <cell r="V2167">
            <v>0</v>
          </cell>
          <cell r="Z2167">
            <v>0</v>
          </cell>
        </row>
        <row r="2168">
          <cell r="V2168">
            <v>0</v>
          </cell>
          <cell r="Z2168">
            <v>0</v>
          </cell>
        </row>
        <row r="2169">
          <cell r="V2169">
            <v>0</v>
          </cell>
          <cell r="Z2169">
            <v>0</v>
          </cell>
        </row>
        <row r="2170">
          <cell r="V2170">
            <v>0</v>
          </cell>
          <cell r="Z2170">
            <v>0</v>
          </cell>
        </row>
        <row r="2171">
          <cell r="V2171">
            <v>0</v>
          </cell>
          <cell r="Z2171">
            <v>0</v>
          </cell>
        </row>
        <row r="2172">
          <cell r="V2172">
            <v>0</v>
          </cell>
          <cell r="Z2172">
            <v>0</v>
          </cell>
        </row>
        <row r="2173">
          <cell r="V2173">
            <v>0</v>
          </cell>
          <cell r="Z2173">
            <v>0</v>
          </cell>
        </row>
        <row r="2174">
          <cell r="V2174">
            <v>0</v>
          </cell>
          <cell r="Z2174">
            <v>0</v>
          </cell>
        </row>
        <row r="2175">
          <cell r="V2175">
            <v>0</v>
          </cell>
          <cell r="Z2175">
            <v>0</v>
          </cell>
        </row>
        <row r="2176">
          <cell r="V2176">
            <v>0</v>
          </cell>
          <cell r="Z2176">
            <v>0</v>
          </cell>
        </row>
        <row r="2177">
          <cell r="V2177">
            <v>0</v>
          </cell>
          <cell r="Z2177">
            <v>0</v>
          </cell>
        </row>
        <row r="2178">
          <cell r="V2178">
            <v>0</v>
          </cell>
          <cell r="Z2178">
            <v>0</v>
          </cell>
        </row>
        <row r="2179">
          <cell r="V2179">
            <v>0</v>
          </cell>
          <cell r="Z2179">
            <v>0</v>
          </cell>
        </row>
        <row r="2180">
          <cell r="V2180">
            <v>0</v>
          </cell>
          <cell r="Z2180">
            <v>0</v>
          </cell>
        </row>
        <row r="2181">
          <cell r="V2181">
            <v>0</v>
          </cell>
          <cell r="Z2181">
            <v>0</v>
          </cell>
        </row>
        <row r="2182">
          <cell r="V2182">
            <v>0</v>
          </cell>
          <cell r="Z2182">
            <v>0</v>
          </cell>
        </row>
        <row r="2183">
          <cell r="V2183">
            <v>0</v>
          </cell>
          <cell r="Z2183">
            <v>0</v>
          </cell>
        </row>
        <row r="2184">
          <cell r="V2184">
            <v>0</v>
          </cell>
          <cell r="Z2184">
            <v>0</v>
          </cell>
        </row>
        <row r="2185">
          <cell r="V2185">
            <v>0</v>
          </cell>
          <cell r="Z2185">
            <v>0</v>
          </cell>
        </row>
        <row r="2186">
          <cell r="V2186">
            <v>0</v>
          </cell>
          <cell r="Z2186">
            <v>0</v>
          </cell>
        </row>
        <row r="2187">
          <cell r="V2187">
            <v>0</v>
          </cell>
          <cell r="Z2187">
            <v>0</v>
          </cell>
        </row>
        <row r="2188">
          <cell r="V2188">
            <v>0</v>
          </cell>
          <cell r="Z2188">
            <v>0</v>
          </cell>
        </row>
        <row r="2189">
          <cell r="V2189">
            <v>0</v>
          </cell>
          <cell r="Z2189">
            <v>0</v>
          </cell>
        </row>
        <row r="2190">
          <cell r="V2190">
            <v>0</v>
          </cell>
          <cell r="Z2190">
            <v>0</v>
          </cell>
        </row>
        <row r="2191">
          <cell r="V2191">
            <v>0</v>
          </cell>
          <cell r="Z2191">
            <v>0</v>
          </cell>
        </row>
        <row r="2192">
          <cell r="V2192">
            <v>0</v>
          </cell>
          <cell r="Z2192">
            <v>0</v>
          </cell>
        </row>
        <row r="2193">
          <cell r="V2193">
            <v>0</v>
          </cell>
          <cell r="Z2193">
            <v>0</v>
          </cell>
        </row>
        <row r="2194">
          <cell r="V2194">
            <v>0</v>
          </cell>
          <cell r="Z2194">
            <v>0</v>
          </cell>
        </row>
        <row r="2195">
          <cell r="V2195">
            <v>0</v>
          </cell>
          <cell r="Z2195">
            <v>0</v>
          </cell>
        </row>
        <row r="2196">
          <cell r="V2196">
            <v>0</v>
          </cell>
          <cell r="Z2196">
            <v>0</v>
          </cell>
        </row>
        <row r="2197">
          <cell r="V2197">
            <v>0</v>
          </cell>
          <cell r="Z2197">
            <v>0</v>
          </cell>
        </row>
        <row r="2198">
          <cell r="V2198">
            <v>0</v>
          </cell>
          <cell r="Z2198">
            <v>0</v>
          </cell>
        </row>
        <row r="2199">
          <cell r="V2199">
            <v>0</v>
          </cell>
          <cell r="Z2199">
            <v>0</v>
          </cell>
        </row>
        <row r="2200">
          <cell r="V2200">
            <v>0</v>
          </cell>
          <cell r="Z2200">
            <v>0</v>
          </cell>
        </row>
        <row r="2201">
          <cell r="V2201">
            <v>0</v>
          </cell>
          <cell r="Z2201">
            <v>0</v>
          </cell>
        </row>
        <row r="2202">
          <cell r="V2202">
            <v>0</v>
          </cell>
          <cell r="Z2202">
            <v>0</v>
          </cell>
        </row>
        <row r="2203">
          <cell r="V2203">
            <v>0</v>
          </cell>
          <cell r="Z2203">
            <v>0</v>
          </cell>
        </row>
        <row r="2204">
          <cell r="V2204">
            <v>0</v>
          </cell>
          <cell r="Z2204">
            <v>0</v>
          </cell>
        </row>
        <row r="2205">
          <cell r="V2205">
            <v>0</v>
          </cell>
          <cell r="Z2205">
            <v>0</v>
          </cell>
        </row>
        <row r="2206">
          <cell r="V2206">
            <v>0</v>
          </cell>
          <cell r="Z2206">
            <v>0</v>
          </cell>
        </row>
        <row r="2207">
          <cell r="V2207">
            <v>0</v>
          </cell>
          <cell r="Z2207">
            <v>0</v>
          </cell>
        </row>
        <row r="2208">
          <cell r="V2208">
            <v>0</v>
          </cell>
          <cell r="Z2208">
            <v>0</v>
          </cell>
        </row>
        <row r="2209">
          <cell r="V2209">
            <v>0</v>
          </cell>
          <cell r="Z2209">
            <v>0</v>
          </cell>
        </row>
        <row r="2210">
          <cell r="V2210">
            <v>0</v>
          </cell>
          <cell r="Z2210">
            <v>0</v>
          </cell>
        </row>
        <row r="2211">
          <cell r="V2211">
            <v>0</v>
          </cell>
          <cell r="Z2211">
            <v>0</v>
          </cell>
        </row>
        <row r="2212">
          <cell r="V2212">
            <v>0</v>
          </cell>
          <cell r="Z2212">
            <v>0</v>
          </cell>
        </row>
        <row r="2213">
          <cell r="V2213">
            <v>0</v>
          </cell>
          <cell r="Z2213">
            <v>0</v>
          </cell>
        </row>
        <row r="2214">
          <cell r="V2214">
            <v>0</v>
          </cell>
          <cell r="Z2214">
            <v>0</v>
          </cell>
        </row>
        <row r="2215">
          <cell r="V2215">
            <v>0</v>
          </cell>
          <cell r="Z2215">
            <v>0</v>
          </cell>
        </row>
        <row r="2216">
          <cell r="V2216">
            <v>0</v>
          </cell>
          <cell r="Z2216">
            <v>0</v>
          </cell>
        </row>
        <row r="2217">
          <cell r="V2217">
            <v>0</v>
          </cell>
          <cell r="Z2217">
            <v>0</v>
          </cell>
        </row>
        <row r="2218">
          <cell r="V2218">
            <v>0</v>
          </cell>
          <cell r="Z2218">
            <v>0</v>
          </cell>
        </row>
        <row r="2219">
          <cell r="V2219">
            <v>0</v>
          </cell>
          <cell r="Z2219">
            <v>0</v>
          </cell>
        </row>
        <row r="2220">
          <cell r="V2220">
            <v>0</v>
          </cell>
          <cell r="Z2220">
            <v>0</v>
          </cell>
        </row>
        <row r="2221">
          <cell r="V2221">
            <v>0</v>
          </cell>
          <cell r="Z2221">
            <v>0</v>
          </cell>
        </row>
        <row r="2222">
          <cell r="V2222">
            <v>0</v>
          </cell>
          <cell r="Z2222">
            <v>0</v>
          </cell>
        </row>
        <row r="2223">
          <cell r="V2223">
            <v>0</v>
          </cell>
          <cell r="Z2223">
            <v>0</v>
          </cell>
        </row>
        <row r="2224">
          <cell r="V2224">
            <v>0</v>
          </cell>
          <cell r="Z2224">
            <v>0</v>
          </cell>
        </row>
        <row r="2225">
          <cell r="V2225">
            <v>0</v>
          </cell>
          <cell r="Z2225">
            <v>0</v>
          </cell>
        </row>
        <row r="2226">
          <cell r="V2226">
            <v>0</v>
          </cell>
          <cell r="Z2226">
            <v>0</v>
          </cell>
        </row>
        <row r="2227">
          <cell r="V2227">
            <v>0</v>
          </cell>
          <cell r="Z2227">
            <v>0</v>
          </cell>
        </row>
        <row r="2228">
          <cell r="V2228">
            <v>0</v>
          </cell>
          <cell r="Z2228">
            <v>0</v>
          </cell>
        </row>
        <row r="2229">
          <cell r="V2229">
            <v>0</v>
          </cell>
          <cell r="Z2229">
            <v>0</v>
          </cell>
        </row>
        <row r="2230">
          <cell r="V2230">
            <v>0</v>
          </cell>
          <cell r="Z2230">
            <v>0</v>
          </cell>
        </row>
        <row r="2231">
          <cell r="V2231">
            <v>0</v>
          </cell>
          <cell r="Z2231">
            <v>0</v>
          </cell>
        </row>
        <row r="2232">
          <cell r="V2232">
            <v>0</v>
          </cell>
          <cell r="Z2232">
            <v>0</v>
          </cell>
        </row>
        <row r="2233">
          <cell r="V2233">
            <v>0</v>
          </cell>
          <cell r="Z2233">
            <v>0</v>
          </cell>
        </row>
        <row r="2234">
          <cell r="V2234">
            <v>0</v>
          </cell>
          <cell r="Z2234">
            <v>0</v>
          </cell>
        </row>
        <row r="2235">
          <cell r="V2235">
            <v>0</v>
          </cell>
          <cell r="Z2235">
            <v>0</v>
          </cell>
        </row>
        <row r="2236">
          <cell r="V2236">
            <v>0</v>
          </cell>
          <cell r="Z2236">
            <v>0</v>
          </cell>
        </row>
        <row r="2237">
          <cell r="V2237">
            <v>0</v>
          </cell>
          <cell r="Z2237">
            <v>0</v>
          </cell>
        </row>
        <row r="2238">
          <cell r="V2238">
            <v>0</v>
          </cell>
          <cell r="Z2238">
            <v>0</v>
          </cell>
        </row>
        <row r="2239">
          <cell r="V2239">
            <v>0</v>
          </cell>
          <cell r="Z2239">
            <v>0</v>
          </cell>
        </row>
        <row r="2240">
          <cell r="V2240">
            <v>0</v>
          </cell>
          <cell r="Z2240">
            <v>0</v>
          </cell>
        </row>
        <row r="2241">
          <cell r="V2241">
            <v>0</v>
          </cell>
          <cell r="Z2241">
            <v>0</v>
          </cell>
        </row>
        <row r="2242">
          <cell r="V2242">
            <v>0</v>
          </cell>
          <cell r="Z2242">
            <v>0</v>
          </cell>
        </row>
        <row r="2243">
          <cell r="V2243">
            <v>0</v>
          </cell>
          <cell r="Z2243">
            <v>0</v>
          </cell>
        </row>
        <row r="2244">
          <cell r="V2244">
            <v>0</v>
          </cell>
          <cell r="Z2244">
            <v>0</v>
          </cell>
        </row>
        <row r="2245">
          <cell r="V2245">
            <v>0</v>
          </cell>
          <cell r="Z2245">
            <v>0</v>
          </cell>
        </row>
        <row r="2246">
          <cell r="V2246">
            <v>0</v>
          </cell>
          <cell r="Z2246">
            <v>0</v>
          </cell>
        </row>
        <row r="2247">
          <cell r="V2247">
            <v>0</v>
          </cell>
          <cell r="Z2247">
            <v>0</v>
          </cell>
        </row>
        <row r="2248">
          <cell r="V2248">
            <v>0</v>
          </cell>
          <cell r="Z2248">
            <v>0</v>
          </cell>
        </row>
        <row r="2249">
          <cell r="V2249">
            <v>0</v>
          </cell>
          <cell r="Z2249">
            <v>0</v>
          </cell>
        </row>
        <row r="2250">
          <cell r="V2250">
            <v>0</v>
          </cell>
          <cell r="Z2250">
            <v>0</v>
          </cell>
        </row>
        <row r="2251">
          <cell r="V2251">
            <v>0</v>
          </cell>
          <cell r="Z2251">
            <v>0</v>
          </cell>
        </row>
        <row r="2252">
          <cell r="V2252">
            <v>0</v>
          </cell>
          <cell r="Z2252">
            <v>0</v>
          </cell>
        </row>
        <row r="2253">
          <cell r="V2253">
            <v>0</v>
          </cell>
          <cell r="Z2253">
            <v>0</v>
          </cell>
        </row>
        <row r="2254">
          <cell r="V2254">
            <v>0</v>
          </cell>
          <cell r="Z2254">
            <v>0</v>
          </cell>
        </row>
        <row r="2255">
          <cell r="V2255">
            <v>0</v>
          </cell>
          <cell r="Z2255">
            <v>0</v>
          </cell>
        </row>
        <row r="2256">
          <cell r="V2256">
            <v>0</v>
          </cell>
          <cell r="Z2256">
            <v>0</v>
          </cell>
        </row>
        <row r="2257">
          <cell r="V2257">
            <v>0</v>
          </cell>
          <cell r="Z2257">
            <v>0</v>
          </cell>
        </row>
        <row r="2258">
          <cell r="V2258">
            <v>0</v>
          </cell>
          <cell r="Z2258">
            <v>0</v>
          </cell>
        </row>
        <row r="2259">
          <cell r="V2259">
            <v>0</v>
          </cell>
          <cell r="Z2259">
            <v>0</v>
          </cell>
        </row>
        <row r="2260">
          <cell r="V2260">
            <v>0</v>
          </cell>
          <cell r="Z2260">
            <v>0</v>
          </cell>
        </row>
        <row r="2261">
          <cell r="V2261">
            <v>0</v>
          </cell>
          <cell r="Z2261">
            <v>0</v>
          </cell>
        </row>
        <row r="2262">
          <cell r="V2262">
            <v>0</v>
          </cell>
          <cell r="Z2262">
            <v>0</v>
          </cell>
        </row>
        <row r="2263">
          <cell r="V2263">
            <v>0</v>
          </cell>
          <cell r="Z2263">
            <v>0</v>
          </cell>
        </row>
        <row r="2264">
          <cell r="V2264">
            <v>0</v>
          </cell>
          <cell r="Z2264">
            <v>0</v>
          </cell>
        </row>
        <row r="2265">
          <cell r="V2265">
            <v>0</v>
          </cell>
          <cell r="Z2265">
            <v>0</v>
          </cell>
        </row>
        <row r="2266">
          <cell r="V2266">
            <v>0</v>
          </cell>
          <cell r="Z2266">
            <v>0</v>
          </cell>
        </row>
        <row r="2267">
          <cell r="V2267">
            <v>0</v>
          </cell>
          <cell r="Z2267">
            <v>0</v>
          </cell>
        </row>
        <row r="2268">
          <cell r="V2268">
            <v>0</v>
          </cell>
          <cell r="Z2268">
            <v>0</v>
          </cell>
        </row>
        <row r="2269">
          <cell r="V2269">
            <v>0</v>
          </cell>
          <cell r="Z2269">
            <v>0</v>
          </cell>
        </row>
        <row r="2270">
          <cell r="V2270">
            <v>0</v>
          </cell>
          <cell r="Z2270">
            <v>0</v>
          </cell>
        </row>
        <row r="2271">
          <cell r="V2271">
            <v>0</v>
          </cell>
          <cell r="Z2271">
            <v>0</v>
          </cell>
        </row>
        <row r="2272">
          <cell r="V2272">
            <v>0</v>
          </cell>
          <cell r="Z2272">
            <v>0</v>
          </cell>
        </row>
        <row r="2273">
          <cell r="V2273">
            <v>0</v>
          </cell>
          <cell r="Z2273">
            <v>0</v>
          </cell>
        </row>
        <row r="2274">
          <cell r="V2274">
            <v>0</v>
          </cell>
          <cell r="Z2274">
            <v>0</v>
          </cell>
        </row>
        <row r="2275">
          <cell r="V2275">
            <v>0</v>
          </cell>
          <cell r="Z2275">
            <v>0</v>
          </cell>
        </row>
        <row r="2276">
          <cell r="V2276">
            <v>0</v>
          </cell>
          <cell r="Z2276">
            <v>0</v>
          </cell>
        </row>
        <row r="2277">
          <cell r="V2277">
            <v>0</v>
          </cell>
          <cell r="Z2277">
            <v>0</v>
          </cell>
        </row>
        <row r="2278">
          <cell r="V2278">
            <v>0</v>
          </cell>
          <cell r="Z2278">
            <v>0</v>
          </cell>
        </row>
        <row r="2279">
          <cell r="V2279">
            <v>0</v>
          </cell>
          <cell r="Z2279">
            <v>0</v>
          </cell>
        </row>
        <row r="2280">
          <cell r="V2280">
            <v>0</v>
          </cell>
          <cell r="Z2280">
            <v>0</v>
          </cell>
        </row>
        <row r="2281">
          <cell r="V2281">
            <v>0</v>
          </cell>
          <cell r="Z2281">
            <v>0</v>
          </cell>
        </row>
        <row r="2282">
          <cell r="V2282">
            <v>0</v>
          </cell>
          <cell r="Z2282">
            <v>0</v>
          </cell>
        </row>
        <row r="2283">
          <cell r="V2283">
            <v>0</v>
          </cell>
          <cell r="Z2283">
            <v>0</v>
          </cell>
        </row>
        <row r="2284">
          <cell r="V2284">
            <v>0</v>
          </cell>
          <cell r="Z2284">
            <v>0</v>
          </cell>
        </row>
        <row r="2285">
          <cell r="V2285">
            <v>0</v>
          </cell>
          <cell r="Z2285">
            <v>0</v>
          </cell>
        </row>
        <row r="2286">
          <cell r="V2286">
            <v>0</v>
          </cell>
          <cell r="Z2286">
            <v>0</v>
          </cell>
        </row>
        <row r="2287">
          <cell r="V2287">
            <v>0</v>
          </cell>
          <cell r="Z2287">
            <v>0</v>
          </cell>
        </row>
        <row r="2288">
          <cell r="V2288">
            <v>0</v>
          </cell>
          <cell r="Z2288">
            <v>0</v>
          </cell>
        </row>
        <row r="2289">
          <cell r="V2289">
            <v>0</v>
          </cell>
          <cell r="Z2289">
            <v>0</v>
          </cell>
        </row>
        <row r="2290">
          <cell r="V2290">
            <v>0</v>
          </cell>
          <cell r="Z2290">
            <v>0</v>
          </cell>
        </row>
        <row r="2291">
          <cell r="V2291">
            <v>0</v>
          </cell>
          <cell r="Z2291">
            <v>0</v>
          </cell>
        </row>
        <row r="2292">
          <cell r="V2292">
            <v>0</v>
          </cell>
          <cell r="Z2292">
            <v>0</v>
          </cell>
        </row>
        <row r="2293">
          <cell r="V2293">
            <v>0</v>
          </cell>
          <cell r="Z2293">
            <v>0</v>
          </cell>
        </row>
        <row r="2294">
          <cell r="V2294">
            <v>0</v>
          </cell>
          <cell r="Z2294">
            <v>0</v>
          </cell>
        </row>
        <row r="2295">
          <cell r="V2295">
            <v>0</v>
          </cell>
          <cell r="Z2295">
            <v>0</v>
          </cell>
        </row>
        <row r="2296">
          <cell r="V2296">
            <v>0</v>
          </cell>
          <cell r="Z2296">
            <v>0</v>
          </cell>
        </row>
        <row r="2297">
          <cell r="V2297">
            <v>0</v>
          </cell>
          <cell r="Z2297">
            <v>0</v>
          </cell>
        </row>
        <row r="2298">
          <cell r="V2298">
            <v>0</v>
          </cell>
          <cell r="Z2298">
            <v>0</v>
          </cell>
        </row>
        <row r="2299">
          <cell r="V2299">
            <v>0</v>
          </cell>
          <cell r="Z2299">
            <v>0</v>
          </cell>
        </row>
        <row r="2300">
          <cell r="V2300">
            <v>0</v>
          </cell>
          <cell r="Z2300">
            <v>0</v>
          </cell>
        </row>
        <row r="2301">
          <cell r="V2301">
            <v>0</v>
          </cell>
          <cell r="Z2301">
            <v>0</v>
          </cell>
        </row>
        <row r="2302">
          <cell r="V2302">
            <v>0</v>
          </cell>
          <cell r="Z2302">
            <v>0</v>
          </cell>
        </row>
        <row r="2303">
          <cell r="V2303">
            <v>0</v>
          </cell>
          <cell r="Z2303">
            <v>0</v>
          </cell>
        </row>
        <row r="2304">
          <cell r="V2304">
            <v>0</v>
          </cell>
          <cell r="Z2304">
            <v>0</v>
          </cell>
        </row>
        <row r="2305">
          <cell r="V2305">
            <v>0</v>
          </cell>
          <cell r="Z2305">
            <v>0</v>
          </cell>
        </row>
        <row r="2306">
          <cell r="V2306">
            <v>0</v>
          </cell>
          <cell r="Z2306">
            <v>0</v>
          </cell>
        </row>
        <row r="2307">
          <cell r="V2307">
            <v>0</v>
          </cell>
          <cell r="Z2307">
            <v>0</v>
          </cell>
        </row>
        <row r="2308">
          <cell r="V2308">
            <v>0</v>
          </cell>
          <cell r="Z2308">
            <v>0</v>
          </cell>
        </row>
        <row r="2309">
          <cell r="V2309">
            <v>0</v>
          </cell>
          <cell r="Z2309">
            <v>0</v>
          </cell>
        </row>
        <row r="2310">
          <cell r="V2310">
            <v>0</v>
          </cell>
          <cell r="Z2310">
            <v>0</v>
          </cell>
        </row>
        <row r="2311">
          <cell r="V2311">
            <v>0</v>
          </cell>
          <cell r="Z2311">
            <v>0</v>
          </cell>
        </row>
        <row r="2312">
          <cell r="V2312">
            <v>0</v>
          </cell>
          <cell r="Z2312">
            <v>0</v>
          </cell>
        </row>
        <row r="2313">
          <cell r="V2313">
            <v>0</v>
          </cell>
          <cell r="Z2313">
            <v>0</v>
          </cell>
        </row>
        <row r="2314">
          <cell r="V2314">
            <v>0</v>
          </cell>
          <cell r="Z2314">
            <v>0</v>
          </cell>
        </row>
        <row r="2315">
          <cell r="V2315">
            <v>0</v>
          </cell>
          <cell r="Z2315">
            <v>0</v>
          </cell>
        </row>
        <row r="2316">
          <cell r="V2316">
            <v>0</v>
          </cell>
          <cell r="Z2316">
            <v>0</v>
          </cell>
        </row>
        <row r="2317">
          <cell r="V2317">
            <v>0</v>
          </cell>
          <cell r="Z2317">
            <v>0</v>
          </cell>
        </row>
        <row r="2318">
          <cell r="V2318">
            <v>0</v>
          </cell>
          <cell r="Z2318">
            <v>0</v>
          </cell>
        </row>
        <row r="2319">
          <cell r="V2319">
            <v>0</v>
          </cell>
          <cell r="Z2319">
            <v>0</v>
          </cell>
        </row>
        <row r="2320">
          <cell r="V2320">
            <v>0</v>
          </cell>
          <cell r="Z2320">
            <v>0</v>
          </cell>
        </row>
        <row r="2321">
          <cell r="V2321">
            <v>0</v>
          </cell>
          <cell r="Z2321">
            <v>0</v>
          </cell>
        </row>
        <row r="2322">
          <cell r="V2322">
            <v>0</v>
          </cell>
          <cell r="Z2322">
            <v>0</v>
          </cell>
        </row>
        <row r="2323">
          <cell r="V2323">
            <v>0</v>
          </cell>
          <cell r="Z2323">
            <v>0</v>
          </cell>
        </row>
        <row r="2324">
          <cell r="V2324">
            <v>0</v>
          </cell>
          <cell r="Z2324">
            <v>0</v>
          </cell>
        </row>
        <row r="2325">
          <cell r="V2325">
            <v>0</v>
          </cell>
          <cell r="Z2325">
            <v>0</v>
          </cell>
        </row>
        <row r="2326">
          <cell r="V2326">
            <v>0</v>
          </cell>
          <cell r="Z2326">
            <v>0</v>
          </cell>
        </row>
        <row r="2327">
          <cell r="V2327">
            <v>0</v>
          </cell>
          <cell r="Z2327">
            <v>0</v>
          </cell>
        </row>
        <row r="2328">
          <cell r="V2328">
            <v>0</v>
          </cell>
          <cell r="Z2328">
            <v>0</v>
          </cell>
        </row>
        <row r="2329">
          <cell r="V2329">
            <v>0</v>
          </cell>
          <cell r="Z2329">
            <v>0</v>
          </cell>
        </row>
        <row r="2330">
          <cell r="V2330">
            <v>0</v>
          </cell>
          <cell r="Z2330">
            <v>0</v>
          </cell>
        </row>
        <row r="2331">
          <cell r="V2331">
            <v>0</v>
          </cell>
          <cell r="Z2331">
            <v>0</v>
          </cell>
        </row>
        <row r="2332">
          <cell r="V2332">
            <v>0</v>
          </cell>
          <cell r="Z2332">
            <v>0</v>
          </cell>
        </row>
        <row r="2333">
          <cell r="V2333">
            <v>0</v>
          </cell>
          <cell r="Z2333">
            <v>0</v>
          </cell>
        </row>
        <row r="2334">
          <cell r="V2334">
            <v>0</v>
          </cell>
          <cell r="Z2334">
            <v>0</v>
          </cell>
        </row>
        <row r="2335">
          <cell r="V2335">
            <v>0</v>
          </cell>
          <cell r="Z2335">
            <v>0</v>
          </cell>
        </row>
        <row r="2336">
          <cell r="V2336">
            <v>0</v>
          </cell>
          <cell r="Z2336">
            <v>0</v>
          </cell>
        </row>
        <row r="2337">
          <cell r="V2337">
            <v>0</v>
          </cell>
          <cell r="Z2337">
            <v>0</v>
          </cell>
        </row>
        <row r="2338">
          <cell r="V2338">
            <v>0</v>
          </cell>
          <cell r="Z2338">
            <v>0</v>
          </cell>
        </row>
        <row r="2339">
          <cell r="V2339">
            <v>0</v>
          </cell>
          <cell r="Z2339">
            <v>0</v>
          </cell>
        </row>
        <row r="2340">
          <cell r="V2340">
            <v>0</v>
          </cell>
          <cell r="Z2340">
            <v>0</v>
          </cell>
        </row>
        <row r="2341">
          <cell r="V2341">
            <v>0</v>
          </cell>
          <cell r="Z2341">
            <v>0</v>
          </cell>
        </row>
        <row r="2342">
          <cell r="V2342">
            <v>0</v>
          </cell>
          <cell r="Z2342">
            <v>0</v>
          </cell>
        </row>
        <row r="2343">
          <cell r="V2343">
            <v>0</v>
          </cell>
          <cell r="Z2343">
            <v>0</v>
          </cell>
        </row>
        <row r="2344">
          <cell r="V2344">
            <v>0</v>
          </cell>
          <cell r="Z2344">
            <v>0</v>
          </cell>
        </row>
        <row r="2345">
          <cell r="V2345">
            <v>0</v>
          </cell>
          <cell r="Z2345">
            <v>0</v>
          </cell>
        </row>
        <row r="2346">
          <cell r="V2346">
            <v>0</v>
          </cell>
          <cell r="Z2346">
            <v>0</v>
          </cell>
        </row>
        <row r="2347">
          <cell r="V2347">
            <v>0</v>
          </cell>
          <cell r="Z2347">
            <v>0</v>
          </cell>
        </row>
        <row r="2348">
          <cell r="V2348">
            <v>0</v>
          </cell>
          <cell r="Z2348">
            <v>0</v>
          </cell>
        </row>
        <row r="2349">
          <cell r="V2349">
            <v>0</v>
          </cell>
          <cell r="Z2349">
            <v>0</v>
          </cell>
        </row>
        <row r="2350">
          <cell r="V2350">
            <v>0</v>
          </cell>
          <cell r="Z2350">
            <v>0</v>
          </cell>
        </row>
        <row r="2351">
          <cell r="V2351">
            <v>0</v>
          </cell>
          <cell r="Z2351">
            <v>0</v>
          </cell>
        </row>
        <row r="2352">
          <cell r="V2352">
            <v>0</v>
          </cell>
          <cell r="Z2352">
            <v>0</v>
          </cell>
        </row>
        <row r="2353">
          <cell r="V2353">
            <v>0</v>
          </cell>
          <cell r="Z2353">
            <v>0</v>
          </cell>
        </row>
        <row r="2354">
          <cell r="V2354">
            <v>0</v>
          </cell>
          <cell r="Z2354">
            <v>0</v>
          </cell>
        </row>
        <row r="2355">
          <cell r="V2355">
            <v>0</v>
          </cell>
          <cell r="Z2355">
            <v>0</v>
          </cell>
        </row>
        <row r="2356">
          <cell r="V2356">
            <v>0</v>
          </cell>
          <cell r="Z2356">
            <v>0</v>
          </cell>
        </row>
        <row r="2357">
          <cell r="V2357">
            <v>0</v>
          </cell>
          <cell r="Z2357">
            <v>0</v>
          </cell>
        </row>
        <row r="2358">
          <cell r="V2358">
            <v>0</v>
          </cell>
          <cell r="Z2358">
            <v>0</v>
          </cell>
        </row>
        <row r="2359">
          <cell r="V2359">
            <v>0</v>
          </cell>
          <cell r="Z2359">
            <v>0</v>
          </cell>
        </row>
        <row r="2360">
          <cell r="V2360">
            <v>0</v>
          </cell>
          <cell r="Z2360">
            <v>0</v>
          </cell>
        </row>
        <row r="2361">
          <cell r="V2361">
            <v>0</v>
          </cell>
          <cell r="Z2361">
            <v>0</v>
          </cell>
        </row>
        <row r="2362">
          <cell r="V2362">
            <v>0</v>
          </cell>
          <cell r="Z2362">
            <v>0</v>
          </cell>
        </row>
        <row r="2363">
          <cell r="V2363">
            <v>0</v>
          </cell>
          <cell r="Z2363">
            <v>0</v>
          </cell>
        </row>
        <row r="2364">
          <cell r="V2364">
            <v>0</v>
          </cell>
          <cell r="Z2364">
            <v>0</v>
          </cell>
        </row>
        <row r="2365">
          <cell r="V2365">
            <v>0</v>
          </cell>
          <cell r="Z2365">
            <v>0</v>
          </cell>
        </row>
        <row r="2366">
          <cell r="V2366">
            <v>0</v>
          </cell>
          <cell r="Z2366">
            <v>0</v>
          </cell>
        </row>
        <row r="2367">
          <cell r="V2367">
            <v>0</v>
          </cell>
          <cell r="Z2367">
            <v>0</v>
          </cell>
        </row>
        <row r="2368">
          <cell r="V2368">
            <v>0</v>
          </cell>
          <cell r="Z2368">
            <v>0</v>
          </cell>
        </row>
        <row r="2369">
          <cell r="V2369">
            <v>0</v>
          </cell>
          <cell r="Z2369">
            <v>0</v>
          </cell>
        </row>
        <row r="2370">
          <cell r="V2370">
            <v>0</v>
          </cell>
          <cell r="Z2370">
            <v>0</v>
          </cell>
        </row>
        <row r="2371">
          <cell r="V2371">
            <v>0</v>
          </cell>
          <cell r="Z2371">
            <v>0</v>
          </cell>
        </row>
        <row r="2372">
          <cell r="V2372">
            <v>0</v>
          </cell>
          <cell r="Z2372">
            <v>0</v>
          </cell>
        </row>
        <row r="2373">
          <cell r="V2373">
            <v>0</v>
          </cell>
          <cell r="Z2373">
            <v>0</v>
          </cell>
        </row>
        <row r="2374">
          <cell r="V2374">
            <v>0</v>
          </cell>
          <cell r="Z2374">
            <v>0</v>
          </cell>
        </row>
        <row r="2375">
          <cell r="V2375">
            <v>0</v>
          </cell>
          <cell r="Z2375">
            <v>0</v>
          </cell>
        </row>
        <row r="2376">
          <cell r="V2376">
            <v>0</v>
          </cell>
          <cell r="Z2376">
            <v>0</v>
          </cell>
        </row>
        <row r="2377">
          <cell r="V2377">
            <v>0</v>
          </cell>
          <cell r="Z2377">
            <v>0</v>
          </cell>
        </row>
        <row r="2378">
          <cell r="V2378">
            <v>0</v>
          </cell>
          <cell r="Z2378">
            <v>0</v>
          </cell>
        </row>
        <row r="2379">
          <cell r="V2379">
            <v>0</v>
          </cell>
          <cell r="Z2379">
            <v>0</v>
          </cell>
        </row>
        <row r="2380">
          <cell r="V2380">
            <v>0</v>
          </cell>
          <cell r="Z2380">
            <v>0</v>
          </cell>
        </row>
        <row r="2381">
          <cell r="V2381">
            <v>0</v>
          </cell>
          <cell r="Z2381">
            <v>0</v>
          </cell>
        </row>
        <row r="2382">
          <cell r="V2382">
            <v>0</v>
          </cell>
          <cell r="Z2382">
            <v>0</v>
          </cell>
        </row>
        <row r="2383">
          <cell r="V2383">
            <v>0</v>
          </cell>
          <cell r="Z2383">
            <v>0</v>
          </cell>
        </row>
        <row r="2384">
          <cell r="V2384">
            <v>0</v>
          </cell>
          <cell r="Z2384">
            <v>0</v>
          </cell>
        </row>
        <row r="2385">
          <cell r="V2385">
            <v>0</v>
          </cell>
          <cell r="Z2385">
            <v>0</v>
          </cell>
        </row>
        <row r="2386">
          <cell r="V2386">
            <v>0</v>
          </cell>
          <cell r="Z2386">
            <v>0</v>
          </cell>
        </row>
        <row r="2387">
          <cell r="V2387">
            <v>0</v>
          </cell>
          <cell r="Z2387">
            <v>0</v>
          </cell>
        </row>
        <row r="2388">
          <cell r="V2388">
            <v>0</v>
          </cell>
          <cell r="Z2388">
            <v>0</v>
          </cell>
        </row>
        <row r="2389">
          <cell r="V2389">
            <v>0</v>
          </cell>
          <cell r="Z2389">
            <v>0</v>
          </cell>
        </row>
        <row r="2390">
          <cell r="V2390">
            <v>0</v>
          </cell>
          <cell r="Z2390">
            <v>0</v>
          </cell>
        </row>
        <row r="2391">
          <cell r="V2391">
            <v>0</v>
          </cell>
          <cell r="Z2391">
            <v>0</v>
          </cell>
        </row>
        <row r="2392">
          <cell r="V2392">
            <v>0</v>
          </cell>
          <cell r="Z2392">
            <v>0</v>
          </cell>
        </row>
        <row r="2393">
          <cell r="V2393">
            <v>0</v>
          </cell>
          <cell r="Z2393">
            <v>0</v>
          </cell>
        </row>
        <row r="2394">
          <cell r="V2394">
            <v>0</v>
          </cell>
          <cell r="Z2394">
            <v>0</v>
          </cell>
        </row>
        <row r="2395">
          <cell r="V2395">
            <v>0</v>
          </cell>
          <cell r="Z2395">
            <v>0</v>
          </cell>
        </row>
        <row r="2396">
          <cell r="V2396">
            <v>0</v>
          </cell>
          <cell r="Z2396">
            <v>0</v>
          </cell>
        </row>
        <row r="2397">
          <cell r="V2397">
            <v>0</v>
          </cell>
          <cell r="Z2397">
            <v>0</v>
          </cell>
        </row>
        <row r="2398">
          <cell r="V2398">
            <v>0</v>
          </cell>
          <cell r="Z2398">
            <v>0</v>
          </cell>
        </row>
        <row r="2399">
          <cell r="V2399">
            <v>0</v>
          </cell>
          <cell r="Z2399">
            <v>0</v>
          </cell>
        </row>
        <row r="2400">
          <cell r="V2400">
            <v>0</v>
          </cell>
          <cell r="Z2400">
            <v>0</v>
          </cell>
        </row>
        <row r="2401">
          <cell r="V2401">
            <v>0</v>
          </cell>
          <cell r="Z2401">
            <v>0</v>
          </cell>
        </row>
        <row r="2402">
          <cell r="V2402">
            <v>0</v>
          </cell>
          <cell r="Z2402">
            <v>0</v>
          </cell>
        </row>
        <row r="2403">
          <cell r="V2403">
            <v>0</v>
          </cell>
          <cell r="Z2403">
            <v>0</v>
          </cell>
        </row>
        <row r="2404">
          <cell r="V2404">
            <v>0</v>
          </cell>
          <cell r="Z2404">
            <v>0</v>
          </cell>
        </row>
        <row r="2405">
          <cell r="V2405">
            <v>0</v>
          </cell>
          <cell r="Z2405">
            <v>0</v>
          </cell>
        </row>
        <row r="2406">
          <cell r="V2406">
            <v>0</v>
          </cell>
          <cell r="Z2406">
            <v>0</v>
          </cell>
        </row>
        <row r="2407">
          <cell r="V2407">
            <v>0</v>
          </cell>
          <cell r="Z2407">
            <v>0</v>
          </cell>
        </row>
        <row r="2408">
          <cell r="V2408">
            <v>0</v>
          </cell>
          <cell r="Z2408">
            <v>0</v>
          </cell>
        </row>
        <row r="2409">
          <cell r="V2409">
            <v>0</v>
          </cell>
          <cell r="Z2409">
            <v>0</v>
          </cell>
        </row>
        <row r="2410">
          <cell r="V2410">
            <v>0</v>
          </cell>
          <cell r="Z2410">
            <v>0</v>
          </cell>
        </row>
        <row r="2411">
          <cell r="V2411">
            <v>0</v>
          </cell>
          <cell r="Z2411">
            <v>0</v>
          </cell>
        </row>
        <row r="2412">
          <cell r="V2412">
            <v>0</v>
          </cell>
          <cell r="Z2412">
            <v>0</v>
          </cell>
        </row>
        <row r="2413">
          <cell r="V2413">
            <v>0</v>
          </cell>
          <cell r="Z2413">
            <v>0</v>
          </cell>
        </row>
        <row r="2414">
          <cell r="V2414">
            <v>0</v>
          </cell>
          <cell r="Z2414">
            <v>0</v>
          </cell>
        </row>
        <row r="2415">
          <cell r="V2415">
            <v>0</v>
          </cell>
          <cell r="Z2415">
            <v>0</v>
          </cell>
        </row>
        <row r="2416">
          <cell r="V2416">
            <v>0</v>
          </cell>
          <cell r="Z2416">
            <v>0</v>
          </cell>
        </row>
        <row r="2417">
          <cell r="V2417">
            <v>0</v>
          </cell>
          <cell r="Z2417">
            <v>0</v>
          </cell>
        </row>
        <row r="2418">
          <cell r="V2418">
            <v>0</v>
          </cell>
          <cell r="Z2418">
            <v>0</v>
          </cell>
        </row>
        <row r="2419">
          <cell r="V2419">
            <v>0</v>
          </cell>
          <cell r="Z2419">
            <v>0</v>
          </cell>
        </row>
        <row r="2420">
          <cell r="V2420">
            <v>0</v>
          </cell>
          <cell r="Z2420">
            <v>0</v>
          </cell>
        </row>
        <row r="2421">
          <cell r="V2421">
            <v>0</v>
          </cell>
          <cell r="Z2421">
            <v>0</v>
          </cell>
        </row>
        <row r="2422">
          <cell r="V2422">
            <v>0</v>
          </cell>
          <cell r="Z2422">
            <v>0</v>
          </cell>
        </row>
        <row r="2423">
          <cell r="V2423">
            <v>0</v>
          </cell>
          <cell r="Z2423">
            <v>0</v>
          </cell>
        </row>
        <row r="2424">
          <cell r="V2424">
            <v>0</v>
          </cell>
          <cell r="Z2424">
            <v>0</v>
          </cell>
        </row>
        <row r="2425">
          <cell r="V2425">
            <v>0</v>
          </cell>
          <cell r="Z2425">
            <v>0</v>
          </cell>
        </row>
        <row r="2426">
          <cell r="V2426">
            <v>0</v>
          </cell>
          <cell r="Z2426">
            <v>0</v>
          </cell>
        </row>
        <row r="2427">
          <cell r="V2427">
            <v>0</v>
          </cell>
          <cell r="Z2427">
            <v>0</v>
          </cell>
        </row>
        <row r="2428">
          <cell r="V2428">
            <v>0</v>
          </cell>
          <cell r="Z2428">
            <v>0</v>
          </cell>
        </row>
        <row r="2429">
          <cell r="V2429">
            <v>0</v>
          </cell>
          <cell r="Z2429">
            <v>0</v>
          </cell>
        </row>
        <row r="2430">
          <cell r="V2430">
            <v>0</v>
          </cell>
          <cell r="Z2430">
            <v>0</v>
          </cell>
        </row>
        <row r="2431">
          <cell r="V2431">
            <v>0</v>
          </cell>
          <cell r="Z2431">
            <v>0</v>
          </cell>
        </row>
        <row r="2432">
          <cell r="V2432">
            <v>0</v>
          </cell>
          <cell r="Z2432">
            <v>0</v>
          </cell>
        </row>
        <row r="2433">
          <cell r="V2433">
            <v>0</v>
          </cell>
          <cell r="Z2433">
            <v>0</v>
          </cell>
        </row>
        <row r="2434">
          <cell r="V2434">
            <v>0</v>
          </cell>
          <cell r="Z2434">
            <v>0</v>
          </cell>
        </row>
        <row r="2435">
          <cell r="V2435">
            <v>0</v>
          </cell>
          <cell r="Z2435">
            <v>0</v>
          </cell>
        </row>
        <row r="2436">
          <cell r="V2436">
            <v>0</v>
          </cell>
          <cell r="Z2436">
            <v>0</v>
          </cell>
        </row>
        <row r="2437">
          <cell r="V2437">
            <v>0</v>
          </cell>
          <cell r="Z2437">
            <v>0</v>
          </cell>
        </row>
        <row r="2438">
          <cell r="V2438">
            <v>0</v>
          </cell>
          <cell r="Z2438">
            <v>0</v>
          </cell>
        </row>
        <row r="2439">
          <cell r="V2439">
            <v>0</v>
          </cell>
          <cell r="Z2439">
            <v>0</v>
          </cell>
        </row>
        <row r="2440">
          <cell r="V2440">
            <v>0</v>
          </cell>
          <cell r="Z2440">
            <v>0</v>
          </cell>
        </row>
        <row r="2441">
          <cell r="V2441">
            <v>0</v>
          </cell>
          <cell r="Z2441">
            <v>0</v>
          </cell>
        </row>
        <row r="2442">
          <cell r="V2442">
            <v>0</v>
          </cell>
          <cell r="Z2442">
            <v>0</v>
          </cell>
        </row>
        <row r="2443">
          <cell r="V2443">
            <v>0</v>
          </cell>
          <cell r="Z2443">
            <v>0</v>
          </cell>
        </row>
        <row r="2444">
          <cell r="V2444">
            <v>0</v>
          </cell>
          <cell r="Z2444">
            <v>0</v>
          </cell>
        </row>
        <row r="2445">
          <cell r="V2445">
            <v>0</v>
          </cell>
          <cell r="Z2445">
            <v>0</v>
          </cell>
        </row>
        <row r="2446">
          <cell r="V2446">
            <v>0</v>
          </cell>
          <cell r="Z2446">
            <v>0</v>
          </cell>
        </row>
        <row r="2447">
          <cell r="V2447">
            <v>0</v>
          </cell>
          <cell r="Z2447">
            <v>0</v>
          </cell>
        </row>
        <row r="2448">
          <cell r="V2448">
            <v>0</v>
          </cell>
          <cell r="Z2448">
            <v>0</v>
          </cell>
        </row>
        <row r="2449">
          <cell r="V2449">
            <v>0</v>
          </cell>
          <cell r="Z2449">
            <v>0</v>
          </cell>
        </row>
        <row r="2450">
          <cell r="V2450">
            <v>0</v>
          </cell>
          <cell r="Z2450">
            <v>0</v>
          </cell>
        </row>
        <row r="2451">
          <cell r="V2451">
            <v>0</v>
          </cell>
          <cell r="Z2451">
            <v>0</v>
          </cell>
        </row>
        <row r="2452">
          <cell r="V2452">
            <v>0</v>
          </cell>
          <cell r="Z2452">
            <v>0</v>
          </cell>
        </row>
        <row r="2453">
          <cell r="V2453">
            <v>0</v>
          </cell>
          <cell r="Z2453">
            <v>0</v>
          </cell>
        </row>
        <row r="2454">
          <cell r="V2454">
            <v>0</v>
          </cell>
          <cell r="Z2454">
            <v>0</v>
          </cell>
        </row>
        <row r="2455">
          <cell r="V2455">
            <v>0</v>
          </cell>
          <cell r="Z2455">
            <v>0</v>
          </cell>
        </row>
        <row r="2456">
          <cell r="V2456">
            <v>0</v>
          </cell>
          <cell r="Z2456">
            <v>0</v>
          </cell>
        </row>
        <row r="2457">
          <cell r="V2457">
            <v>0</v>
          </cell>
          <cell r="Z2457">
            <v>0</v>
          </cell>
        </row>
        <row r="2458">
          <cell r="V2458">
            <v>0</v>
          </cell>
          <cell r="Z2458">
            <v>0</v>
          </cell>
        </row>
        <row r="2459">
          <cell r="V2459">
            <v>0</v>
          </cell>
          <cell r="Z2459">
            <v>0</v>
          </cell>
        </row>
        <row r="2460">
          <cell r="V2460">
            <v>0</v>
          </cell>
          <cell r="Z2460">
            <v>0</v>
          </cell>
        </row>
        <row r="2461">
          <cell r="V2461">
            <v>0</v>
          </cell>
          <cell r="Z2461">
            <v>0</v>
          </cell>
        </row>
        <row r="2462">
          <cell r="V2462">
            <v>0</v>
          </cell>
          <cell r="Z2462">
            <v>0</v>
          </cell>
        </row>
        <row r="2463">
          <cell r="V2463">
            <v>0</v>
          </cell>
          <cell r="Z2463">
            <v>0</v>
          </cell>
        </row>
        <row r="2464">
          <cell r="V2464">
            <v>0</v>
          </cell>
          <cell r="Z2464">
            <v>0</v>
          </cell>
        </row>
        <row r="2465">
          <cell r="V2465">
            <v>0</v>
          </cell>
          <cell r="Z2465">
            <v>0</v>
          </cell>
        </row>
        <row r="2466">
          <cell r="V2466">
            <v>0</v>
          </cell>
          <cell r="Z2466">
            <v>0</v>
          </cell>
        </row>
        <row r="2467">
          <cell r="V2467">
            <v>0</v>
          </cell>
          <cell r="Z2467">
            <v>0</v>
          </cell>
        </row>
        <row r="2468">
          <cell r="V2468">
            <v>0</v>
          </cell>
          <cell r="Z2468">
            <v>0</v>
          </cell>
        </row>
        <row r="2469">
          <cell r="V2469">
            <v>0</v>
          </cell>
          <cell r="Z2469">
            <v>0</v>
          </cell>
        </row>
        <row r="2470">
          <cell r="V2470">
            <v>0</v>
          </cell>
          <cell r="Z2470">
            <v>0</v>
          </cell>
        </row>
        <row r="2471">
          <cell r="V2471">
            <v>0</v>
          </cell>
          <cell r="Z2471">
            <v>0</v>
          </cell>
        </row>
        <row r="2472">
          <cell r="V2472">
            <v>0</v>
          </cell>
          <cell r="Z2472">
            <v>0</v>
          </cell>
        </row>
        <row r="2473">
          <cell r="V2473">
            <v>0</v>
          </cell>
          <cell r="Z2473">
            <v>0</v>
          </cell>
        </row>
        <row r="2474">
          <cell r="V2474">
            <v>0</v>
          </cell>
          <cell r="Z2474">
            <v>0</v>
          </cell>
        </row>
        <row r="2475">
          <cell r="V2475">
            <v>0</v>
          </cell>
          <cell r="Z2475">
            <v>0</v>
          </cell>
        </row>
        <row r="2476">
          <cell r="V2476">
            <v>0</v>
          </cell>
          <cell r="Z2476">
            <v>0</v>
          </cell>
        </row>
        <row r="2477">
          <cell r="V2477">
            <v>0</v>
          </cell>
          <cell r="Z2477">
            <v>0</v>
          </cell>
        </row>
        <row r="2478">
          <cell r="V2478">
            <v>0</v>
          </cell>
          <cell r="Z2478">
            <v>0</v>
          </cell>
        </row>
        <row r="2479">
          <cell r="V2479">
            <v>0</v>
          </cell>
          <cell r="Z2479">
            <v>0</v>
          </cell>
        </row>
        <row r="2480">
          <cell r="V2480">
            <v>0</v>
          </cell>
          <cell r="Z2480">
            <v>0</v>
          </cell>
        </row>
        <row r="2481">
          <cell r="V2481">
            <v>0</v>
          </cell>
          <cell r="Z2481">
            <v>0</v>
          </cell>
        </row>
        <row r="2482">
          <cell r="V2482">
            <v>0</v>
          </cell>
          <cell r="Z2482">
            <v>0</v>
          </cell>
        </row>
        <row r="2483">
          <cell r="V2483">
            <v>0</v>
          </cell>
          <cell r="Z2483">
            <v>0</v>
          </cell>
        </row>
        <row r="2484">
          <cell r="V2484">
            <v>0</v>
          </cell>
          <cell r="Z2484">
            <v>0</v>
          </cell>
        </row>
        <row r="2485">
          <cell r="V2485">
            <v>0</v>
          </cell>
          <cell r="Z2485">
            <v>0</v>
          </cell>
        </row>
        <row r="2486">
          <cell r="V2486">
            <v>0</v>
          </cell>
          <cell r="Z2486">
            <v>0</v>
          </cell>
        </row>
        <row r="2487">
          <cell r="V2487">
            <v>0</v>
          </cell>
          <cell r="Z2487">
            <v>0</v>
          </cell>
        </row>
        <row r="2488">
          <cell r="V2488">
            <v>0</v>
          </cell>
          <cell r="Z2488">
            <v>0</v>
          </cell>
        </row>
        <row r="2489">
          <cell r="V2489">
            <v>0</v>
          </cell>
          <cell r="Z2489">
            <v>0</v>
          </cell>
        </row>
        <row r="2490">
          <cell r="V2490">
            <v>0</v>
          </cell>
          <cell r="Z2490">
            <v>0</v>
          </cell>
        </row>
        <row r="2491">
          <cell r="V2491">
            <v>0</v>
          </cell>
          <cell r="Z2491">
            <v>0</v>
          </cell>
        </row>
        <row r="2492">
          <cell r="V2492">
            <v>0</v>
          </cell>
          <cell r="Z2492">
            <v>0</v>
          </cell>
        </row>
        <row r="2493">
          <cell r="V2493">
            <v>0</v>
          </cell>
          <cell r="Z2493">
            <v>0</v>
          </cell>
        </row>
        <row r="2494">
          <cell r="V2494">
            <v>0</v>
          </cell>
          <cell r="Z2494">
            <v>0</v>
          </cell>
        </row>
        <row r="2495">
          <cell r="V2495">
            <v>0</v>
          </cell>
          <cell r="Z2495">
            <v>0</v>
          </cell>
        </row>
        <row r="2496">
          <cell r="V2496">
            <v>0</v>
          </cell>
          <cell r="Z2496">
            <v>0</v>
          </cell>
        </row>
        <row r="2497">
          <cell r="V2497">
            <v>0</v>
          </cell>
          <cell r="Z2497">
            <v>0</v>
          </cell>
        </row>
        <row r="2498">
          <cell r="V2498">
            <v>0</v>
          </cell>
          <cell r="Z2498">
            <v>0</v>
          </cell>
        </row>
        <row r="2499">
          <cell r="V2499">
            <v>0</v>
          </cell>
          <cell r="Z2499">
            <v>0</v>
          </cell>
        </row>
        <row r="2500">
          <cell r="V2500">
            <v>0</v>
          </cell>
          <cell r="Z2500">
            <v>0</v>
          </cell>
        </row>
        <row r="2501">
          <cell r="V2501">
            <v>0</v>
          </cell>
          <cell r="Z2501">
            <v>0</v>
          </cell>
        </row>
        <row r="2502">
          <cell r="V2502">
            <v>0</v>
          </cell>
          <cell r="Z2502">
            <v>0</v>
          </cell>
        </row>
        <row r="2503">
          <cell r="V2503">
            <v>0</v>
          </cell>
          <cell r="Z2503">
            <v>0</v>
          </cell>
        </row>
        <row r="2504">
          <cell r="V2504">
            <v>0</v>
          </cell>
          <cell r="Z2504">
            <v>0</v>
          </cell>
        </row>
        <row r="2505">
          <cell r="V2505">
            <v>0</v>
          </cell>
          <cell r="Z2505">
            <v>0</v>
          </cell>
        </row>
        <row r="2506">
          <cell r="V2506">
            <v>0</v>
          </cell>
          <cell r="Z2506">
            <v>0</v>
          </cell>
        </row>
        <row r="2507">
          <cell r="V2507">
            <v>0</v>
          </cell>
          <cell r="Z2507">
            <v>0</v>
          </cell>
        </row>
        <row r="2508">
          <cell r="V2508">
            <v>0</v>
          </cell>
          <cell r="Z2508">
            <v>0</v>
          </cell>
        </row>
        <row r="2509">
          <cell r="V2509">
            <v>0</v>
          </cell>
          <cell r="Z2509">
            <v>0</v>
          </cell>
        </row>
        <row r="2510">
          <cell r="V2510">
            <v>0</v>
          </cell>
          <cell r="Z2510">
            <v>0</v>
          </cell>
        </row>
        <row r="2511">
          <cell r="V2511">
            <v>0</v>
          </cell>
          <cell r="Z2511">
            <v>0</v>
          </cell>
        </row>
        <row r="2512">
          <cell r="V2512">
            <v>0</v>
          </cell>
          <cell r="Z2512">
            <v>0</v>
          </cell>
        </row>
        <row r="2513">
          <cell r="V2513">
            <v>0</v>
          </cell>
          <cell r="Z2513">
            <v>0</v>
          </cell>
        </row>
        <row r="2514">
          <cell r="V2514">
            <v>0</v>
          </cell>
          <cell r="Z2514">
            <v>0</v>
          </cell>
        </row>
        <row r="2515">
          <cell r="V2515">
            <v>0</v>
          </cell>
          <cell r="Z2515">
            <v>0</v>
          </cell>
        </row>
        <row r="2516">
          <cell r="V2516">
            <v>0</v>
          </cell>
          <cell r="Z2516">
            <v>0</v>
          </cell>
        </row>
        <row r="2517">
          <cell r="V2517">
            <v>0</v>
          </cell>
          <cell r="Z2517">
            <v>0</v>
          </cell>
        </row>
        <row r="2518">
          <cell r="V2518">
            <v>0</v>
          </cell>
          <cell r="Z2518">
            <v>0</v>
          </cell>
        </row>
        <row r="2519">
          <cell r="V2519">
            <v>0</v>
          </cell>
          <cell r="Z2519">
            <v>0</v>
          </cell>
        </row>
        <row r="2520">
          <cell r="V2520">
            <v>0</v>
          </cell>
          <cell r="Z2520">
            <v>0</v>
          </cell>
        </row>
        <row r="2521">
          <cell r="V2521">
            <v>0</v>
          </cell>
          <cell r="Z2521">
            <v>0</v>
          </cell>
        </row>
        <row r="2522">
          <cell r="V2522">
            <v>0</v>
          </cell>
          <cell r="Z2522">
            <v>0</v>
          </cell>
        </row>
        <row r="2523">
          <cell r="V2523">
            <v>0</v>
          </cell>
          <cell r="Z2523">
            <v>0</v>
          </cell>
        </row>
        <row r="2524">
          <cell r="V2524">
            <v>0</v>
          </cell>
          <cell r="Z2524">
            <v>0</v>
          </cell>
        </row>
        <row r="2525">
          <cell r="V2525">
            <v>0</v>
          </cell>
          <cell r="Z2525">
            <v>0</v>
          </cell>
        </row>
        <row r="2526">
          <cell r="V2526">
            <v>0</v>
          </cell>
          <cell r="Z2526">
            <v>0</v>
          </cell>
        </row>
        <row r="2527">
          <cell r="V2527">
            <v>0</v>
          </cell>
          <cell r="Z2527">
            <v>0</v>
          </cell>
        </row>
        <row r="2528">
          <cell r="V2528">
            <v>0</v>
          </cell>
          <cell r="Z2528">
            <v>0</v>
          </cell>
        </row>
        <row r="2529">
          <cell r="V2529">
            <v>0</v>
          </cell>
          <cell r="Z2529">
            <v>0</v>
          </cell>
        </row>
        <row r="2530">
          <cell r="V2530">
            <v>0</v>
          </cell>
          <cell r="Z2530">
            <v>0</v>
          </cell>
        </row>
        <row r="2531">
          <cell r="V2531">
            <v>0</v>
          </cell>
          <cell r="Z2531">
            <v>0</v>
          </cell>
        </row>
        <row r="2532">
          <cell r="V2532">
            <v>0</v>
          </cell>
          <cell r="Z2532">
            <v>0</v>
          </cell>
        </row>
        <row r="2533">
          <cell r="V2533">
            <v>0</v>
          </cell>
          <cell r="Z2533">
            <v>0</v>
          </cell>
        </row>
        <row r="2534">
          <cell r="V2534">
            <v>0</v>
          </cell>
          <cell r="Z2534">
            <v>0</v>
          </cell>
        </row>
        <row r="2535">
          <cell r="V2535">
            <v>0</v>
          </cell>
          <cell r="Z2535">
            <v>0</v>
          </cell>
        </row>
        <row r="2536">
          <cell r="V2536">
            <v>0</v>
          </cell>
          <cell r="Z2536">
            <v>0</v>
          </cell>
        </row>
        <row r="2537">
          <cell r="V2537">
            <v>0</v>
          </cell>
          <cell r="Z2537">
            <v>0</v>
          </cell>
        </row>
        <row r="2538">
          <cell r="V2538">
            <v>0</v>
          </cell>
          <cell r="Z2538">
            <v>0</v>
          </cell>
        </row>
        <row r="2539">
          <cell r="V2539">
            <v>0</v>
          </cell>
          <cell r="Z2539">
            <v>0</v>
          </cell>
        </row>
        <row r="2540">
          <cell r="V2540">
            <v>0</v>
          </cell>
          <cell r="Z2540">
            <v>0</v>
          </cell>
        </row>
        <row r="2541">
          <cell r="V2541">
            <v>0</v>
          </cell>
          <cell r="Z2541">
            <v>0</v>
          </cell>
        </row>
        <row r="2542">
          <cell r="V2542">
            <v>0</v>
          </cell>
          <cell r="Z2542">
            <v>0</v>
          </cell>
        </row>
        <row r="2543">
          <cell r="V2543">
            <v>0</v>
          </cell>
          <cell r="Z2543">
            <v>0</v>
          </cell>
        </row>
        <row r="2544">
          <cell r="V2544">
            <v>0</v>
          </cell>
          <cell r="Z2544">
            <v>0</v>
          </cell>
        </row>
        <row r="2545">
          <cell r="V2545">
            <v>0</v>
          </cell>
          <cell r="Z2545">
            <v>0</v>
          </cell>
        </row>
        <row r="2546">
          <cell r="V2546">
            <v>0</v>
          </cell>
          <cell r="Z2546">
            <v>0</v>
          </cell>
        </row>
        <row r="2547">
          <cell r="V2547">
            <v>0</v>
          </cell>
          <cell r="Z2547">
            <v>0</v>
          </cell>
        </row>
        <row r="2548">
          <cell r="V2548">
            <v>0</v>
          </cell>
          <cell r="Z2548">
            <v>0</v>
          </cell>
        </row>
        <row r="2549">
          <cell r="V2549">
            <v>0</v>
          </cell>
          <cell r="Z2549">
            <v>0</v>
          </cell>
        </row>
        <row r="2550">
          <cell r="V2550">
            <v>0</v>
          </cell>
          <cell r="Z2550">
            <v>0</v>
          </cell>
        </row>
        <row r="2551">
          <cell r="V2551">
            <v>0</v>
          </cell>
          <cell r="Z2551">
            <v>0</v>
          </cell>
        </row>
        <row r="2552">
          <cell r="V2552">
            <v>0</v>
          </cell>
          <cell r="Z2552">
            <v>0</v>
          </cell>
        </row>
        <row r="2553">
          <cell r="V2553">
            <v>0</v>
          </cell>
          <cell r="Z2553">
            <v>0</v>
          </cell>
        </row>
        <row r="2554">
          <cell r="V2554">
            <v>0</v>
          </cell>
          <cell r="Z2554">
            <v>0</v>
          </cell>
        </row>
        <row r="2555">
          <cell r="V2555">
            <v>0</v>
          </cell>
          <cell r="Z2555">
            <v>0</v>
          </cell>
        </row>
        <row r="2556">
          <cell r="V2556">
            <v>0</v>
          </cell>
          <cell r="Z2556">
            <v>0</v>
          </cell>
        </row>
        <row r="2557">
          <cell r="V2557">
            <v>0</v>
          </cell>
          <cell r="Z2557">
            <v>0</v>
          </cell>
        </row>
        <row r="2558">
          <cell r="V2558">
            <v>0</v>
          </cell>
          <cell r="Z2558">
            <v>0</v>
          </cell>
        </row>
        <row r="2559">
          <cell r="V2559">
            <v>0</v>
          </cell>
          <cell r="Z2559">
            <v>0</v>
          </cell>
        </row>
        <row r="2560">
          <cell r="V2560">
            <v>0</v>
          </cell>
          <cell r="Z2560">
            <v>0</v>
          </cell>
        </row>
        <row r="2561">
          <cell r="V2561">
            <v>0</v>
          </cell>
          <cell r="Z2561">
            <v>0</v>
          </cell>
        </row>
        <row r="2562">
          <cell r="V2562">
            <v>0</v>
          </cell>
          <cell r="Z2562">
            <v>0</v>
          </cell>
        </row>
        <row r="2563">
          <cell r="V2563">
            <v>0</v>
          </cell>
          <cell r="Z2563">
            <v>0</v>
          </cell>
        </row>
        <row r="2564">
          <cell r="V2564">
            <v>0</v>
          </cell>
          <cell r="Z2564">
            <v>0</v>
          </cell>
        </row>
        <row r="2565">
          <cell r="V2565">
            <v>0</v>
          </cell>
          <cell r="Z2565">
            <v>0</v>
          </cell>
        </row>
        <row r="2566">
          <cell r="V2566">
            <v>0</v>
          </cell>
          <cell r="Z2566">
            <v>0</v>
          </cell>
        </row>
        <row r="2567">
          <cell r="V2567">
            <v>0</v>
          </cell>
          <cell r="Z2567">
            <v>0</v>
          </cell>
        </row>
        <row r="2568">
          <cell r="V2568">
            <v>0</v>
          </cell>
          <cell r="Z2568">
            <v>0</v>
          </cell>
        </row>
        <row r="2569">
          <cell r="V2569">
            <v>0</v>
          </cell>
          <cell r="Z2569">
            <v>0</v>
          </cell>
        </row>
        <row r="2570">
          <cell r="V2570">
            <v>0</v>
          </cell>
          <cell r="Z2570">
            <v>0</v>
          </cell>
        </row>
        <row r="2571">
          <cell r="V2571">
            <v>0</v>
          </cell>
          <cell r="Z2571">
            <v>0</v>
          </cell>
        </row>
        <row r="2572">
          <cell r="V2572">
            <v>0</v>
          </cell>
          <cell r="Z2572">
            <v>0</v>
          </cell>
        </row>
        <row r="2573">
          <cell r="V2573">
            <v>0</v>
          </cell>
          <cell r="Z2573">
            <v>0</v>
          </cell>
        </row>
        <row r="2574">
          <cell r="V2574">
            <v>0</v>
          </cell>
          <cell r="Z2574">
            <v>0</v>
          </cell>
        </row>
        <row r="2575">
          <cell r="V2575">
            <v>0</v>
          </cell>
          <cell r="Z2575">
            <v>0</v>
          </cell>
        </row>
        <row r="2576">
          <cell r="V2576">
            <v>0</v>
          </cell>
          <cell r="Z2576">
            <v>0</v>
          </cell>
        </row>
        <row r="2577">
          <cell r="V2577">
            <v>0</v>
          </cell>
          <cell r="Z2577">
            <v>0</v>
          </cell>
        </row>
        <row r="2578">
          <cell r="V2578">
            <v>0</v>
          </cell>
          <cell r="Z2578">
            <v>0</v>
          </cell>
        </row>
        <row r="2579">
          <cell r="V2579">
            <v>0</v>
          </cell>
          <cell r="Z2579">
            <v>0</v>
          </cell>
        </row>
        <row r="2580">
          <cell r="V2580">
            <v>0</v>
          </cell>
          <cell r="Z2580">
            <v>0</v>
          </cell>
        </row>
        <row r="2581">
          <cell r="V2581">
            <v>0</v>
          </cell>
          <cell r="Z2581">
            <v>0</v>
          </cell>
        </row>
        <row r="2582">
          <cell r="V2582">
            <v>0</v>
          </cell>
          <cell r="Z2582">
            <v>0</v>
          </cell>
        </row>
        <row r="2583">
          <cell r="V2583">
            <v>0</v>
          </cell>
          <cell r="Z2583">
            <v>0</v>
          </cell>
        </row>
        <row r="2584">
          <cell r="V2584">
            <v>0</v>
          </cell>
          <cell r="Z2584">
            <v>0</v>
          </cell>
        </row>
        <row r="2585">
          <cell r="V2585">
            <v>0</v>
          </cell>
          <cell r="Z2585">
            <v>0</v>
          </cell>
        </row>
        <row r="2586">
          <cell r="V2586">
            <v>0</v>
          </cell>
          <cell r="Z2586">
            <v>0</v>
          </cell>
        </row>
        <row r="2587">
          <cell r="V2587">
            <v>0</v>
          </cell>
          <cell r="Z2587">
            <v>0</v>
          </cell>
        </row>
        <row r="2588">
          <cell r="V2588">
            <v>0</v>
          </cell>
          <cell r="Z2588">
            <v>0</v>
          </cell>
        </row>
        <row r="2589">
          <cell r="V2589">
            <v>0</v>
          </cell>
          <cell r="Z2589">
            <v>0</v>
          </cell>
        </row>
        <row r="2590">
          <cell r="V2590">
            <v>0</v>
          </cell>
          <cell r="Z2590">
            <v>0</v>
          </cell>
        </row>
        <row r="2591">
          <cell r="V2591">
            <v>0</v>
          </cell>
          <cell r="Z2591">
            <v>0</v>
          </cell>
        </row>
        <row r="2592">
          <cell r="V2592">
            <v>0</v>
          </cell>
          <cell r="Z2592">
            <v>0</v>
          </cell>
        </row>
        <row r="2593">
          <cell r="V2593">
            <v>0</v>
          </cell>
          <cell r="Z2593">
            <v>0</v>
          </cell>
        </row>
        <row r="2594">
          <cell r="V2594">
            <v>0</v>
          </cell>
          <cell r="Z2594">
            <v>0</v>
          </cell>
        </row>
        <row r="2595">
          <cell r="V2595">
            <v>0</v>
          </cell>
          <cell r="Z2595">
            <v>0</v>
          </cell>
        </row>
        <row r="2596">
          <cell r="V2596">
            <v>0</v>
          </cell>
          <cell r="Z2596">
            <v>0</v>
          </cell>
        </row>
        <row r="2597">
          <cell r="V2597">
            <v>0</v>
          </cell>
          <cell r="Z2597">
            <v>0</v>
          </cell>
        </row>
        <row r="2598">
          <cell r="V2598">
            <v>0</v>
          </cell>
          <cell r="Z2598">
            <v>0</v>
          </cell>
        </row>
        <row r="2599">
          <cell r="V2599">
            <v>0</v>
          </cell>
          <cell r="Z2599">
            <v>0</v>
          </cell>
        </row>
        <row r="2600">
          <cell r="V2600">
            <v>0</v>
          </cell>
          <cell r="Z2600">
            <v>0</v>
          </cell>
        </row>
        <row r="2601">
          <cell r="V2601">
            <v>0</v>
          </cell>
          <cell r="Z2601">
            <v>0</v>
          </cell>
        </row>
        <row r="2602">
          <cell r="V2602">
            <v>0</v>
          </cell>
          <cell r="Z2602">
            <v>0</v>
          </cell>
        </row>
        <row r="2603">
          <cell r="V2603">
            <v>0</v>
          </cell>
          <cell r="Z2603">
            <v>0</v>
          </cell>
        </row>
        <row r="2604">
          <cell r="V2604">
            <v>0</v>
          </cell>
          <cell r="Z2604">
            <v>0</v>
          </cell>
        </row>
        <row r="2605">
          <cell r="V2605">
            <v>0</v>
          </cell>
          <cell r="Z2605">
            <v>0</v>
          </cell>
        </row>
        <row r="2606">
          <cell r="V2606">
            <v>0</v>
          </cell>
          <cell r="Z2606">
            <v>0</v>
          </cell>
        </row>
        <row r="2607">
          <cell r="V2607">
            <v>0</v>
          </cell>
          <cell r="Z2607">
            <v>0</v>
          </cell>
        </row>
        <row r="2608">
          <cell r="V2608">
            <v>0</v>
          </cell>
          <cell r="Z2608">
            <v>0</v>
          </cell>
        </row>
        <row r="2609">
          <cell r="V2609">
            <v>0</v>
          </cell>
          <cell r="Z2609">
            <v>0</v>
          </cell>
        </row>
        <row r="2610">
          <cell r="V2610">
            <v>0</v>
          </cell>
          <cell r="Z2610">
            <v>0</v>
          </cell>
        </row>
        <row r="2611">
          <cell r="V2611">
            <v>0</v>
          </cell>
          <cell r="Z2611">
            <v>0</v>
          </cell>
        </row>
        <row r="2612">
          <cell r="V2612">
            <v>0</v>
          </cell>
          <cell r="Z2612">
            <v>0</v>
          </cell>
        </row>
        <row r="2613">
          <cell r="V2613">
            <v>0</v>
          </cell>
          <cell r="Z2613">
            <v>0</v>
          </cell>
        </row>
        <row r="2614">
          <cell r="V2614">
            <v>0</v>
          </cell>
          <cell r="Z2614">
            <v>0</v>
          </cell>
        </row>
        <row r="2615">
          <cell r="V2615">
            <v>0</v>
          </cell>
          <cell r="Z2615">
            <v>0</v>
          </cell>
        </row>
        <row r="2616">
          <cell r="V2616">
            <v>0</v>
          </cell>
          <cell r="Z2616">
            <v>0</v>
          </cell>
        </row>
        <row r="2617">
          <cell r="V2617">
            <v>0</v>
          </cell>
          <cell r="Z2617">
            <v>0</v>
          </cell>
        </row>
        <row r="2618">
          <cell r="V2618">
            <v>0</v>
          </cell>
          <cell r="Z2618">
            <v>0</v>
          </cell>
        </row>
        <row r="2619">
          <cell r="V2619">
            <v>0</v>
          </cell>
          <cell r="Z2619">
            <v>0</v>
          </cell>
        </row>
        <row r="2620">
          <cell r="V2620">
            <v>0</v>
          </cell>
          <cell r="Z2620">
            <v>0</v>
          </cell>
        </row>
        <row r="2621">
          <cell r="V2621">
            <v>0</v>
          </cell>
          <cell r="Z2621">
            <v>0</v>
          </cell>
        </row>
        <row r="2622">
          <cell r="V2622">
            <v>0</v>
          </cell>
          <cell r="Z2622">
            <v>0</v>
          </cell>
        </row>
        <row r="2623">
          <cell r="V2623">
            <v>0</v>
          </cell>
          <cell r="Z2623">
            <v>0</v>
          </cell>
        </row>
        <row r="2624">
          <cell r="V2624">
            <v>0</v>
          </cell>
          <cell r="Z2624">
            <v>0</v>
          </cell>
        </row>
        <row r="2625">
          <cell r="V2625">
            <v>0</v>
          </cell>
          <cell r="Z2625">
            <v>0</v>
          </cell>
        </row>
        <row r="2626">
          <cell r="V2626">
            <v>0</v>
          </cell>
          <cell r="Z2626">
            <v>0</v>
          </cell>
        </row>
        <row r="2627">
          <cell r="V2627">
            <v>0</v>
          </cell>
          <cell r="Z2627">
            <v>0</v>
          </cell>
        </row>
        <row r="2628">
          <cell r="V2628">
            <v>0</v>
          </cell>
          <cell r="Z2628">
            <v>0</v>
          </cell>
        </row>
        <row r="2629">
          <cell r="V2629">
            <v>0</v>
          </cell>
          <cell r="Z2629">
            <v>0</v>
          </cell>
        </row>
        <row r="2630">
          <cell r="V2630">
            <v>0</v>
          </cell>
          <cell r="Z2630">
            <v>0</v>
          </cell>
        </row>
        <row r="2631">
          <cell r="V2631">
            <v>0</v>
          </cell>
          <cell r="Z2631">
            <v>0</v>
          </cell>
        </row>
        <row r="2632">
          <cell r="V2632">
            <v>0</v>
          </cell>
          <cell r="Z2632">
            <v>0</v>
          </cell>
        </row>
        <row r="2633">
          <cell r="V2633">
            <v>0</v>
          </cell>
          <cell r="Z2633">
            <v>0</v>
          </cell>
        </row>
        <row r="2634">
          <cell r="V2634">
            <v>0</v>
          </cell>
          <cell r="Z2634">
            <v>0</v>
          </cell>
        </row>
        <row r="2635">
          <cell r="V2635">
            <v>0</v>
          </cell>
          <cell r="Z2635">
            <v>0</v>
          </cell>
        </row>
        <row r="2636">
          <cell r="V2636">
            <v>0</v>
          </cell>
          <cell r="Z2636">
            <v>0</v>
          </cell>
        </row>
        <row r="2637">
          <cell r="V2637">
            <v>0</v>
          </cell>
          <cell r="Z2637">
            <v>0</v>
          </cell>
        </row>
        <row r="2638">
          <cell r="V2638">
            <v>0</v>
          </cell>
          <cell r="Z2638">
            <v>0</v>
          </cell>
        </row>
        <row r="2639">
          <cell r="V2639">
            <v>0</v>
          </cell>
          <cell r="Z2639">
            <v>0</v>
          </cell>
        </row>
        <row r="2640">
          <cell r="V2640">
            <v>0</v>
          </cell>
          <cell r="Z2640">
            <v>0</v>
          </cell>
        </row>
        <row r="2641">
          <cell r="V2641">
            <v>0</v>
          </cell>
          <cell r="Z2641">
            <v>0</v>
          </cell>
        </row>
        <row r="2642">
          <cell r="V2642">
            <v>0</v>
          </cell>
          <cell r="Z2642">
            <v>0</v>
          </cell>
        </row>
        <row r="2643">
          <cell r="V2643">
            <v>0</v>
          </cell>
          <cell r="Z2643">
            <v>0</v>
          </cell>
        </row>
        <row r="2644">
          <cell r="V2644">
            <v>0</v>
          </cell>
          <cell r="Z2644">
            <v>0</v>
          </cell>
        </row>
        <row r="2645">
          <cell r="V2645">
            <v>0</v>
          </cell>
          <cell r="Z2645">
            <v>0</v>
          </cell>
        </row>
        <row r="2646">
          <cell r="V2646">
            <v>0</v>
          </cell>
          <cell r="Z2646">
            <v>0</v>
          </cell>
        </row>
        <row r="2647">
          <cell r="V2647">
            <v>0</v>
          </cell>
          <cell r="Z2647">
            <v>0</v>
          </cell>
        </row>
        <row r="2648">
          <cell r="V2648">
            <v>0</v>
          </cell>
          <cell r="Z2648">
            <v>0</v>
          </cell>
        </row>
        <row r="2649">
          <cell r="V2649">
            <v>0</v>
          </cell>
          <cell r="Z2649">
            <v>0</v>
          </cell>
        </row>
        <row r="2650">
          <cell r="V2650">
            <v>0</v>
          </cell>
          <cell r="Z2650">
            <v>0</v>
          </cell>
        </row>
        <row r="2651">
          <cell r="V2651">
            <v>0</v>
          </cell>
          <cell r="Z2651">
            <v>0</v>
          </cell>
        </row>
        <row r="2652">
          <cell r="V2652">
            <v>0</v>
          </cell>
          <cell r="Z2652">
            <v>0</v>
          </cell>
        </row>
        <row r="2653">
          <cell r="V2653">
            <v>0</v>
          </cell>
          <cell r="Z2653">
            <v>0</v>
          </cell>
        </row>
        <row r="2654">
          <cell r="V2654">
            <v>0</v>
          </cell>
          <cell r="Z2654">
            <v>0</v>
          </cell>
        </row>
        <row r="2655">
          <cell r="V2655">
            <v>0</v>
          </cell>
          <cell r="Z2655">
            <v>0</v>
          </cell>
        </row>
        <row r="2656">
          <cell r="V2656">
            <v>0</v>
          </cell>
          <cell r="Z2656">
            <v>0</v>
          </cell>
        </row>
        <row r="2657">
          <cell r="V2657">
            <v>0</v>
          </cell>
          <cell r="Z2657">
            <v>0</v>
          </cell>
        </row>
        <row r="2658">
          <cell r="V2658">
            <v>0</v>
          </cell>
          <cell r="Z2658">
            <v>0</v>
          </cell>
        </row>
        <row r="2659">
          <cell r="V2659">
            <v>0</v>
          </cell>
          <cell r="Z2659">
            <v>0</v>
          </cell>
        </row>
        <row r="2660">
          <cell r="V2660">
            <v>0</v>
          </cell>
          <cell r="Z2660">
            <v>0</v>
          </cell>
        </row>
        <row r="2661">
          <cell r="V2661">
            <v>0</v>
          </cell>
          <cell r="Z2661">
            <v>0</v>
          </cell>
        </row>
        <row r="2662">
          <cell r="V2662">
            <v>0</v>
          </cell>
          <cell r="Z2662">
            <v>0</v>
          </cell>
        </row>
        <row r="2663">
          <cell r="V2663">
            <v>0</v>
          </cell>
          <cell r="Z2663">
            <v>0</v>
          </cell>
        </row>
        <row r="2664">
          <cell r="V2664">
            <v>0</v>
          </cell>
          <cell r="Z2664">
            <v>0</v>
          </cell>
        </row>
        <row r="2665">
          <cell r="V2665">
            <v>0</v>
          </cell>
          <cell r="Z2665">
            <v>0</v>
          </cell>
        </row>
        <row r="2666">
          <cell r="V2666">
            <v>0</v>
          </cell>
          <cell r="Z2666">
            <v>0</v>
          </cell>
        </row>
        <row r="2667">
          <cell r="V2667">
            <v>0</v>
          </cell>
          <cell r="Z2667">
            <v>0</v>
          </cell>
        </row>
        <row r="2668">
          <cell r="V2668">
            <v>0</v>
          </cell>
          <cell r="Z2668">
            <v>0</v>
          </cell>
        </row>
        <row r="2669">
          <cell r="V2669">
            <v>0</v>
          </cell>
          <cell r="Z2669">
            <v>0</v>
          </cell>
        </row>
        <row r="2670">
          <cell r="V2670">
            <v>0</v>
          </cell>
          <cell r="Z2670">
            <v>0</v>
          </cell>
        </row>
        <row r="2671">
          <cell r="V2671">
            <v>0</v>
          </cell>
          <cell r="Z2671">
            <v>0</v>
          </cell>
        </row>
        <row r="2672">
          <cell r="V2672">
            <v>0</v>
          </cell>
          <cell r="Z2672">
            <v>0</v>
          </cell>
        </row>
        <row r="2673">
          <cell r="V2673">
            <v>0</v>
          </cell>
          <cell r="Z2673">
            <v>0</v>
          </cell>
        </row>
        <row r="2674">
          <cell r="V2674">
            <v>0</v>
          </cell>
          <cell r="Z2674">
            <v>0</v>
          </cell>
        </row>
        <row r="2675">
          <cell r="V2675">
            <v>0</v>
          </cell>
          <cell r="Z2675">
            <v>0</v>
          </cell>
        </row>
        <row r="2676">
          <cell r="V2676">
            <v>0</v>
          </cell>
          <cell r="Z2676">
            <v>0</v>
          </cell>
        </row>
        <row r="2677">
          <cell r="V2677">
            <v>0</v>
          </cell>
          <cell r="Z2677">
            <v>0</v>
          </cell>
        </row>
        <row r="2678">
          <cell r="V2678">
            <v>0</v>
          </cell>
          <cell r="Z2678">
            <v>0</v>
          </cell>
        </row>
        <row r="2679">
          <cell r="V2679">
            <v>0</v>
          </cell>
          <cell r="Z2679">
            <v>0</v>
          </cell>
        </row>
        <row r="2680">
          <cell r="V2680">
            <v>0</v>
          </cell>
          <cell r="Z2680">
            <v>0</v>
          </cell>
        </row>
        <row r="2681">
          <cell r="V2681">
            <v>0</v>
          </cell>
          <cell r="Z2681">
            <v>0</v>
          </cell>
        </row>
        <row r="2682">
          <cell r="V2682">
            <v>0</v>
          </cell>
          <cell r="Z2682">
            <v>0</v>
          </cell>
        </row>
        <row r="2683">
          <cell r="V2683">
            <v>0</v>
          </cell>
          <cell r="Z2683">
            <v>0</v>
          </cell>
        </row>
        <row r="2684">
          <cell r="V2684">
            <v>0</v>
          </cell>
          <cell r="Z2684">
            <v>0</v>
          </cell>
        </row>
        <row r="2685">
          <cell r="V2685">
            <v>0</v>
          </cell>
          <cell r="Z2685">
            <v>0</v>
          </cell>
        </row>
        <row r="2686">
          <cell r="V2686">
            <v>0</v>
          </cell>
          <cell r="Z2686">
            <v>0</v>
          </cell>
        </row>
        <row r="2687">
          <cell r="V2687">
            <v>0</v>
          </cell>
          <cell r="Z2687">
            <v>0</v>
          </cell>
        </row>
        <row r="2688">
          <cell r="V2688">
            <v>0</v>
          </cell>
          <cell r="Z2688">
            <v>0</v>
          </cell>
        </row>
        <row r="2689">
          <cell r="V2689">
            <v>0</v>
          </cell>
          <cell r="Z2689">
            <v>0</v>
          </cell>
        </row>
        <row r="2690">
          <cell r="V2690">
            <v>0</v>
          </cell>
          <cell r="Z2690">
            <v>0</v>
          </cell>
        </row>
        <row r="2691">
          <cell r="V2691">
            <v>0</v>
          </cell>
          <cell r="Z2691">
            <v>0</v>
          </cell>
        </row>
        <row r="2692">
          <cell r="V2692">
            <v>0</v>
          </cell>
          <cell r="Z2692">
            <v>0</v>
          </cell>
        </row>
        <row r="2693">
          <cell r="V2693">
            <v>0</v>
          </cell>
          <cell r="Z2693">
            <v>0</v>
          </cell>
        </row>
        <row r="2694">
          <cell r="V2694">
            <v>0</v>
          </cell>
          <cell r="Z2694">
            <v>0</v>
          </cell>
        </row>
        <row r="2695">
          <cell r="V2695">
            <v>0</v>
          </cell>
          <cell r="Z2695">
            <v>0</v>
          </cell>
        </row>
        <row r="2696">
          <cell r="V2696">
            <v>0</v>
          </cell>
          <cell r="Z2696">
            <v>0</v>
          </cell>
        </row>
        <row r="2697">
          <cell r="V2697">
            <v>0</v>
          </cell>
          <cell r="Z2697">
            <v>0</v>
          </cell>
        </row>
        <row r="2698">
          <cell r="V2698">
            <v>0</v>
          </cell>
          <cell r="Z2698">
            <v>0</v>
          </cell>
        </row>
        <row r="2699">
          <cell r="V2699">
            <v>0</v>
          </cell>
          <cell r="Z2699">
            <v>0</v>
          </cell>
        </row>
        <row r="2700">
          <cell r="V2700">
            <v>0</v>
          </cell>
          <cell r="Z2700">
            <v>0</v>
          </cell>
        </row>
        <row r="2701">
          <cell r="V2701">
            <v>0</v>
          </cell>
          <cell r="Z2701">
            <v>0</v>
          </cell>
        </row>
        <row r="2702">
          <cell r="V2702">
            <v>0</v>
          </cell>
          <cell r="Z2702">
            <v>0</v>
          </cell>
        </row>
        <row r="2703">
          <cell r="V2703">
            <v>0</v>
          </cell>
          <cell r="Z2703">
            <v>0</v>
          </cell>
        </row>
        <row r="2704">
          <cell r="V2704">
            <v>0</v>
          </cell>
          <cell r="Z2704">
            <v>0</v>
          </cell>
        </row>
        <row r="2705">
          <cell r="V2705">
            <v>0</v>
          </cell>
          <cell r="Z2705">
            <v>0</v>
          </cell>
        </row>
        <row r="2706">
          <cell r="V2706">
            <v>0</v>
          </cell>
          <cell r="Z2706">
            <v>0</v>
          </cell>
        </row>
        <row r="2707">
          <cell r="V2707">
            <v>0</v>
          </cell>
          <cell r="Z2707">
            <v>0</v>
          </cell>
        </row>
        <row r="2708">
          <cell r="V2708">
            <v>0</v>
          </cell>
          <cell r="Z2708">
            <v>0</v>
          </cell>
        </row>
        <row r="2709">
          <cell r="V2709">
            <v>0</v>
          </cell>
          <cell r="Z2709">
            <v>0</v>
          </cell>
        </row>
        <row r="2710">
          <cell r="V2710">
            <v>0</v>
          </cell>
          <cell r="Z2710">
            <v>0</v>
          </cell>
        </row>
        <row r="2711">
          <cell r="V2711">
            <v>0</v>
          </cell>
          <cell r="Z2711">
            <v>0</v>
          </cell>
        </row>
        <row r="2712">
          <cell r="V2712">
            <v>0</v>
          </cell>
          <cell r="Z2712">
            <v>0</v>
          </cell>
        </row>
        <row r="2713">
          <cell r="V2713">
            <v>0</v>
          </cell>
          <cell r="Z2713">
            <v>0</v>
          </cell>
        </row>
        <row r="2714">
          <cell r="V2714">
            <v>0</v>
          </cell>
          <cell r="Z2714">
            <v>0</v>
          </cell>
        </row>
        <row r="2715">
          <cell r="V2715">
            <v>0</v>
          </cell>
          <cell r="Z2715">
            <v>0</v>
          </cell>
        </row>
        <row r="2716">
          <cell r="V2716">
            <v>0</v>
          </cell>
          <cell r="Z2716">
            <v>0</v>
          </cell>
        </row>
        <row r="2717">
          <cell r="V2717">
            <v>0</v>
          </cell>
          <cell r="Z2717">
            <v>0</v>
          </cell>
        </row>
        <row r="2718">
          <cell r="V2718">
            <v>0</v>
          </cell>
          <cell r="Z2718">
            <v>0</v>
          </cell>
        </row>
        <row r="2719">
          <cell r="V2719">
            <v>0</v>
          </cell>
          <cell r="Z2719">
            <v>0</v>
          </cell>
        </row>
        <row r="2720">
          <cell r="V2720">
            <v>0</v>
          </cell>
          <cell r="Z2720">
            <v>0</v>
          </cell>
        </row>
        <row r="2721">
          <cell r="V2721">
            <v>0</v>
          </cell>
          <cell r="Z2721">
            <v>0</v>
          </cell>
        </row>
        <row r="2722">
          <cell r="V2722">
            <v>0</v>
          </cell>
          <cell r="Z2722">
            <v>0</v>
          </cell>
        </row>
        <row r="2723">
          <cell r="V2723">
            <v>0</v>
          </cell>
          <cell r="Z2723">
            <v>0</v>
          </cell>
        </row>
        <row r="2724">
          <cell r="V2724">
            <v>0</v>
          </cell>
          <cell r="Z2724">
            <v>0</v>
          </cell>
        </row>
        <row r="2725">
          <cell r="V2725">
            <v>0</v>
          </cell>
          <cell r="Z2725">
            <v>0</v>
          </cell>
        </row>
        <row r="2726">
          <cell r="V2726">
            <v>0</v>
          </cell>
          <cell r="Z2726">
            <v>0</v>
          </cell>
        </row>
        <row r="2727">
          <cell r="V2727">
            <v>0</v>
          </cell>
          <cell r="Z2727">
            <v>0</v>
          </cell>
        </row>
        <row r="2728">
          <cell r="V2728">
            <v>0</v>
          </cell>
          <cell r="Z2728">
            <v>0</v>
          </cell>
        </row>
        <row r="2729">
          <cell r="V2729">
            <v>0</v>
          </cell>
          <cell r="Z2729">
            <v>0</v>
          </cell>
        </row>
        <row r="2730">
          <cell r="V2730">
            <v>0</v>
          </cell>
          <cell r="Z2730">
            <v>0</v>
          </cell>
        </row>
        <row r="2731">
          <cell r="V2731">
            <v>0</v>
          </cell>
          <cell r="Z2731">
            <v>0</v>
          </cell>
        </row>
        <row r="2732">
          <cell r="V2732">
            <v>0</v>
          </cell>
          <cell r="Z2732">
            <v>0</v>
          </cell>
        </row>
        <row r="2733">
          <cell r="V2733">
            <v>0</v>
          </cell>
          <cell r="Z2733">
            <v>0</v>
          </cell>
        </row>
        <row r="2734">
          <cell r="V2734">
            <v>0</v>
          </cell>
          <cell r="Z2734">
            <v>0</v>
          </cell>
        </row>
        <row r="2735">
          <cell r="V2735">
            <v>0</v>
          </cell>
          <cell r="Z2735">
            <v>0</v>
          </cell>
        </row>
        <row r="2736">
          <cell r="V2736">
            <v>0</v>
          </cell>
          <cell r="Z2736">
            <v>0</v>
          </cell>
        </row>
        <row r="2737">
          <cell r="V2737">
            <v>0</v>
          </cell>
          <cell r="Z2737">
            <v>0</v>
          </cell>
        </row>
        <row r="2738">
          <cell r="V2738">
            <v>0</v>
          </cell>
          <cell r="Z2738">
            <v>0</v>
          </cell>
        </row>
        <row r="2739">
          <cell r="V2739">
            <v>0</v>
          </cell>
          <cell r="Z2739">
            <v>0</v>
          </cell>
        </row>
        <row r="2740">
          <cell r="V2740">
            <v>0</v>
          </cell>
          <cell r="Z2740">
            <v>0</v>
          </cell>
        </row>
        <row r="2741">
          <cell r="V2741">
            <v>0</v>
          </cell>
          <cell r="Z2741">
            <v>0</v>
          </cell>
        </row>
        <row r="2742">
          <cell r="V2742">
            <v>0</v>
          </cell>
          <cell r="Z2742">
            <v>0</v>
          </cell>
        </row>
        <row r="2743">
          <cell r="V2743">
            <v>0</v>
          </cell>
          <cell r="Z2743">
            <v>0</v>
          </cell>
        </row>
        <row r="2744">
          <cell r="V2744">
            <v>0</v>
          </cell>
          <cell r="Z2744">
            <v>0</v>
          </cell>
        </row>
        <row r="2745">
          <cell r="V2745">
            <v>0</v>
          </cell>
          <cell r="Z2745">
            <v>0</v>
          </cell>
        </row>
        <row r="2746">
          <cell r="V2746">
            <v>0</v>
          </cell>
          <cell r="Z2746">
            <v>0</v>
          </cell>
        </row>
        <row r="2747">
          <cell r="V2747">
            <v>0</v>
          </cell>
          <cell r="Z2747">
            <v>0</v>
          </cell>
        </row>
        <row r="2748">
          <cell r="V2748">
            <v>0</v>
          </cell>
          <cell r="Z2748">
            <v>0</v>
          </cell>
        </row>
        <row r="2749">
          <cell r="V2749">
            <v>0</v>
          </cell>
          <cell r="Z2749">
            <v>0</v>
          </cell>
        </row>
        <row r="2750">
          <cell r="V2750">
            <v>0</v>
          </cell>
          <cell r="Z2750">
            <v>0</v>
          </cell>
        </row>
        <row r="2751">
          <cell r="V2751">
            <v>0</v>
          </cell>
          <cell r="Z2751">
            <v>0</v>
          </cell>
        </row>
        <row r="2752">
          <cell r="V2752">
            <v>0</v>
          </cell>
          <cell r="Z2752">
            <v>0</v>
          </cell>
        </row>
        <row r="2753">
          <cell r="V2753">
            <v>0</v>
          </cell>
          <cell r="Z2753">
            <v>0</v>
          </cell>
        </row>
        <row r="2754">
          <cell r="V2754">
            <v>0</v>
          </cell>
          <cell r="Z2754">
            <v>0</v>
          </cell>
        </row>
        <row r="2755">
          <cell r="V2755">
            <v>0</v>
          </cell>
          <cell r="Z2755">
            <v>0</v>
          </cell>
        </row>
        <row r="2756">
          <cell r="V2756">
            <v>0</v>
          </cell>
          <cell r="Z2756">
            <v>0</v>
          </cell>
        </row>
        <row r="2757">
          <cell r="V2757">
            <v>0</v>
          </cell>
          <cell r="Z2757">
            <v>0</v>
          </cell>
        </row>
        <row r="2758">
          <cell r="V2758">
            <v>0</v>
          </cell>
          <cell r="Z2758">
            <v>0</v>
          </cell>
        </row>
        <row r="2759">
          <cell r="V2759">
            <v>0</v>
          </cell>
          <cell r="Z2759">
            <v>0</v>
          </cell>
        </row>
        <row r="2760">
          <cell r="V2760">
            <v>0</v>
          </cell>
          <cell r="Z2760">
            <v>0</v>
          </cell>
        </row>
        <row r="2761">
          <cell r="V2761">
            <v>0</v>
          </cell>
          <cell r="Z2761">
            <v>0</v>
          </cell>
        </row>
        <row r="2762">
          <cell r="V2762">
            <v>0</v>
          </cell>
          <cell r="Z2762">
            <v>0</v>
          </cell>
        </row>
        <row r="2763">
          <cell r="V2763">
            <v>0</v>
          </cell>
          <cell r="Z2763">
            <v>0</v>
          </cell>
        </row>
        <row r="2764">
          <cell r="V2764">
            <v>0</v>
          </cell>
          <cell r="Z2764">
            <v>0</v>
          </cell>
        </row>
        <row r="2765">
          <cell r="V2765">
            <v>0</v>
          </cell>
          <cell r="Z2765">
            <v>0</v>
          </cell>
        </row>
        <row r="2766">
          <cell r="V2766">
            <v>0</v>
          </cell>
          <cell r="Z2766">
            <v>0</v>
          </cell>
        </row>
        <row r="2767">
          <cell r="V2767">
            <v>0</v>
          </cell>
          <cell r="Z2767">
            <v>0</v>
          </cell>
        </row>
        <row r="2768">
          <cell r="V2768">
            <v>0</v>
          </cell>
          <cell r="Z2768">
            <v>0</v>
          </cell>
        </row>
        <row r="2769">
          <cell r="V2769">
            <v>0</v>
          </cell>
          <cell r="Z2769">
            <v>0</v>
          </cell>
        </row>
        <row r="2770">
          <cell r="V2770">
            <v>0</v>
          </cell>
          <cell r="Z2770">
            <v>0</v>
          </cell>
        </row>
        <row r="2771">
          <cell r="V2771">
            <v>0</v>
          </cell>
          <cell r="Z2771">
            <v>0</v>
          </cell>
        </row>
        <row r="2772">
          <cell r="V2772">
            <v>0</v>
          </cell>
          <cell r="Z2772">
            <v>0</v>
          </cell>
        </row>
        <row r="2773">
          <cell r="V2773">
            <v>0</v>
          </cell>
          <cell r="Z2773">
            <v>0</v>
          </cell>
        </row>
        <row r="2774">
          <cell r="V2774">
            <v>0</v>
          </cell>
          <cell r="Z2774">
            <v>0</v>
          </cell>
        </row>
        <row r="2775">
          <cell r="V2775">
            <v>0</v>
          </cell>
          <cell r="Z2775">
            <v>0</v>
          </cell>
        </row>
        <row r="2776">
          <cell r="V2776">
            <v>0</v>
          </cell>
          <cell r="Z2776">
            <v>0</v>
          </cell>
        </row>
        <row r="2777">
          <cell r="V2777">
            <v>0</v>
          </cell>
          <cell r="Z2777">
            <v>0</v>
          </cell>
        </row>
        <row r="2778">
          <cell r="V2778">
            <v>0</v>
          </cell>
          <cell r="Z2778">
            <v>0</v>
          </cell>
        </row>
        <row r="2779">
          <cell r="V2779">
            <v>0</v>
          </cell>
          <cell r="Z2779">
            <v>0</v>
          </cell>
        </row>
        <row r="2780">
          <cell r="V2780">
            <v>0</v>
          </cell>
          <cell r="Z2780">
            <v>0</v>
          </cell>
        </row>
        <row r="2781">
          <cell r="V2781">
            <v>0</v>
          </cell>
          <cell r="Z2781">
            <v>0</v>
          </cell>
        </row>
        <row r="2782">
          <cell r="V2782">
            <v>0</v>
          </cell>
          <cell r="Z2782">
            <v>0</v>
          </cell>
        </row>
        <row r="2783">
          <cell r="V2783">
            <v>0</v>
          </cell>
          <cell r="Z2783">
            <v>0</v>
          </cell>
        </row>
        <row r="2784">
          <cell r="V2784">
            <v>0</v>
          </cell>
          <cell r="Z2784">
            <v>0</v>
          </cell>
        </row>
        <row r="2785">
          <cell r="V2785">
            <v>0</v>
          </cell>
          <cell r="Z2785">
            <v>0</v>
          </cell>
        </row>
        <row r="2786">
          <cell r="V2786">
            <v>0</v>
          </cell>
          <cell r="Z2786">
            <v>0</v>
          </cell>
        </row>
        <row r="2787">
          <cell r="V2787">
            <v>0</v>
          </cell>
          <cell r="Z2787">
            <v>0</v>
          </cell>
        </row>
        <row r="2788">
          <cell r="V2788">
            <v>0</v>
          </cell>
          <cell r="Z2788">
            <v>0</v>
          </cell>
        </row>
        <row r="2789">
          <cell r="V2789">
            <v>0</v>
          </cell>
          <cell r="Z2789">
            <v>0</v>
          </cell>
        </row>
        <row r="2790">
          <cell r="V2790">
            <v>0</v>
          </cell>
          <cell r="Z2790">
            <v>0</v>
          </cell>
        </row>
        <row r="2791">
          <cell r="V2791">
            <v>0</v>
          </cell>
          <cell r="Z2791">
            <v>0</v>
          </cell>
        </row>
        <row r="2792">
          <cell r="V2792">
            <v>0</v>
          </cell>
          <cell r="Z2792">
            <v>0</v>
          </cell>
        </row>
        <row r="2793">
          <cell r="V2793">
            <v>0</v>
          </cell>
          <cell r="Z2793">
            <v>0</v>
          </cell>
        </row>
        <row r="2794">
          <cell r="V2794">
            <v>0</v>
          </cell>
          <cell r="Z2794">
            <v>0</v>
          </cell>
        </row>
        <row r="2795">
          <cell r="V2795">
            <v>0</v>
          </cell>
          <cell r="Z2795">
            <v>0</v>
          </cell>
        </row>
        <row r="2796">
          <cell r="V2796">
            <v>0</v>
          </cell>
          <cell r="Z2796">
            <v>0</v>
          </cell>
        </row>
        <row r="2797">
          <cell r="V2797">
            <v>0</v>
          </cell>
          <cell r="Z2797">
            <v>0</v>
          </cell>
        </row>
        <row r="2798">
          <cell r="V2798">
            <v>0</v>
          </cell>
          <cell r="Z2798">
            <v>0</v>
          </cell>
        </row>
        <row r="2799">
          <cell r="V2799">
            <v>0</v>
          </cell>
          <cell r="Z2799">
            <v>0</v>
          </cell>
        </row>
        <row r="2800">
          <cell r="V2800">
            <v>0</v>
          </cell>
          <cell r="Z2800">
            <v>0</v>
          </cell>
        </row>
        <row r="2801">
          <cell r="V2801">
            <v>0</v>
          </cell>
          <cell r="Z2801">
            <v>0</v>
          </cell>
        </row>
        <row r="2802">
          <cell r="V2802">
            <v>0</v>
          </cell>
          <cell r="Z2802">
            <v>0</v>
          </cell>
        </row>
        <row r="2803">
          <cell r="V2803">
            <v>0</v>
          </cell>
          <cell r="Z2803">
            <v>0</v>
          </cell>
        </row>
        <row r="2804">
          <cell r="V2804">
            <v>0</v>
          </cell>
          <cell r="Z2804">
            <v>0</v>
          </cell>
        </row>
        <row r="2805">
          <cell r="V2805">
            <v>0</v>
          </cell>
          <cell r="Z2805">
            <v>0</v>
          </cell>
        </row>
        <row r="2806">
          <cell r="V2806">
            <v>0</v>
          </cell>
          <cell r="Z2806">
            <v>0</v>
          </cell>
        </row>
        <row r="2807">
          <cell r="V2807">
            <v>0</v>
          </cell>
          <cell r="Z2807">
            <v>0</v>
          </cell>
        </row>
        <row r="2808">
          <cell r="V2808">
            <v>0</v>
          </cell>
          <cell r="Z2808">
            <v>0</v>
          </cell>
        </row>
        <row r="2809">
          <cell r="V2809">
            <v>0</v>
          </cell>
          <cell r="Z2809">
            <v>0</v>
          </cell>
        </row>
        <row r="2810">
          <cell r="V2810">
            <v>0</v>
          </cell>
          <cell r="Z2810">
            <v>0</v>
          </cell>
        </row>
        <row r="2811">
          <cell r="V2811">
            <v>0</v>
          </cell>
          <cell r="Z2811">
            <v>0</v>
          </cell>
        </row>
        <row r="2812">
          <cell r="V2812">
            <v>0</v>
          </cell>
          <cell r="Z2812">
            <v>0</v>
          </cell>
        </row>
        <row r="2813">
          <cell r="V2813">
            <v>0</v>
          </cell>
          <cell r="Z2813">
            <v>0</v>
          </cell>
        </row>
        <row r="2814">
          <cell r="V2814">
            <v>0</v>
          </cell>
          <cell r="Z2814">
            <v>0</v>
          </cell>
        </row>
        <row r="2815">
          <cell r="V2815">
            <v>0</v>
          </cell>
          <cell r="Z2815">
            <v>0</v>
          </cell>
        </row>
        <row r="2816">
          <cell r="V2816">
            <v>0</v>
          </cell>
          <cell r="Z2816">
            <v>0</v>
          </cell>
        </row>
        <row r="2817">
          <cell r="V2817">
            <v>0</v>
          </cell>
          <cell r="Z2817">
            <v>0</v>
          </cell>
        </row>
        <row r="2818">
          <cell r="V2818">
            <v>0</v>
          </cell>
          <cell r="Z2818">
            <v>0</v>
          </cell>
        </row>
        <row r="2819">
          <cell r="V2819">
            <v>0</v>
          </cell>
          <cell r="Z2819">
            <v>0</v>
          </cell>
        </row>
        <row r="2820">
          <cell r="V2820">
            <v>0</v>
          </cell>
          <cell r="Z2820">
            <v>0</v>
          </cell>
        </row>
        <row r="2821">
          <cell r="V2821">
            <v>0</v>
          </cell>
          <cell r="Z2821">
            <v>0</v>
          </cell>
        </row>
        <row r="2822">
          <cell r="V2822">
            <v>0</v>
          </cell>
          <cell r="Z2822">
            <v>0</v>
          </cell>
        </row>
        <row r="2823">
          <cell r="V2823">
            <v>0</v>
          </cell>
          <cell r="Z2823">
            <v>0</v>
          </cell>
        </row>
        <row r="2824">
          <cell r="V2824">
            <v>0</v>
          </cell>
          <cell r="Z2824">
            <v>0</v>
          </cell>
        </row>
        <row r="2825">
          <cell r="V2825">
            <v>0</v>
          </cell>
          <cell r="Z2825">
            <v>0</v>
          </cell>
        </row>
        <row r="2826">
          <cell r="V2826">
            <v>0</v>
          </cell>
          <cell r="Z2826">
            <v>0</v>
          </cell>
        </row>
        <row r="2827">
          <cell r="V2827">
            <v>0</v>
          </cell>
          <cell r="Z2827">
            <v>0</v>
          </cell>
        </row>
        <row r="2828">
          <cell r="V2828">
            <v>0</v>
          </cell>
          <cell r="Z2828">
            <v>0</v>
          </cell>
        </row>
        <row r="2829">
          <cell r="V2829">
            <v>0</v>
          </cell>
          <cell r="Z2829">
            <v>0</v>
          </cell>
        </row>
        <row r="2830">
          <cell r="V2830">
            <v>0</v>
          </cell>
          <cell r="Z2830">
            <v>0</v>
          </cell>
        </row>
        <row r="2831">
          <cell r="V2831">
            <v>0</v>
          </cell>
          <cell r="Z2831">
            <v>0</v>
          </cell>
        </row>
        <row r="2832">
          <cell r="V2832">
            <v>0</v>
          </cell>
          <cell r="Z2832">
            <v>0</v>
          </cell>
        </row>
        <row r="2833">
          <cell r="V2833">
            <v>0</v>
          </cell>
          <cell r="Z2833">
            <v>0</v>
          </cell>
        </row>
        <row r="2834">
          <cell r="V2834">
            <v>0</v>
          </cell>
          <cell r="Z2834">
            <v>0</v>
          </cell>
        </row>
        <row r="2835">
          <cell r="V2835">
            <v>0</v>
          </cell>
          <cell r="Z2835">
            <v>0</v>
          </cell>
        </row>
        <row r="2836">
          <cell r="V2836">
            <v>0</v>
          </cell>
          <cell r="Z2836">
            <v>0</v>
          </cell>
        </row>
        <row r="2837">
          <cell r="V2837">
            <v>0</v>
          </cell>
          <cell r="Z2837">
            <v>0</v>
          </cell>
        </row>
        <row r="2838">
          <cell r="V2838">
            <v>0</v>
          </cell>
          <cell r="Z2838">
            <v>0</v>
          </cell>
        </row>
        <row r="2839">
          <cell r="V2839">
            <v>0</v>
          </cell>
          <cell r="Z2839">
            <v>0</v>
          </cell>
        </row>
        <row r="2840">
          <cell r="V2840">
            <v>0</v>
          </cell>
          <cell r="Z2840">
            <v>0</v>
          </cell>
        </row>
        <row r="2841">
          <cell r="V2841">
            <v>0</v>
          </cell>
          <cell r="Z2841">
            <v>0</v>
          </cell>
        </row>
        <row r="2842">
          <cell r="V2842">
            <v>0</v>
          </cell>
          <cell r="Z2842">
            <v>0</v>
          </cell>
        </row>
        <row r="2843">
          <cell r="V2843">
            <v>0</v>
          </cell>
          <cell r="Z2843">
            <v>0</v>
          </cell>
        </row>
        <row r="2844">
          <cell r="V2844">
            <v>0</v>
          </cell>
          <cell r="Z2844">
            <v>0</v>
          </cell>
        </row>
        <row r="2845">
          <cell r="V2845">
            <v>0</v>
          </cell>
          <cell r="Z2845">
            <v>0</v>
          </cell>
        </row>
        <row r="2846">
          <cell r="V2846">
            <v>0</v>
          </cell>
          <cell r="Z2846">
            <v>0</v>
          </cell>
        </row>
        <row r="2847">
          <cell r="V2847">
            <v>0</v>
          </cell>
          <cell r="Z2847">
            <v>0</v>
          </cell>
        </row>
        <row r="2848">
          <cell r="V2848">
            <v>0</v>
          </cell>
          <cell r="Z2848">
            <v>0</v>
          </cell>
        </row>
        <row r="2849">
          <cell r="V2849">
            <v>0</v>
          </cell>
          <cell r="Z2849">
            <v>0</v>
          </cell>
        </row>
        <row r="2850">
          <cell r="V2850">
            <v>0</v>
          </cell>
          <cell r="Z2850">
            <v>0</v>
          </cell>
        </row>
        <row r="2851">
          <cell r="V2851">
            <v>0</v>
          </cell>
          <cell r="Z2851">
            <v>0</v>
          </cell>
        </row>
        <row r="2852">
          <cell r="V2852">
            <v>0</v>
          </cell>
          <cell r="Z2852">
            <v>0</v>
          </cell>
        </row>
        <row r="2853">
          <cell r="V2853">
            <v>0</v>
          </cell>
          <cell r="Z2853">
            <v>0</v>
          </cell>
        </row>
        <row r="2854">
          <cell r="V2854">
            <v>0</v>
          </cell>
          <cell r="Z2854">
            <v>0</v>
          </cell>
        </row>
        <row r="2855">
          <cell r="V2855">
            <v>0</v>
          </cell>
          <cell r="Z2855">
            <v>0</v>
          </cell>
        </row>
        <row r="2856">
          <cell r="V2856">
            <v>0</v>
          </cell>
          <cell r="Z2856">
            <v>0</v>
          </cell>
        </row>
        <row r="2857">
          <cell r="V2857">
            <v>0</v>
          </cell>
          <cell r="Z2857">
            <v>0</v>
          </cell>
        </row>
        <row r="2858">
          <cell r="V2858">
            <v>0</v>
          </cell>
          <cell r="Z2858">
            <v>0</v>
          </cell>
        </row>
        <row r="2859">
          <cell r="V2859">
            <v>0</v>
          </cell>
          <cell r="Z2859">
            <v>0</v>
          </cell>
        </row>
        <row r="2860">
          <cell r="V2860">
            <v>0</v>
          </cell>
          <cell r="Z2860">
            <v>0</v>
          </cell>
        </row>
        <row r="2861">
          <cell r="V2861">
            <v>0</v>
          </cell>
          <cell r="Z2861">
            <v>0</v>
          </cell>
        </row>
        <row r="2862">
          <cell r="V2862">
            <v>0</v>
          </cell>
          <cell r="Z2862">
            <v>0</v>
          </cell>
        </row>
        <row r="2863">
          <cell r="V2863">
            <v>0</v>
          </cell>
          <cell r="Z2863">
            <v>0</v>
          </cell>
        </row>
        <row r="2864">
          <cell r="V2864">
            <v>0</v>
          </cell>
          <cell r="Z2864">
            <v>0</v>
          </cell>
        </row>
        <row r="2865">
          <cell r="V2865">
            <v>0</v>
          </cell>
          <cell r="Z2865">
            <v>0</v>
          </cell>
        </row>
        <row r="2866">
          <cell r="V2866">
            <v>0</v>
          </cell>
          <cell r="Z2866">
            <v>0</v>
          </cell>
        </row>
        <row r="2867">
          <cell r="V2867">
            <v>0</v>
          </cell>
          <cell r="Z2867">
            <v>0</v>
          </cell>
        </row>
        <row r="2868">
          <cell r="V2868">
            <v>0</v>
          </cell>
          <cell r="Z2868">
            <v>0</v>
          </cell>
        </row>
        <row r="2869">
          <cell r="V2869">
            <v>0</v>
          </cell>
          <cell r="Z2869">
            <v>0</v>
          </cell>
        </row>
        <row r="2870">
          <cell r="V2870">
            <v>0</v>
          </cell>
          <cell r="Z2870">
            <v>0</v>
          </cell>
        </row>
        <row r="2871">
          <cell r="V2871">
            <v>0</v>
          </cell>
          <cell r="Z2871">
            <v>0</v>
          </cell>
        </row>
        <row r="2872">
          <cell r="V2872">
            <v>0</v>
          </cell>
          <cell r="Z2872">
            <v>0</v>
          </cell>
        </row>
        <row r="2873">
          <cell r="V2873">
            <v>0</v>
          </cell>
          <cell r="Z2873">
            <v>0</v>
          </cell>
        </row>
        <row r="2874">
          <cell r="V2874">
            <v>0</v>
          </cell>
          <cell r="Z2874">
            <v>0</v>
          </cell>
        </row>
        <row r="2875">
          <cell r="V2875">
            <v>0</v>
          </cell>
          <cell r="Z2875">
            <v>0</v>
          </cell>
        </row>
        <row r="2876">
          <cell r="V2876">
            <v>0</v>
          </cell>
          <cell r="Z2876">
            <v>0</v>
          </cell>
        </row>
        <row r="2877">
          <cell r="V2877">
            <v>0</v>
          </cell>
          <cell r="Z2877">
            <v>0</v>
          </cell>
        </row>
        <row r="2878">
          <cell r="V2878">
            <v>0</v>
          </cell>
          <cell r="Z2878">
            <v>0</v>
          </cell>
        </row>
        <row r="2879">
          <cell r="V2879">
            <v>0</v>
          </cell>
          <cell r="Z2879">
            <v>0</v>
          </cell>
        </row>
        <row r="2880">
          <cell r="V2880">
            <v>0</v>
          </cell>
          <cell r="Z2880">
            <v>0</v>
          </cell>
        </row>
        <row r="2881">
          <cell r="V2881">
            <v>0</v>
          </cell>
          <cell r="Z2881">
            <v>0</v>
          </cell>
        </row>
        <row r="2882">
          <cell r="V2882">
            <v>0</v>
          </cell>
          <cell r="Z2882">
            <v>0</v>
          </cell>
        </row>
        <row r="2883">
          <cell r="V2883">
            <v>0</v>
          </cell>
          <cell r="Z2883">
            <v>0</v>
          </cell>
        </row>
        <row r="2884">
          <cell r="V2884">
            <v>0</v>
          </cell>
          <cell r="Z2884">
            <v>0</v>
          </cell>
        </row>
        <row r="2885">
          <cell r="V2885">
            <v>0</v>
          </cell>
          <cell r="Z2885">
            <v>0</v>
          </cell>
        </row>
        <row r="2886">
          <cell r="V2886">
            <v>0</v>
          </cell>
          <cell r="Z2886">
            <v>0</v>
          </cell>
        </row>
        <row r="2887">
          <cell r="V2887">
            <v>0</v>
          </cell>
          <cell r="Z2887">
            <v>0</v>
          </cell>
        </row>
        <row r="2888">
          <cell r="V2888">
            <v>0</v>
          </cell>
          <cell r="Z2888">
            <v>0</v>
          </cell>
        </row>
        <row r="2889">
          <cell r="V2889">
            <v>0</v>
          </cell>
          <cell r="Z2889">
            <v>0</v>
          </cell>
        </row>
        <row r="2890">
          <cell r="V2890">
            <v>0</v>
          </cell>
          <cell r="Z2890">
            <v>0</v>
          </cell>
        </row>
        <row r="2891">
          <cell r="V2891">
            <v>0</v>
          </cell>
          <cell r="Z2891">
            <v>0</v>
          </cell>
        </row>
        <row r="2892">
          <cell r="V2892">
            <v>0</v>
          </cell>
          <cell r="Z2892">
            <v>0</v>
          </cell>
        </row>
        <row r="2893">
          <cell r="V2893">
            <v>0</v>
          </cell>
          <cell r="Z2893">
            <v>0</v>
          </cell>
        </row>
        <row r="2894">
          <cell r="V2894">
            <v>0</v>
          </cell>
          <cell r="Z2894">
            <v>0</v>
          </cell>
        </row>
        <row r="2895">
          <cell r="V2895">
            <v>0</v>
          </cell>
          <cell r="Z2895">
            <v>0</v>
          </cell>
        </row>
        <row r="2896">
          <cell r="V2896">
            <v>0</v>
          </cell>
          <cell r="Z2896">
            <v>0</v>
          </cell>
        </row>
        <row r="2897">
          <cell r="V2897">
            <v>0</v>
          </cell>
          <cell r="Z2897">
            <v>0</v>
          </cell>
        </row>
        <row r="2898">
          <cell r="V2898">
            <v>0</v>
          </cell>
          <cell r="Z2898">
            <v>0</v>
          </cell>
        </row>
        <row r="2899">
          <cell r="V2899">
            <v>0</v>
          </cell>
          <cell r="Z2899">
            <v>0</v>
          </cell>
        </row>
        <row r="2900">
          <cell r="V2900">
            <v>0</v>
          </cell>
          <cell r="Z2900">
            <v>0</v>
          </cell>
        </row>
        <row r="2901">
          <cell r="V2901">
            <v>0</v>
          </cell>
          <cell r="Z2901">
            <v>0</v>
          </cell>
        </row>
        <row r="2902">
          <cell r="V2902">
            <v>0</v>
          </cell>
          <cell r="Z2902">
            <v>0</v>
          </cell>
        </row>
        <row r="2903">
          <cell r="V2903">
            <v>0</v>
          </cell>
          <cell r="Z2903">
            <v>0</v>
          </cell>
        </row>
        <row r="2904">
          <cell r="V2904">
            <v>0</v>
          </cell>
          <cell r="Z2904">
            <v>0</v>
          </cell>
        </row>
        <row r="2905">
          <cell r="V2905">
            <v>0</v>
          </cell>
          <cell r="Z2905">
            <v>0</v>
          </cell>
        </row>
        <row r="2906">
          <cell r="V2906">
            <v>0</v>
          </cell>
          <cell r="Z2906">
            <v>0</v>
          </cell>
        </row>
        <row r="2907">
          <cell r="V2907">
            <v>0</v>
          </cell>
          <cell r="Z2907">
            <v>0</v>
          </cell>
        </row>
        <row r="2908">
          <cell r="V2908">
            <v>0</v>
          </cell>
          <cell r="Z2908">
            <v>0</v>
          </cell>
        </row>
        <row r="2909">
          <cell r="V2909">
            <v>0</v>
          </cell>
          <cell r="Z2909">
            <v>0</v>
          </cell>
        </row>
        <row r="2910">
          <cell r="V2910">
            <v>0</v>
          </cell>
          <cell r="Z2910">
            <v>0</v>
          </cell>
        </row>
        <row r="2911">
          <cell r="V2911">
            <v>0</v>
          </cell>
          <cell r="Z2911">
            <v>0</v>
          </cell>
        </row>
        <row r="2912">
          <cell r="V2912">
            <v>0</v>
          </cell>
          <cell r="Z2912">
            <v>0</v>
          </cell>
        </row>
        <row r="2913">
          <cell r="V2913">
            <v>0</v>
          </cell>
          <cell r="Z2913">
            <v>0</v>
          </cell>
        </row>
        <row r="2914">
          <cell r="V2914">
            <v>0</v>
          </cell>
          <cell r="Z2914">
            <v>0</v>
          </cell>
        </row>
        <row r="2915">
          <cell r="V2915">
            <v>0</v>
          </cell>
          <cell r="Z2915">
            <v>0</v>
          </cell>
        </row>
        <row r="2916">
          <cell r="V2916">
            <v>0</v>
          </cell>
          <cell r="Z2916">
            <v>0</v>
          </cell>
        </row>
        <row r="2917">
          <cell r="V2917">
            <v>0</v>
          </cell>
          <cell r="Z2917">
            <v>0</v>
          </cell>
        </row>
        <row r="2918">
          <cell r="V2918">
            <v>0</v>
          </cell>
          <cell r="Z2918">
            <v>0</v>
          </cell>
        </row>
        <row r="2919">
          <cell r="V2919">
            <v>0</v>
          </cell>
          <cell r="Z2919">
            <v>0</v>
          </cell>
        </row>
        <row r="2920">
          <cell r="V2920">
            <v>0</v>
          </cell>
          <cell r="Z2920">
            <v>0</v>
          </cell>
        </row>
        <row r="2921">
          <cell r="V2921">
            <v>0</v>
          </cell>
          <cell r="Z2921">
            <v>0</v>
          </cell>
        </row>
        <row r="2922">
          <cell r="V2922">
            <v>0</v>
          </cell>
          <cell r="Z2922">
            <v>0</v>
          </cell>
        </row>
        <row r="2923">
          <cell r="V2923">
            <v>0</v>
          </cell>
          <cell r="Z2923">
            <v>0</v>
          </cell>
        </row>
        <row r="2924">
          <cell r="V2924">
            <v>0</v>
          </cell>
          <cell r="Z2924">
            <v>0</v>
          </cell>
        </row>
        <row r="2925">
          <cell r="V2925">
            <v>0</v>
          </cell>
          <cell r="Z2925">
            <v>0</v>
          </cell>
        </row>
        <row r="2926">
          <cell r="V2926">
            <v>0</v>
          </cell>
          <cell r="Z2926">
            <v>0</v>
          </cell>
        </row>
        <row r="2927">
          <cell r="V2927">
            <v>0</v>
          </cell>
          <cell r="Z2927">
            <v>0</v>
          </cell>
        </row>
        <row r="2928">
          <cell r="V2928">
            <v>0</v>
          </cell>
          <cell r="Z2928">
            <v>0</v>
          </cell>
        </row>
        <row r="2929">
          <cell r="V2929">
            <v>0</v>
          </cell>
          <cell r="Z2929">
            <v>0</v>
          </cell>
        </row>
        <row r="2930">
          <cell r="V2930">
            <v>0</v>
          </cell>
          <cell r="Z2930">
            <v>0</v>
          </cell>
        </row>
        <row r="2931">
          <cell r="V2931">
            <v>0</v>
          </cell>
          <cell r="Z2931">
            <v>0</v>
          </cell>
        </row>
        <row r="2932">
          <cell r="V2932">
            <v>0</v>
          </cell>
          <cell r="Z2932">
            <v>0</v>
          </cell>
        </row>
        <row r="2933">
          <cell r="V2933">
            <v>0</v>
          </cell>
          <cell r="Z2933">
            <v>0</v>
          </cell>
        </row>
        <row r="2934">
          <cell r="V2934">
            <v>0</v>
          </cell>
          <cell r="Z2934">
            <v>0</v>
          </cell>
        </row>
        <row r="2935">
          <cell r="V2935">
            <v>0</v>
          </cell>
          <cell r="Z2935">
            <v>0</v>
          </cell>
        </row>
        <row r="2936">
          <cell r="V2936">
            <v>0</v>
          </cell>
          <cell r="Z2936">
            <v>0</v>
          </cell>
        </row>
        <row r="2937">
          <cell r="V2937">
            <v>0</v>
          </cell>
          <cell r="Z2937">
            <v>0</v>
          </cell>
        </row>
        <row r="2938">
          <cell r="V2938">
            <v>0</v>
          </cell>
          <cell r="Z2938">
            <v>0</v>
          </cell>
        </row>
        <row r="2939">
          <cell r="V2939">
            <v>0</v>
          </cell>
          <cell r="Z2939">
            <v>0</v>
          </cell>
        </row>
        <row r="2940">
          <cell r="V2940">
            <v>0</v>
          </cell>
          <cell r="Z2940">
            <v>0</v>
          </cell>
        </row>
        <row r="2941">
          <cell r="V2941">
            <v>0</v>
          </cell>
          <cell r="Z2941">
            <v>0</v>
          </cell>
        </row>
        <row r="2942">
          <cell r="V2942">
            <v>0</v>
          </cell>
          <cell r="Z2942">
            <v>0</v>
          </cell>
        </row>
        <row r="2943">
          <cell r="V2943">
            <v>0</v>
          </cell>
          <cell r="Z2943">
            <v>0</v>
          </cell>
        </row>
        <row r="2944">
          <cell r="V2944">
            <v>0</v>
          </cell>
          <cell r="Z2944">
            <v>0</v>
          </cell>
        </row>
        <row r="2945">
          <cell r="V2945">
            <v>0</v>
          </cell>
          <cell r="Z2945">
            <v>0</v>
          </cell>
        </row>
        <row r="2946">
          <cell r="V2946">
            <v>0</v>
          </cell>
          <cell r="Z2946">
            <v>0</v>
          </cell>
        </row>
        <row r="2947">
          <cell r="V2947">
            <v>0</v>
          </cell>
          <cell r="Z2947">
            <v>0</v>
          </cell>
        </row>
        <row r="2948">
          <cell r="V2948">
            <v>0</v>
          </cell>
          <cell r="Z2948">
            <v>0</v>
          </cell>
        </row>
        <row r="2949">
          <cell r="V2949">
            <v>0</v>
          </cell>
          <cell r="Z2949">
            <v>0</v>
          </cell>
        </row>
        <row r="2950">
          <cell r="V2950">
            <v>0</v>
          </cell>
          <cell r="Z2950">
            <v>0</v>
          </cell>
        </row>
        <row r="2951">
          <cell r="V2951">
            <v>0</v>
          </cell>
          <cell r="Z2951">
            <v>0</v>
          </cell>
        </row>
        <row r="2952">
          <cell r="V2952">
            <v>0</v>
          </cell>
          <cell r="Z2952">
            <v>0</v>
          </cell>
        </row>
        <row r="2953">
          <cell r="V2953">
            <v>0</v>
          </cell>
          <cell r="Z2953">
            <v>0</v>
          </cell>
        </row>
        <row r="2954">
          <cell r="V2954">
            <v>0</v>
          </cell>
          <cell r="Z2954">
            <v>0</v>
          </cell>
        </row>
        <row r="2955">
          <cell r="V2955">
            <v>0</v>
          </cell>
          <cell r="Z2955">
            <v>0</v>
          </cell>
        </row>
        <row r="2956">
          <cell r="V2956">
            <v>0</v>
          </cell>
          <cell r="Z2956">
            <v>0</v>
          </cell>
        </row>
        <row r="2957">
          <cell r="V2957">
            <v>0</v>
          </cell>
          <cell r="Z2957">
            <v>0</v>
          </cell>
        </row>
        <row r="2958">
          <cell r="V2958">
            <v>0</v>
          </cell>
          <cell r="Z2958">
            <v>0</v>
          </cell>
        </row>
        <row r="2959">
          <cell r="V2959">
            <v>0</v>
          </cell>
          <cell r="Z2959">
            <v>0</v>
          </cell>
        </row>
        <row r="2960">
          <cell r="V2960">
            <v>0</v>
          </cell>
          <cell r="Z2960">
            <v>0</v>
          </cell>
        </row>
        <row r="2961">
          <cell r="V2961">
            <v>0</v>
          </cell>
          <cell r="Z2961">
            <v>0</v>
          </cell>
        </row>
        <row r="2962">
          <cell r="V2962">
            <v>0</v>
          </cell>
          <cell r="Z2962">
            <v>0</v>
          </cell>
        </row>
        <row r="2963">
          <cell r="V2963">
            <v>0</v>
          </cell>
          <cell r="Z2963">
            <v>0</v>
          </cell>
        </row>
        <row r="2964">
          <cell r="V2964">
            <v>0</v>
          </cell>
          <cell r="Z2964">
            <v>0</v>
          </cell>
        </row>
        <row r="2965">
          <cell r="V2965">
            <v>0</v>
          </cell>
          <cell r="Z2965">
            <v>0</v>
          </cell>
        </row>
        <row r="2966">
          <cell r="V2966">
            <v>0</v>
          </cell>
          <cell r="Z2966">
            <v>0</v>
          </cell>
        </row>
        <row r="2967">
          <cell r="V2967">
            <v>0</v>
          </cell>
          <cell r="Z2967">
            <v>0</v>
          </cell>
        </row>
        <row r="2968">
          <cell r="V2968">
            <v>0</v>
          </cell>
          <cell r="Z2968">
            <v>0</v>
          </cell>
        </row>
        <row r="2969">
          <cell r="V2969">
            <v>0</v>
          </cell>
          <cell r="Z2969">
            <v>0</v>
          </cell>
        </row>
        <row r="2970">
          <cell r="V2970">
            <v>0</v>
          </cell>
          <cell r="Z2970">
            <v>0</v>
          </cell>
        </row>
        <row r="2971">
          <cell r="V2971">
            <v>0</v>
          </cell>
          <cell r="Z2971">
            <v>0</v>
          </cell>
        </row>
        <row r="2972">
          <cell r="V2972">
            <v>0</v>
          </cell>
          <cell r="Z2972">
            <v>0</v>
          </cell>
        </row>
        <row r="2973">
          <cell r="V2973">
            <v>0</v>
          </cell>
          <cell r="Z2973">
            <v>0</v>
          </cell>
        </row>
        <row r="2974">
          <cell r="V2974">
            <v>0</v>
          </cell>
          <cell r="Z2974">
            <v>0</v>
          </cell>
        </row>
        <row r="2975">
          <cell r="V2975">
            <v>0</v>
          </cell>
          <cell r="Z2975">
            <v>0</v>
          </cell>
        </row>
        <row r="2976">
          <cell r="V2976">
            <v>0</v>
          </cell>
          <cell r="Z2976">
            <v>0</v>
          </cell>
        </row>
        <row r="2977">
          <cell r="V2977">
            <v>0</v>
          </cell>
          <cell r="Z2977">
            <v>0</v>
          </cell>
        </row>
        <row r="2978">
          <cell r="V2978">
            <v>0</v>
          </cell>
          <cell r="Z2978">
            <v>0</v>
          </cell>
        </row>
        <row r="2979">
          <cell r="V2979">
            <v>0</v>
          </cell>
          <cell r="Z2979">
            <v>0</v>
          </cell>
        </row>
        <row r="2980">
          <cell r="V2980">
            <v>0</v>
          </cell>
          <cell r="Z2980">
            <v>0</v>
          </cell>
        </row>
        <row r="2981">
          <cell r="V2981">
            <v>0</v>
          </cell>
          <cell r="Z2981">
            <v>0</v>
          </cell>
        </row>
        <row r="2982">
          <cell r="V2982">
            <v>0</v>
          </cell>
          <cell r="Z2982">
            <v>0</v>
          </cell>
        </row>
        <row r="2983">
          <cell r="V2983">
            <v>0</v>
          </cell>
          <cell r="Z2983">
            <v>0</v>
          </cell>
        </row>
        <row r="2984">
          <cell r="V2984">
            <v>0</v>
          </cell>
          <cell r="Z2984">
            <v>0</v>
          </cell>
        </row>
        <row r="2985">
          <cell r="V2985">
            <v>0</v>
          </cell>
          <cell r="Z2985">
            <v>0</v>
          </cell>
        </row>
        <row r="2986">
          <cell r="V2986">
            <v>0</v>
          </cell>
          <cell r="Z2986">
            <v>0</v>
          </cell>
        </row>
        <row r="2987">
          <cell r="V2987">
            <v>0</v>
          </cell>
          <cell r="Z2987">
            <v>0</v>
          </cell>
        </row>
        <row r="2988">
          <cell r="V2988">
            <v>0</v>
          </cell>
          <cell r="Z2988">
            <v>0</v>
          </cell>
        </row>
        <row r="2989">
          <cell r="V2989">
            <v>0</v>
          </cell>
          <cell r="Z2989">
            <v>0</v>
          </cell>
        </row>
        <row r="2990">
          <cell r="V2990">
            <v>0</v>
          </cell>
          <cell r="Z2990">
            <v>0</v>
          </cell>
        </row>
        <row r="2991">
          <cell r="V2991">
            <v>0</v>
          </cell>
          <cell r="Z2991">
            <v>0</v>
          </cell>
        </row>
        <row r="2992">
          <cell r="V2992">
            <v>0</v>
          </cell>
          <cell r="Z2992">
            <v>0</v>
          </cell>
        </row>
        <row r="2993">
          <cell r="V2993">
            <v>0</v>
          </cell>
          <cell r="Z2993">
            <v>0</v>
          </cell>
        </row>
        <row r="2994">
          <cell r="V2994">
            <v>0</v>
          </cell>
          <cell r="Z2994">
            <v>0</v>
          </cell>
        </row>
        <row r="2995">
          <cell r="V2995">
            <v>0</v>
          </cell>
          <cell r="Z2995">
            <v>0</v>
          </cell>
        </row>
        <row r="2996">
          <cell r="V2996">
            <v>0</v>
          </cell>
          <cell r="Z2996">
            <v>0</v>
          </cell>
        </row>
        <row r="2997">
          <cell r="V2997">
            <v>0</v>
          </cell>
          <cell r="Z2997">
            <v>0</v>
          </cell>
        </row>
        <row r="2998">
          <cell r="V2998">
            <v>0</v>
          </cell>
          <cell r="Z2998">
            <v>0</v>
          </cell>
        </row>
        <row r="2999">
          <cell r="V2999">
            <v>0</v>
          </cell>
          <cell r="Z2999">
            <v>0</v>
          </cell>
        </row>
        <row r="3000">
          <cell r="V3000">
            <v>0</v>
          </cell>
          <cell r="Z3000">
            <v>0</v>
          </cell>
        </row>
        <row r="3001">
          <cell r="V3001">
            <v>0</v>
          </cell>
          <cell r="Z3001">
            <v>0</v>
          </cell>
        </row>
        <row r="3002">
          <cell r="V3002">
            <v>0</v>
          </cell>
          <cell r="Z3002">
            <v>0</v>
          </cell>
        </row>
        <row r="3003">
          <cell r="V3003">
            <v>0</v>
          </cell>
          <cell r="Z3003">
            <v>0</v>
          </cell>
        </row>
        <row r="3004">
          <cell r="V3004">
            <v>0</v>
          </cell>
          <cell r="Z3004">
            <v>0</v>
          </cell>
        </row>
        <row r="3005">
          <cell r="V3005">
            <v>0</v>
          </cell>
          <cell r="Z3005">
            <v>0</v>
          </cell>
        </row>
        <row r="3006">
          <cell r="V3006">
            <v>0</v>
          </cell>
          <cell r="Z3006">
            <v>0</v>
          </cell>
        </row>
        <row r="3007">
          <cell r="V3007">
            <v>0</v>
          </cell>
          <cell r="Z3007">
            <v>0</v>
          </cell>
        </row>
        <row r="3008">
          <cell r="V3008">
            <v>0</v>
          </cell>
          <cell r="Z3008">
            <v>0</v>
          </cell>
        </row>
        <row r="3009">
          <cell r="V3009">
            <v>0</v>
          </cell>
          <cell r="Z3009">
            <v>0</v>
          </cell>
        </row>
        <row r="3010">
          <cell r="V3010">
            <v>0</v>
          </cell>
          <cell r="Z3010">
            <v>0</v>
          </cell>
        </row>
        <row r="3011">
          <cell r="V3011">
            <v>0</v>
          </cell>
          <cell r="Z3011">
            <v>0</v>
          </cell>
        </row>
        <row r="3012">
          <cell r="V3012">
            <v>0</v>
          </cell>
          <cell r="Z3012">
            <v>0</v>
          </cell>
        </row>
        <row r="3013">
          <cell r="V3013">
            <v>0</v>
          </cell>
          <cell r="Z3013">
            <v>0</v>
          </cell>
        </row>
        <row r="3014">
          <cell r="V3014">
            <v>0</v>
          </cell>
          <cell r="Z3014">
            <v>0</v>
          </cell>
        </row>
        <row r="3015">
          <cell r="V3015">
            <v>0</v>
          </cell>
          <cell r="Z3015">
            <v>0</v>
          </cell>
        </row>
        <row r="3016">
          <cell r="V3016">
            <v>0</v>
          </cell>
          <cell r="Z3016">
            <v>0</v>
          </cell>
        </row>
        <row r="3017">
          <cell r="V3017">
            <v>0</v>
          </cell>
          <cell r="Z3017">
            <v>0</v>
          </cell>
        </row>
        <row r="3018">
          <cell r="V3018">
            <v>0</v>
          </cell>
          <cell r="Z3018">
            <v>0</v>
          </cell>
        </row>
        <row r="3019">
          <cell r="V3019">
            <v>0</v>
          </cell>
          <cell r="Z3019">
            <v>0</v>
          </cell>
        </row>
        <row r="3020">
          <cell r="V3020">
            <v>0</v>
          </cell>
          <cell r="Z3020">
            <v>0</v>
          </cell>
        </row>
        <row r="3021">
          <cell r="V3021">
            <v>0</v>
          </cell>
          <cell r="Z3021">
            <v>0</v>
          </cell>
        </row>
        <row r="3022">
          <cell r="V3022">
            <v>0</v>
          </cell>
          <cell r="Z3022">
            <v>0</v>
          </cell>
        </row>
        <row r="3023">
          <cell r="V3023">
            <v>0</v>
          </cell>
          <cell r="Z3023">
            <v>0</v>
          </cell>
        </row>
        <row r="3024">
          <cell r="V3024">
            <v>0</v>
          </cell>
          <cell r="Z3024">
            <v>0</v>
          </cell>
        </row>
        <row r="3025">
          <cell r="V3025">
            <v>0</v>
          </cell>
          <cell r="Z3025">
            <v>0</v>
          </cell>
        </row>
        <row r="3026">
          <cell r="V3026">
            <v>0</v>
          </cell>
          <cell r="Z3026">
            <v>0</v>
          </cell>
        </row>
        <row r="3027">
          <cell r="V3027">
            <v>0</v>
          </cell>
          <cell r="Z3027">
            <v>0</v>
          </cell>
        </row>
        <row r="3028">
          <cell r="V3028">
            <v>0</v>
          </cell>
          <cell r="Z3028">
            <v>0</v>
          </cell>
        </row>
        <row r="3029">
          <cell r="V3029">
            <v>0</v>
          </cell>
          <cell r="Z3029">
            <v>0</v>
          </cell>
        </row>
        <row r="3030">
          <cell r="V3030">
            <v>0</v>
          </cell>
          <cell r="Z3030">
            <v>0</v>
          </cell>
        </row>
        <row r="3031">
          <cell r="V3031">
            <v>0</v>
          </cell>
          <cell r="Z3031">
            <v>0</v>
          </cell>
        </row>
        <row r="3032">
          <cell r="V3032">
            <v>0</v>
          </cell>
          <cell r="Z3032">
            <v>0</v>
          </cell>
        </row>
        <row r="3033">
          <cell r="V3033">
            <v>0</v>
          </cell>
          <cell r="Z3033">
            <v>0</v>
          </cell>
        </row>
        <row r="3034">
          <cell r="V3034">
            <v>0</v>
          </cell>
          <cell r="Z3034">
            <v>0</v>
          </cell>
        </row>
        <row r="3035">
          <cell r="V3035">
            <v>0</v>
          </cell>
          <cell r="Z3035">
            <v>0</v>
          </cell>
        </row>
        <row r="3036">
          <cell r="V3036">
            <v>0</v>
          </cell>
          <cell r="Z3036">
            <v>0</v>
          </cell>
        </row>
        <row r="3037">
          <cell r="V3037">
            <v>0</v>
          </cell>
          <cell r="Z3037">
            <v>0</v>
          </cell>
        </row>
        <row r="3038">
          <cell r="V3038">
            <v>0</v>
          </cell>
          <cell r="Z3038">
            <v>0</v>
          </cell>
        </row>
        <row r="3039">
          <cell r="V3039">
            <v>0</v>
          </cell>
          <cell r="Z3039">
            <v>0</v>
          </cell>
        </row>
        <row r="3040">
          <cell r="V3040">
            <v>0</v>
          </cell>
          <cell r="Z3040">
            <v>0</v>
          </cell>
        </row>
        <row r="3041">
          <cell r="V3041">
            <v>0</v>
          </cell>
          <cell r="Z3041">
            <v>0</v>
          </cell>
        </row>
        <row r="3042">
          <cell r="V3042">
            <v>0</v>
          </cell>
          <cell r="Z3042">
            <v>0</v>
          </cell>
        </row>
        <row r="3043">
          <cell r="V3043">
            <v>0</v>
          </cell>
          <cell r="Z3043">
            <v>0</v>
          </cell>
        </row>
        <row r="3044">
          <cell r="V3044">
            <v>0</v>
          </cell>
          <cell r="Z3044">
            <v>0</v>
          </cell>
        </row>
        <row r="3045">
          <cell r="V3045">
            <v>0</v>
          </cell>
          <cell r="Z3045">
            <v>0</v>
          </cell>
        </row>
        <row r="3046">
          <cell r="V3046">
            <v>0</v>
          </cell>
          <cell r="Z3046">
            <v>0</v>
          </cell>
        </row>
        <row r="3047">
          <cell r="V3047">
            <v>0</v>
          </cell>
          <cell r="Z3047">
            <v>0</v>
          </cell>
        </row>
        <row r="3048">
          <cell r="V3048">
            <v>0</v>
          </cell>
          <cell r="Z3048">
            <v>0</v>
          </cell>
        </row>
        <row r="3049">
          <cell r="V3049">
            <v>0</v>
          </cell>
          <cell r="Z3049">
            <v>0</v>
          </cell>
        </row>
        <row r="3050">
          <cell r="V3050">
            <v>0</v>
          </cell>
          <cell r="Z3050">
            <v>0</v>
          </cell>
        </row>
        <row r="3051">
          <cell r="V3051">
            <v>0</v>
          </cell>
          <cell r="Z3051">
            <v>0</v>
          </cell>
        </row>
        <row r="3052">
          <cell r="V3052">
            <v>0</v>
          </cell>
          <cell r="Z3052">
            <v>0</v>
          </cell>
        </row>
        <row r="3053">
          <cell r="V3053">
            <v>0</v>
          </cell>
          <cell r="Z3053">
            <v>0</v>
          </cell>
        </row>
        <row r="3054">
          <cell r="V3054">
            <v>0</v>
          </cell>
          <cell r="Z3054">
            <v>0</v>
          </cell>
        </row>
        <row r="3055">
          <cell r="V3055">
            <v>0</v>
          </cell>
          <cell r="Z3055">
            <v>0</v>
          </cell>
        </row>
        <row r="3056">
          <cell r="V3056">
            <v>0</v>
          </cell>
          <cell r="Z3056">
            <v>0</v>
          </cell>
        </row>
        <row r="3057">
          <cell r="V3057">
            <v>0</v>
          </cell>
          <cell r="Z3057">
            <v>0</v>
          </cell>
        </row>
        <row r="3058">
          <cell r="V3058">
            <v>0</v>
          </cell>
          <cell r="Z3058">
            <v>0</v>
          </cell>
        </row>
        <row r="3059">
          <cell r="V3059">
            <v>0</v>
          </cell>
          <cell r="Z3059">
            <v>0</v>
          </cell>
        </row>
        <row r="3060">
          <cell r="V3060">
            <v>0</v>
          </cell>
          <cell r="Z3060">
            <v>0</v>
          </cell>
        </row>
        <row r="3061">
          <cell r="V3061">
            <v>0</v>
          </cell>
          <cell r="Z3061">
            <v>0</v>
          </cell>
        </row>
        <row r="3062">
          <cell r="V3062">
            <v>0</v>
          </cell>
          <cell r="Z3062">
            <v>0</v>
          </cell>
        </row>
        <row r="3063">
          <cell r="V3063">
            <v>0</v>
          </cell>
          <cell r="Z3063">
            <v>0</v>
          </cell>
        </row>
        <row r="3064">
          <cell r="V3064">
            <v>0</v>
          </cell>
          <cell r="Z3064">
            <v>0</v>
          </cell>
        </row>
        <row r="3065">
          <cell r="V3065">
            <v>0</v>
          </cell>
          <cell r="Z3065">
            <v>0</v>
          </cell>
        </row>
        <row r="3066">
          <cell r="V3066">
            <v>0</v>
          </cell>
          <cell r="Z3066">
            <v>0</v>
          </cell>
        </row>
        <row r="3067">
          <cell r="V3067">
            <v>0</v>
          </cell>
          <cell r="Z3067">
            <v>0</v>
          </cell>
        </row>
        <row r="3068">
          <cell r="V3068">
            <v>0</v>
          </cell>
          <cell r="Z3068">
            <v>0</v>
          </cell>
        </row>
        <row r="3069">
          <cell r="V3069">
            <v>0</v>
          </cell>
          <cell r="Z3069">
            <v>0</v>
          </cell>
        </row>
        <row r="3070">
          <cell r="V3070">
            <v>0</v>
          </cell>
          <cell r="Z3070">
            <v>0</v>
          </cell>
        </row>
        <row r="3071">
          <cell r="V3071">
            <v>0</v>
          </cell>
          <cell r="Z3071">
            <v>0</v>
          </cell>
        </row>
        <row r="3072">
          <cell r="V3072">
            <v>0</v>
          </cell>
          <cell r="Z3072">
            <v>0</v>
          </cell>
        </row>
        <row r="3073">
          <cell r="V3073">
            <v>0</v>
          </cell>
          <cell r="Z3073">
            <v>0</v>
          </cell>
        </row>
        <row r="3074">
          <cell r="V3074">
            <v>0</v>
          </cell>
          <cell r="Z3074">
            <v>0</v>
          </cell>
        </row>
        <row r="3075">
          <cell r="V3075">
            <v>0</v>
          </cell>
          <cell r="Z3075">
            <v>0</v>
          </cell>
        </row>
        <row r="3076">
          <cell r="V3076">
            <v>0</v>
          </cell>
          <cell r="Z3076">
            <v>0</v>
          </cell>
        </row>
        <row r="3077">
          <cell r="V3077">
            <v>0</v>
          </cell>
          <cell r="Z3077">
            <v>0</v>
          </cell>
        </row>
        <row r="3078">
          <cell r="V3078">
            <v>0</v>
          </cell>
          <cell r="Z3078">
            <v>0</v>
          </cell>
        </row>
        <row r="3079">
          <cell r="V3079">
            <v>0</v>
          </cell>
          <cell r="Z3079">
            <v>0</v>
          </cell>
        </row>
        <row r="3080">
          <cell r="V3080">
            <v>0</v>
          </cell>
          <cell r="Z3080">
            <v>0</v>
          </cell>
        </row>
        <row r="3081">
          <cell r="V3081">
            <v>0</v>
          </cell>
          <cell r="Z3081">
            <v>0</v>
          </cell>
        </row>
        <row r="3082">
          <cell r="V3082">
            <v>0</v>
          </cell>
          <cell r="Z3082">
            <v>0</v>
          </cell>
        </row>
        <row r="3083">
          <cell r="V3083">
            <v>0</v>
          </cell>
          <cell r="Z3083">
            <v>0</v>
          </cell>
        </row>
        <row r="3084">
          <cell r="V3084">
            <v>0</v>
          </cell>
          <cell r="Z3084">
            <v>0</v>
          </cell>
        </row>
        <row r="3085">
          <cell r="V3085">
            <v>0</v>
          </cell>
          <cell r="Z3085">
            <v>0</v>
          </cell>
        </row>
        <row r="3086">
          <cell r="V3086">
            <v>0</v>
          </cell>
          <cell r="Z3086">
            <v>0</v>
          </cell>
        </row>
        <row r="3087">
          <cell r="V3087">
            <v>0</v>
          </cell>
          <cell r="Z3087">
            <v>0</v>
          </cell>
        </row>
        <row r="3088">
          <cell r="V3088">
            <v>0</v>
          </cell>
          <cell r="Z3088">
            <v>0</v>
          </cell>
        </row>
        <row r="3089">
          <cell r="V3089">
            <v>0</v>
          </cell>
          <cell r="Z3089">
            <v>0</v>
          </cell>
        </row>
        <row r="3090">
          <cell r="V3090">
            <v>0</v>
          </cell>
          <cell r="Z3090">
            <v>0</v>
          </cell>
        </row>
        <row r="3091">
          <cell r="V3091">
            <v>0</v>
          </cell>
          <cell r="Z3091">
            <v>0</v>
          </cell>
        </row>
        <row r="3092">
          <cell r="V3092">
            <v>0</v>
          </cell>
          <cell r="Z3092">
            <v>0</v>
          </cell>
        </row>
        <row r="3093">
          <cell r="V3093">
            <v>0</v>
          </cell>
          <cell r="Z3093">
            <v>0</v>
          </cell>
        </row>
        <row r="3094">
          <cell r="V3094">
            <v>0</v>
          </cell>
          <cell r="Z3094">
            <v>0</v>
          </cell>
        </row>
        <row r="3095">
          <cell r="V3095">
            <v>0</v>
          </cell>
          <cell r="Z3095">
            <v>0</v>
          </cell>
        </row>
        <row r="3096">
          <cell r="V3096">
            <v>0</v>
          </cell>
          <cell r="Z3096">
            <v>0</v>
          </cell>
        </row>
        <row r="3097">
          <cell r="V3097">
            <v>0</v>
          </cell>
          <cell r="Z3097">
            <v>0</v>
          </cell>
        </row>
        <row r="3098">
          <cell r="V3098">
            <v>0</v>
          </cell>
          <cell r="Z3098">
            <v>0</v>
          </cell>
        </row>
        <row r="3099">
          <cell r="V3099">
            <v>0</v>
          </cell>
          <cell r="Z3099">
            <v>0</v>
          </cell>
        </row>
        <row r="3100">
          <cell r="V3100">
            <v>0</v>
          </cell>
          <cell r="Z3100">
            <v>0</v>
          </cell>
        </row>
        <row r="3101">
          <cell r="V3101">
            <v>0</v>
          </cell>
          <cell r="Z3101">
            <v>0</v>
          </cell>
        </row>
        <row r="3102">
          <cell r="V3102">
            <v>0</v>
          </cell>
          <cell r="Z3102">
            <v>0</v>
          </cell>
        </row>
        <row r="3103">
          <cell r="V3103">
            <v>0</v>
          </cell>
          <cell r="Z3103">
            <v>0</v>
          </cell>
        </row>
        <row r="3104">
          <cell r="V3104">
            <v>0</v>
          </cell>
          <cell r="Z3104">
            <v>0</v>
          </cell>
        </row>
        <row r="3105">
          <cell r="V3105">
            <v>0</v>
          </cell>
          <cell r="Z3105">
            <v>0</v>
          </cell>
        </row>
        <row r="3106">
          <cell r="V3106">
            <v>0</v>
          </cell>
          <cell r="Z3106">
            <v>0</v>
          </cell>
        </row>
        <row r="3107">
          <cell r="V3107">
            <v>0</v>
          </cell>
          <cell r="Z3107">
            <v>0</v>
          </cell>
        </row>
        <row r="3108">
          <cell r="V3108">
            <v>0</v>
          </cell>
          <cell r="Z3108">
            <v>0</v>
          </cell>
        </row>
        <row r="3109">
          <cell r="V3109">
            <v>0</v>
          </cell>
          <cell r="Z3109">
            <v>0</v>
          </cell>
        </row>
        <row r="3110">
          <cell r="V3110">
            <v>0</v>
          </cell>
          <cell r="Z3110">
            <v>0</v>
          </cell>
        </row>
        <row r="3111">
          <cell r="V3111">
            <v>0</v>
          </cell>
          <cell r="Z3111">
            <v>0</v>
          </cell>
        </row>
        <row r="3112">
          <cell r="V3112">
            <v>0</v>
          </cell>
          <cell r="Z3112">
            <v>0</v>
          </cell>
        </row>
        <row r="3113">
          <cell r="V3113">
            <v>0</v>
          </cell>
          <cell r="Z3113">
            <v>0</v>
          </cell>
        </row>
        <row r="3114">
          <cell r="V3114">
            <v>0</v>
          </cell>
          <cell r="Z3114">
            <v>0</v>
          </cell>
        </row>
        <row r="3115">
          <cell r="V3115">
            <v>0</v>
          </cell>
          <cell r="Z3115">
            <v>0</v>
          </cell>
        </row>
        <row r="3116">
          <cell r="V3116">
            <v>0</v>
          </cell>
          <cell r="Z3116">
            <v>0</v>
          </cell>
        </row>
        <row r="3117">
          <cell r="V3117">
            <v>0</v>
          </cell>
          <cell r="Z3117">
            <v>0</v>
          </cell>
        </row>
        <row r="3118">
          <cell r="V3118">
            <v>0</v>
          </cell>
          <cell r="Z3118">
            <v>0</v>
          </cell>
        </row>
        <row r="3119">
          <cell r="V3119">
            <v>0</v>
          </cell>
          <cell r="Z3119">
            <v>0</v>
          </cell>
        </row>
        <row r="3120">
          <cell r="V3120">
            <v>0</v>
          </cell>
          <cell r="Z3120">
            <v>0</v>
          </cell>
        </row>
        <row r="3121">
          <cell r="V3121">
            <v>0</v>
          </cell>
          <cell r="Z3121">
            <v>0</v>
          </cell>
        </row>
        <row r="3122">
          <cell r="V3122">
            <v>0</v>
          </cell>
          <cell r="Z3122">
            <v>0</v>
          </cell>
        </row>
        <row r="3123">
          <cell r="V3123">
            <v>0</v>
          </cell>
          <cell r="Z3123">
            <v>0</v>
          </cell>
        </row>
        <row r="3124">
          <cell r="V3124">
            <v>0</v>
          </cell>
          <cell r="Z3124">
            <v>0</v>
          </cell>
        </row>
        <row r="3125">
          <cell r="V3125">
            <v>0</v>
          </cell>
          <cell r="Z3125">
            <v>0</v>
          </cell>
        </row>
        <row r="3126">
          <cell r="V3126">
            <v>0</v>
          </cell>
          <cell r="Z3126">
            <v>0</v>
          </cell>
        </row>
        <row r="3127">
          <cell r="V3127">
            <v>0</v>
          </cell>
          <cell r="Z3127">
            <v>0</v>
          </cell>
        </row>
        <row r="3128">
          <cell r="V3128">
            <v>0</v>
          </cell>
          <cell r="Z3128">
            <v>0</v>
          </cell>
        </row>
        <row r="3129">
          <cell r="V3129">
            <v>0</v>
          </cell>
          <cell r="Z3129">
            <v>0</v>
          </cell>
        </row>
        <row r="3130">
          <cell r="V3130">
            <v>0</v>
          </cell>
          <cell r="Z3130">
            <v>0</v>
          </cell>
        </row>
        <row r="3131">
          <cell r="V3131">
            <v>0</v>
          </cell>
          <cell r="Z3131">
            <v>0</v>
          </cell>
        </row>
        <row r="3132">
          <cell r="V3132">
            <v>0</v>
          </cell>
          <cell r="Z3132">
            <v>0</v>
          </cell>
        </row>
        <row r="3133">
          <cell r="V3133">
            <v>0</v>
          </cell>
          <cell r="Z3133">
            <v>0</v>
          </cell>
        </row>
        <row r="3134">
          <cell r="V3134">
            <v>0</v>
          </cell>
          <cell r="Z3134">
            <v>0</v>
          </cell>
        </row>
        <row r="3135">
          <cell r="V3135">
            <v>0</v>
          </cell>
          <cell r="Z3135">
            <v>0</v>
          </cell>
        </row>
        <row r="3136">
          <cell r="V3136">
            <v>0</v>
          </cell>
          <cell r="Z3136">
            <v>0</v>
          </cell>
        </row>
        <row r="3137">
          <cell r="V3137">
            <v>0</v>
          </cell>
          <cell r="Z3137">
            <v>0</v>
          </cell>
        </row>
        <row r="3138">
          <cell r="V3138">
            <v>0</v>
          </cell>
          <cell r="Z3138">
            <v>0</v>
          </cell>
        </row>
        <row r="3139">
          <cell r="V3139">
            <v>0</v>
          </cell>
          <cell r="Z3139">
            <v>0</v>
          </cell>
        </row>
        <row r="3140">
          <cell r="V3140">
            <v>0</v>
          </cell>
          <cell r="Z3140">
            <v>0</v>
          </cell>
        </row>
        <row r="3141">
          <cell r="V3141">
            <v>0</v>
          </cell>
          <cell r="Z3141">
            <v>0</v>
          </cell>
        </row>
        <row r="3142">
          <cell r="V3142">
            <v>0</v>
          </cell>
          <cell r="Z3142">
            <v>0</v>
          </cell>
        </row>
        <row r="3143">
          <cell r="V3143">
            <v>0</v>
          </cell>
          <cell r="Z3143">
            <v>0</v>
          </cell>
        </row>
        <row r="3144">
          <cell r="V3144">
            <v>0</v>
          </cell>
          <cell r="Z3144">
            <v>0</v>
          </cell>
        </row>
        <row r="3145">
          <cell r="V3145">
            <v>0</v>
          </cell>
          <cell r="Z3145">
            <v>0</v>
          </cell>
        </row>
        <row r="3146">
          <cell r="V3146">
            <v>0</v>
          </cell>
          <cell r="Z3146">
            <v>0</v>
          </cell>
        </row>
        <row r="3147">
          <cell r="V3147">
            <v>0</v>
          </cell>
          <cell r="Z3147">
            <v>0</v>
          </cell>
        </row>
        <row r="3148">
          <cell r="V3148">
            <v>0</v>
          </cell>
          <cell r="Z3148">
            <v>0</v>
          </cell>
        </row>
        <row r="3149">
          <cell r="V3149">
            <v>0</v>
          </cell>
          <cell r="Z3149">
            <v>0</v>
          </cell>
        </row>
        <row r="3150">
          <cell r="V3150">
            <v>0</v>
          </cell>
          <cell r="Z3150">
            <v>0</v>
          </cell>
        </row>
        <row r="3151">
          <cell r="V3151">
            <v>0</v>
          </cell>
          <cell r="Z3151">
            <v>0</v>
          </cell>
        </row>
        <row r="3152">
          <cell r="V3152">
            <v>0</v>
          </cell>
          <cell r="Z3152">
            <v>0</v>
          </cell>
        </row>
        <row r="3153">
          <cell r="V3153">
            <v>0</v>
          </cell>
          <cell r="Z3153">
            <v>0</v>
          </cell>
        </row>
        <row r="3154">
          <cell r="V3154">
            <v>0</v>
          </cell>
          <cell r="Z3154">
            <v>0</v>
          </cell>
        </row>
        <row r="3155">
          <cell r="V3155">
            <v>0</v>
          </cell>
          <cell r="Z3155">
            <v>0</v>
          </cell>
        </row>
        <row r="3156">
          <cell r="V3156">
            <v>0</v>
          </cell>
          <cell r="Z3156">
            <v>0</v>
          </cell>
        </row>
        <row r="3157">
          <cell r="V3157">
            <v>0</v>
          </cell>
          <cell r="Z3157">
            <v>0</v>
          </cell>
        </row>
        <row r="3158">
          <cell r="V3158">
            <v>0</v>
          </cell>
          <cell r="Z3158">
            <v>0</v>
          </cell>
        </row>
        <row r="3159">
          <cell r="V3159">
            <v>0</v>
          </cell>
          <cell r="Z3159">
            <v>0</v>
          </cell>
        </row>
        <row r="3160">
          <cell r="V3160">
            <v>0</v>
          </cell>
          <cell r="Z3160">
            <v>0</v>
          </cell>
        </row>
        <row r="3161">
          <cell r="V3161">
            <v>0</v>
          </cell>
          <cell r="Z3161">
            <v>0</v>
          </cell>
        </row>
        <row r="3162">
          <cell r="V3162">
            <v>0</v>
          </cell>
          <cell r="Z3162">
            <v>0</v>
          </cell>
        </row>
        <row r="3163">
          <cell r="V3163">
            <v>0</v>
          </cell>
          <cell r="Z3163">
            <v>0</v>
          </cell>
        </row>
        <row r="3164">
          <cell r="V3164">
            <v>0</v>
          </cell>
          <cell r="Z3164">
            <v>0</v>
          </cell>
        </row>
        <row r="3165">
          <cell r="V3165">
            <v>0</v>
          </cell>
          <cell r="Z3165">
            <v>0</v>
          </cell>
        </row>
        <row r="3166">
          <cell r="V3166">
            <v>0</v>
          </cell>
          <cell r="Z3166">
            <v>0</v>
          </cell>
        </row>
        <row r="3167">
          <cell r="V3167">
            <v>0</v>
          </cell>
          <cell r="Z3167">
            <v>0</v>
          </cell>
        </row>
        <row r="3168">
          <cell r="V3168">
            <v>0</v>
          </cell>
          <cell r="Z3168">
            <v>0</v>
          </cell>
        </row>
        <row r="3169">
          <cell r="V3169">
            <v>0</v>
          </cell>
          <cell r="Z3169">
            <v>0</v>
          </cell>
        </row>
        <row r="3170">
          <cell r="V3170">
            <v>0</v>
          </cell>
          <cell r="Z3170">
            <v>0</v>
          </cell>
        </row>
        <row r="3171">
          <cell r="V3171">
            <v>0</v>
          </cell>
          <cell r="Z3171">
            <v>0</v>
          </cell>
        </row>
        <row r="3172">
          <cell r="V3172">
            <v>0</v>
          </cell>
          <cell r="Z3172">
            <v>0</v>
          </cell>
        </row>
        <row r="3173">
          <cell r="V3173">
            <v>0</v>
          </cell>
          <cell r="Z3173">
            <v>0</v>
          </cell>
        </row>
        <row r="3174">
          <cell r="V3174">
            <v>0</v>
          </cell>
          <cell r="Z3174">
            <v>0</v>
          </cell>
        </row>
        <row r="3175">
          <cell r="V3175">
            <v>0</v>
          </cell>
          <cell r="Z3175">
            <v>0</v>
          </cell>
        </row>
        <row r="3176">
          <cell r="V3176">
            <v>0</v>
          </cell>
          <cell r="Z3176">
            <v>0</v>
          </cell>
        </row>
        <row r="3177">
          <cell r="V3177">
            <v>0</v>
          </cell>
          <cell r="Z3177">
            <v>0</v>
          </cell>
        </row>
        <row r="3178">
          <cell r="V3178">
            <v>0</v>
          </cell>
          <cell r="Z3178">
            <v>0</v>
          </cell>
        </row>
        <row r="3179">
          <cell r="V3179">
            <v>0</v>
          </cell>
          <cell r="Z3179">
            <v>0</v>
          </cell>
        </row>
        <row r="3180">
          <cell r="V3180">
            <v>0</v>
          </cell>
          <cell r="Z3180">
            <v>0</v>
          </cell>
        </row>
        <row r="3181">
          <cell r="V3181">
            <v>0</v>
          </cell>
          <cell r="Z3181">
            <v>0</v>
          </cell>
        </row>
        <row r="3182">
          <cell r="V3182">
            <v>0</v>
          </cell>
          <cell r="Z3182">
            <v>0</v>
          </cell>
        </row>
        <row r="3183">
          <cell r="V3183">
            <v>0</v>
          </cell>
          <cell r="Z3183">
            <v>0</v>
          </cell>
        </row>
        <row r="3184">
          <cell r="V3184">
            <v>0</v>
          </cell>
          <cell r="Z3184">
            <v>0</v>
          </cell>
        </row>
        <row r="3185">
          <cell r="V3185">
            <v>0</v>
          </cell>
          <cell r="Z3185">
            <v>0</v>
          </cell>
        </row>
        <row r="3186">
          <cell r="V3186">
            <v>0</v>
          </cell>
          <cell r="Z3186">
            <v>0</v>
          </cell>
        </row>
        <row r="3187">
          <cell r="V3187">
            <v>0</v>
          </cell>
          <cell r="Z3187">
            <v>0</v>
          </cell>
        </row>
        <row r="3188">
          <cell r="V3188">
            <v>0</v>
          </cell>
          <cell r="Z3188">
            <v>0</v>
          </cell>
        </row>
        <row r="3189">
          <cell r="V3189">
            <v>0</v>
          </cell>
          <cell r="Z3189">
            <v>0</v>
          </cell>
        </row>
        <row r="3190">
          <cell r="V3190">
            <v>0</v>
          </cell>
          <cell r="Z3190">
            <v>0</v>
          </cell>
        </row>
        <row r="3191">
          <cell r="V3191">
            <v>0</v>
          </cell>
          <cell r="Z3191">
            <v>0</v>
          </cell>
        </row>
        <row r="3192">
          <cell r="V3192">
            <v>0</v>
          </cell>
          <cell r="Z3192">
            <v>0</v>
          </cell>
        </row>
        <row r="3193">
          <cell r="V3193">
            <v>0</v>
          </cell>
          <cell r="Z3193">
            <v>0</v>
          </cell>
        </row>
        <row r="3194">
          <cell r="V3194">
            <v>0</v>
          </cell>
          <cell r="Z3194">
            <v>0</v>
          </cell>
        </row>
        <row r="3195">
          <cell r="V3195">
            <v>0</v>
          </cell>
          <cell r="Z3195">
            <v>0</v>
          </cell>
        </row>
        <row r="3196">
          <cell r="V3196">
            <v>0</v>
          </cell>
          <cell r="Z3196">
            <v>0</v>
          </cell>
        </row>
        <row r="3197">
          <cell r="V3197">
            <v>0</v>
          </cell>
          <cell r="Z3197">
            <v>0</v>
          </cell>
        </row>
        <row r="3198">
          <cell r="V3198">
            <v>0</v>
          </cell>
          <cell r="Z3198">
            <v>0</v>
          </cell>
        </row>
        <row r="3199">
          <cell r="V3199">
            <v>0</v>
          </cell>
          <cell r="Z3199">
            <v>0</v>
          </cell>
        </row>
        <row r="3200">
          <cell r="V3200">
            <v>0</v>
          </cell>
          <cell r="Z3200">
            <v>0</v>
          </cell>
        </row>
        <row r="3201">
          <cell r="V3201">
            <v>0</v>
          </cell>
          <cell r="Z3201">
            <v>0</v>
          </cell>
        </row>
        <row r="3202">
          <cell r="V3202">
            <v>0</v>
          </cell>
          <cell r="Z3202">
            <v>0</v>
          </cell>
        </row>
        <row r="3203">
          <cell r="V3203">
            <v>0</v>
          </cell>
          <cell r="Z3203">
            <v>0</v>
          </cell>
        </row>
        <row r="3204">
          <cell r="V3204">
            <v>0</v>
          </cell>
          <cell r="Z3204">
            <v>0</v>
          </cell>
        </row>
        <row r="3205">
          <cell r="V3205">
            <v>0</v>
          </cell>
          <cell r="Z3205">
            <v>0</v>
          </cell>
        </row>
        <row r="3206">
          <cell r="V3206">
            <v>0</v>
          </cell>
          <cell r="Z3206">
            <v>0</v>
          </cell>
        </row>
        <row r="3207">
          <cell r="V3207">
            <v>0</v>
          </cell>
          <cell r="Z3207">
            <v>0</v>
          </cell>
        </row>
        <row r="3208">
          <cell r="V3208">
            <v>0</v>
          </cell>
          <cell r="Z3208">
            <v>0</v>
          </cell>
        </row>
        <row r="3209">
          <cell r="V3209">
            <v>0</v>
          </cell>
          <cell r="Z3209">
            <v>0</v>
          </cell>
        </row>
        <row r="3210">
          <cell r="V3210">
            <v>0</v>
          </cell>
          <cell r="Z3210">
            <v>0</v>
          </cell>
        </row>
        <row r="3211">
          <cell r="V3211">
            <v>0</v>
          </cell>
          <cell r="Z3211">
            <v>0</v>
          </cell>
        </row>
        <row r="3212">
          <cell r="V3212">
            <v>0</v>
          </cell>
          <cell r="Z3212">
            <v>0</v>
          </cell>
        </row>
        <row r="3213">
          <cell r="V3213">
            <v>0</v>
          </cell>
          <cell r="Z3213">
            <v>0</v>
          </cell>
        </row>
        <row r="3214">
          <cell r="V3214">
            <v>0</v>
          </cell>
          <cell r="Z3214">
            <v>0</v>
          </cell>
        </row>
        <row r="3215">
          <cell r="V3215">
            <v>0</v>
          </cell>
          <cell r="Z3215">
            <v>0</v>
          </cell>
        </row>
        <row r="3216">
          <cell r="V3216">
            <v>0</v>
          </cell>
          <cell r="Z3216">
            <v>0</v>
          </cell>
        </row>
        <row r="3217">
          <cell r="V3217">
            <v>0</v>
          </cell>
          <cell r="Z3217">
            <v>0</v>
          </cell>
        </row>
        <row r="3218">
          <cell r="V3218">
            <v>0</v>
          </cell>
          <cell r="Z3218">
            <v>0</v>
          </cell>
        </row>
        <row r="3219">
          <cell r="V3219">
            <v>0</v>
          </cell>
          <cell r="Z3219">
            <v>0</v>
          </cell>
        </row>
        <row r="3220">
          <cell r="V3220">
            <v>0</v>
          </cell>
          <cell r="Z3220">
            <v>0</v>
          </cell>
        </row>
        <row r="3221">
          <cell r="V3221">
            <v>0</v>
          </cell>
          <cell r="Z3221">
            <v>0</v>
          </cell>
        </row>
        <row r="3222">
          <cell r="V3222">
            <v>0</v>
          </cell>
          <cell r="Z3222">
            <v>0</v>
          </cell>
        </row>
        <row r="3223">
          <cell r="V3223">
            <v>0</v>
          </cell>
          <cell r="Z3223">
            <v>0</v>
          </cell>
        </row>
        <row r="3224">
          <cell r="V3224">
            <v>0</v>
          </cell>
          <cell r="Z3224">
            <v>0</v>
          </cell>
        </row>
        <row r="3225">
          <cell r="V3225">
            <v>0</v>
          </cell>
          <cell r="Z3225">
            <v>0</v>
          </cell>
        </row>
        <row r="3226">
          <cell r="V3226">
            <v>0</v>
          </cell>
          <cell r="Z3226">
            <v>0</v>
          </cell>
        </row>
        <row r="3227">
          <cell r="V3227">
            <v>0</v>
          </cell>
          <cell r="Z3227">
            <v>0</v>
          </cell>
        </row>
        <row r="3228">
          <cell r="V3228">
            <v>0</v>
          </cell>
          <cell r="Z3228">
            <v>0</v>
          </cell>
        </row>
        <row r="3229">
          <cell r="V3229">
            <v>0</v>
          </cell>
          <cell r="Z3229">
            <v>0</v>
          </cell>
        </row>
        <row r="3230">
          <cell r="V3230">
            <v>0</v>
          </cell>
          <cell r="Z3230">
            <v>0</v>
          </cell>
        </row>
        <row r="3231">
          <cell r="V3231">
            <v>0</v>
          </cell>
          <cell r="Z3231">
            <v>0</v>
          </cell>
        </row>
        <row r="3232">
          <cell r="V3232">
            <v>0</v>
          </cell>
          <cell r="Z3232">
            <v>0</v>
          </cell>
        </row>
        <row r="3233">
          <cell r="V3233">
            <v>0</v>
          </cell>
          <cell r="Z3233">
            <v>0</v>
          </cell>
        </row>
        <row r="3234">
          <cell r="V3234">
            <v>0</v>
          </cell>
          <cell r="Z3234">
            <v>0</v>
          </cell>
        </row>
        <row r="3235">
          <cell r="V3235">
            <v>0</v>
          </cell>
          <cell r="Z3235">
            <v>0</v>
          </cell>
        </row>
        <row r="3236">
          <cell r="V3236">
            <v>0</v>
          </cell>
          <cell r="Z3236">
            <v>0</v>
          </cell>
        </row>
        <row r="3237">
          <cell r="V3237">
            <v>0</v>
          </cell>
          <cell r="Z3237">
            <v>0</v>
          </cell>
        </row>
        <row r="3238">
          <cell r="V3238">
            <v>0</v>
          </cell>
          <cell r="Z3238">
            <v>0</v>
          </cell>
        </row>
        <row r="3239">
          <cell r="V3239">
            <v>0</v>
          </cell>
          <cell r="Z3239">
            <v>0</v>
          </cell>
        </row>
        <row r="3240">
          <cell r="V3240">
            <v>0</v>
          </cell>
          <cell r="Z3240">
            <v>0</v>
          </cell>
        </row>
        <row r="3241">
          <cell r="V3241">
            <v>0</v>
          </cell>
          <cell r="Z3241">
            <v>0</v>
          </cell>
        </row>
        <row r="3242">
          <cell r="V3242">
            <v>0</v>
          </cell>
          <cell r="Z3242">
            <v>0</v>
          </cell>
        </row>
        <row r="3243">
          <cell r="V3243">
            <v>0</v>
          </cell>
          <cell r="Z3243">
            <v>0</v>
          </cell>
        </row>
        <row r="3244">
          <cell r="V3244">
            <v>0</v>
          </cell>
          <cell r="Z3244">
            <v>0</v>
          </cell>
        </row>
        <row r="3245">
          <cell r="V3245">
            <v>0</v>
          </cell>
          <cell r="Z3245">
            <v>0</v>
          </cell>
        </row>
        <row r="3246">
          <cell r="V3246">
            <v>0</v>
          </cell>
          <cell r="Z3246">
            <v>0</v>
          </cell>
        </row>
        <row r="3247">
          <cell r="V3247">
            <v>0</v>
          </cell>
          <cell r="Z3247">
            <v>0</v>
          </cell>
        </row>
        <row r="3248">
          <cell r="V3248">
            <v>0</v>
          </cell>
          <cell r="Z3248">
            <v>0</v>
          </cell>
        </row>
        <row r="3249">
          <cell r="V3249">
            <v>0</v>
          </cell>
          <cell r="Z3249">
            <v>0</v>
          </cell>
        </row>
        <row r="3250">
          <cell r="V3250">
            <v>0</v>
          </cell>
          <cell r="Z3250">
            <v>0</v>
          </cell>
        </row>
        <row r="3251">
          <cell r="V3251">
            <v>0</v>
          </cell>
          <cell r="Z3251">
            <v>0</v>
          </cell>
        </row>
        <row r="3252">
          <cell r="V3252">
            <v>0</v>
          </cell>
          <cell r="Z3252">
            <v>0</v>
          </cell>
        </row>
        <row r="3253">
          <cell r="V3253">
            <v>0</v>
          </cell>
          <cell r="Z3253">
            <v>0</v>
          </cell>
        </row>
        <row r="3254">
          <cell r="V3254">
            <v>0</v>
          </cell>
          <cell r="Z3254">
            <v>0</v>
          </cell>
        </row>
        <row r="3255">
          <cell r="V3255">
            <v>0</v>
          </cell>
          <cell r="Z3255">
            <v>0</v>
          </cell>
        </row>
        <row r="3256">
          <cell r="V3256">
            <v>0</v>
          </cell>
          <cell r="Z3256">
            <v>0</v>
          </cell>
        </row>
        <row r="3257">
          <cell r="V3257">
            <v>0</v>
          </cell>
          <cell r="Z3257">
            <v>0</v>
          </cell>
        </row>
        <row r="3258">
          <cell r="V3258">
            <v>0</v>
          </cell>
          <cell r="Z3258">
            <v>0</v>
          </cell>
        </row>
        <row r="3259">
          <cell r="V3259">
            <v>0</v>
          </cell>
          <cell r="Z3259">
            <v>0</v>
          </cell>
        </row>
        <row r="3260">
          <cell r="V3260">
            <v>0</v>
          </cell>
          <cell r="Z3260">
            <v>0</v>
          </cell>
        </row>
        <row r="3261">
          <cell r="V3261">
            <v>0</v>
          </cell>
          <cell r="Z3261">
            <v>0</v>
          </cell>
        </row>
        <row r="3262">
          <cell r="V3262">
            <v>0</v>
          </cell>
          <cell r="Z3262">
            <v>0</v>
          </cell>
        </row>
        <row r="3263">
          <cell r="V3263">
            <v>0</v>
          </cell>
          <cell r="Z3263">
            <v>0</v>
          </cell>
        </row>
        <row r="3264">
          <cell r="V3264">
            <v>0</v>
          </cell>
          <cell r="Z3264">
            <v>0</v>
          </cell>
        </row>
        <row r="3265">
          <cell r="V3265">
            <v>0</v>
          </cell>
          <cell r="Z3265">
            <v>0</v>
          </cell>
        </row>
        <row r="3266">
          <cell r="V3266">
            <v>0</v>
          </cell>
          <cell r="Z3266">
            <v>0</v>
          </cell>
        </row>
        <row r="3267">
          <cell r="V3267">
            <v>0</v>
          </cell>
          <cell r="Z3267">
            <v>0</v>
          </cell>
        </row>
        <row r="3268">
          <cell r="V3268">
            <v>0</v>
          </cell>
          <cell r="Z3268">
            <v>0</v>
          </cell>
        </row>
        <row r="3269">
          <cell r="V3269">
            <v>0</v>
          </cell>
          <cell r="Z3269">
            <v>0</v>
          </cell>
        </row>
        <row r="3270">
          <cell r="V3270">
            <v>0</v>
          </cell>
          <cell r="Z3270">
            <v>0</v>
          </cell>
        </row>
        <row r="3271">
          <cell r="V3271">
            <v>0</v>
          </cell>
          <cell r="Z3271">
            <v>0</v>
          </cell>
        </row>
        <row r="3272">
          <cell r="V3272">
            <v>0</v>
          </cell>
          <cell r="Z3272">
            <v>0</v>
          </cell>
        </row>
        <row r="3273">
          <cell r="V3273">
            <v>0</v>
          </cell>
          <cell r="Z3273">
            <v>0</v>
          </cell>
        </row>
        <row r="3274">
          <cell r="V3274">
            <v>0</v>
          </cell>
          <cell r="Z3274">
            <v>0</v>
          </cell>
        </row>
        <row r="3275">
          <cell r="V3275">
            <v>0</v>
          </cell>
          <cell r="Z3275">
            <v>0</v>
          </cell>
        </row>
        <row r="3276">
          <cell r="V3276">
            <v>0</v>
          </cell>
          <cell r="Z3276">
            <v>0</v>
          </cell>
        </row>
        <row r="3277">
          <cell r="V3277">
            <v>0</v>
          </cell>
          <cell r="Z3277">
            <v>0</v>
          </cell>
        </row>
        <row r="3278">
          <cell r="V3278">
            <v>0</v>
          </cell>
          <cell r="Z3278">
            <v>0</v>
          </cell>
        </row>
        <row r="3279">
          <cell r="V3279">
            <v>0</v>
          </cell>
          <cell r="Z3279">
            <v>0</v>
          </cell>
        </row>
        <row r="3280">
          <cell r="V3280">
            <v>0</v>
          </cell>
          <cell r="Z3280">
            <v>0</v>
          </cell>
        </row>
        <row r="3281">
          <cell r="V3281">
            <v>0</v>
          </cell>
          <cell r="Z3281">
            <v>0</v>
          </cell>
        </row>
        <row r="3282">
          <cell r="V3282">
            <v>0</v>
          </cell>
          <cell r="Z3282">
            <v>0</v>
          </cell>
        </row>
        <row r="3283">
          <cell r="V3283">
            <v>0</v>
          </cell>
          <cell r="Z3283">
            <v>0</v>
          </cell>
        </row>
        <row r="3284">
          <cell r="V3284">
            <v>0</v>
          </cell>
          <cell r="Z3284">
            <v>0</v>
          </cell>
        </row>
        <row r="3285">
          <cell r="V3285">
            <v>0</v>
          </cell>
          <cell r="Z3285">
            <v>0</v>
          </cell>
        </row>
        <row r="3286">
          <cell r="V3286">
            <v>0</v>
          </cell>
          <cell r="Z3286">
            <v>0</v>
          </cell>
        </row>
        <row r="3287">
          <cell r="V3287">
            <v>0</v>
          </cell>
          <cell r="Z3287">
            <v>0</v>
          </cell>
        </row>
        <row r="3288">
          <cell r="V3288">
            <v>0</v>
          </cell>
          <cell r="Z3288">
            <v>0</v>
          </cell>
        </row>
        <row r="3289">
          <cell r="V3289">
            <v>0</v>
          </cell>
          <cell r="Z3289">
            <v>0</v>
          </cell>
        </row>
        <row r="3290">
          <cell r="V3290">
            <v>0</v>
          </cell>
          <cell r="Z3290">
            <v>0</v>
          </cell>
        </row>
        <row r="3291">
          <cell r="V3291">
            <v>0</v>
          </cell>
          <cell r="Z3291">
            <v>0</v>
          </cell>
        </row>
        <row r="3292">
          <cell r="V3292">
            <v>0</v>
          </cell>
          <cell r="Z3292">
            <v>0</v>
          </cell>
        </row>
        <row r="3293">
          <cell r="V3293">
            <v>0</v>
          </cell>
          <cell r="Z3293">
            <v>0</v>
          </cell>
        </row>
        <row r="3294">
          <cell r="V3294">
            <v>0</v>
          </cell>
          <cell r="Z3294">
            <v>0</v>
          </cell>
        </row>
        <row r="3295">
          <cell r="V3295">
            <v>0</v>
          </cell>
          <cell r="Z3295">
            <v>0</v>
          </cell>
        </row>
        <row r="3296">
          <cell r="V3296">
            <v>0</v>
          </cell>
          <cell r="Z3296">
            <v>0</v>
          </cell>
        </row>
        <row r="3297">
          <cell r="V3297">
            <v>0</v>
          </cell>
          <cell r="Z3297">
            <v>0</v>
          </cell>
        </row>
        <row r="3298">
          <cell r="V3298">
            <v>0</v>
          </cell>
          <cell r="Z3298">
            <v>0</v>
          </cell>
        </row>
        <row r="3299">
          <cell r="V3299">
            <v>0</v>
          </cell>
          <cell r="Z3299">
            <v>0</v>
          </cell>
        </row>
        <row r="3300">
          <cell r="V3300">
            <v>0</v>
          </cell>
          <cell r="Z3300">
            <v>0</v>
          </cell>
        </row>
        <row r="3301">
          <cell r="V3301">
            <v>0</v>
          </cell>
          <cell r="Z3301">
            <v>0</v>
          </cell>
        </row>
        <row r="3302">
          <cell r="V3302">
            <v>0</v>
          </cell>
          <cell r="Z3302">
            <v>0</v>
          </cell>
        </row>
        <row r="3303">
          <cell r="V3303">
            <v>0</v>
          </cell>
          <cell r="Z3303">
            <v>0</v>
          </cell>
        </row>
        <row r="3304">
          <cell r="V3304">
            <v>0</v>
          </cell>
          <cell r="Z3304">
            <v>0</v>
          </cell>
        </row>
        <row r="3305">
          <cell r="V3305">
            <v>0</v>
          </cell>
          <cell r="Z3305">
            <v>0</v>
          </cell>
        </row>
        <row r="3306">
          <cell r="V3306">
            <v>0</v>
          </cell>
          <cell r="Z3306">
            <v>0</v>
          </cell>
        </row>
        <row r="3307">
          <cell r="V3307">
            <v>0</v>
          </cell>
          <cell r="Z3307">
            <v>0</v>
          </cell>
        </row>
        <row r="3308">
          <cell r="V3308">
            <v>0</v>
          </cell>
          <cell r="Z3308">
            <v>0</v>
          </cell>
        </row>
        <row r="3309">
          <cell r="V3309">
            <v>0</v>
          </cell>
          <cell r="Z3309">
            <v>0</v>
          </cell>
        </row>
        <row r="3310">
          <cell r="V3310">
            <v>0</v>
          </cell>
          <cell r="Z3310">
            <v>0</v>
          </cell>
        </row>
        <row r="3311">
          <cell r="V3311">
            <v>0</v>
          </cell>
          <cell r="Z3311">
            <v>0</v>
          </cell>
        </row>
        <row r="3312">
          <cell r="V3312">
            <v>0</v>
          </cell>
          <cell r="Z3312">
            <v>0</v>
          </cell>
        </row>
        <row r="3313">
          <cell r="V3313">
            <v>0</v>
          </cell>
          <cell r="Z3313">
            <v>0</v>
          </cell>
        </row>
        <row r="3314">
          <cell r="V3314">
            <v>0</v>
          </cell>
          <cell r="Z3314">
            <v>0</v>
          </cell>
        </row>
        <row r="3315">
          <cell r="V3315">
            <v>0</v>
          </cell>
          <cell r="Z3315">
            <v>0</v>
          </cell>
        </row>
        <row r="3316">
          <cell r="V3316">
            <v>0</v>
          </cell>
          <cell r="Z3316">
            <v>0</v>
          </cell>
        </row>
        <row r="3317">
          <cell r="V3317">
            <v>0</v>
          </cell>
          <cell r="Z3317">
            <v>0</v>
          </cell>
        </row>
        <row r="3318">
          <cell r="V3318">
            <v>0</v>
          </cell>
          <cell r="Z3318">
            <v>0</v>
          </cell>
        </row>
        <row r="3319">
          <cell r="V3319">
            <v>0</v>
          </cell>
          <cell r="Z3319">
            <v>0</v>
          </cell>
        </row>
        <row r="3320">
          <cell r="V3320">
            <v>0</v>
          </cell>
          <cell r="Z3320">
            <v>0</v>
          </cell>
        </row>
        <row r="3321">
          <cell r="V3321">
            <v>0</v>
          </cell>
          <cell r="Z3321">
            <v>0</v>
          </cell>
        </row>
        <row r="3322">
          <cell r="V3322">
            <v>0</v>
          </cell>
          <cell r="Z3322">
            <v>0</v>
          </cell>
        </row>
        <row r="3323">
          <cell r="V3323">
            <v>0</v>
          </cell>
          <cell r="Z3323">
            <v>0</v>
          </cell>
        </row>
        <row r="3324">
          <cell r="V3324">
            <v>0</v>
          </cell>
          <cell r="Z3324">
            <v>0</v>
          </cell>
        </row>
        <row r="3325">
          <cell r="V3325">
            <v>0</v>
          </cell>
          <cell r="Z3325">
            <v>0</v>
          </cell>
        </row>
        <row r="3326">
          <cell r="V3326">
            <v>0</v>
          </cell>
          <cell r="Z3326">
            <v>0</v>
          </cell>
        </row>
        <row r="3327">
          <cell r="V3327">
            <v>0</v>
          </cell>
          <cell r="Z3327">
            <v>0</v>
          </cell>
        </row>
        <row r="3328">
          <cell r="V3328">
            <v>0</v>
          </cell>
          <cell r="Z3328">
            <v>0</v>
          </cell>
        </row>
        <row r="3329">
          <cell r="V3329">
            <v>0</v>
          </cell>
          <cell r="Z3329">
            <v>0</v>
          </cell>
        </row>
        <row r="3330">
          <cell r="V3330">
            <v>0</v>
          </cell>
          <cell r="Z3330">
            <v>0</v>
          </cell>
        </row>
        <row r="3331">
          <cell r="V3331">
            <v>0</v>
          </cell>
          <cell r="Z3331">
            <v>0</v>
          </cell>
        </row>
        <row r="3332">
          <cell r="V3332">
            <v>0</v>
          </cell>
          <cell r="Z3332">
            <v>0</v>
          </cell>
        </row>
        <row r="3333">
          <cell r="V3333">
            <v>0</v>
          </cell>
          <cell r="Z3333">
            <v>0</v>
          </cell>
        </row>
        <row r="3334">
          <cell r="V3334">
            <v>0</v>
          </cell>
          <cell r="Z3334">
            <v>0</v>
          </cell>
        </row>
        <row r="3335">
          <cell r="V3335">
            <v>0</v>
          </cell>
          <cell r="Z3335">
            <v>0</v>
          </cell>
        </row>
        <row r="3336">
          <cell r="V3336">
            <v>0</v>
          </cell>
          <cell r="Z3336">
            <v>0</v>
          </cell>
        </row>
        <row r="3337">
          <cell r="V3337">
            <v>0</v>
          </cell>
          <cell r="Z3337">
            <v>0</v>
          </cell>
        </row>
        <row r="3338">
          <cell r="V3338">
            <v>0</v>
          </cell>
          <cell r="Z3338">
            <v>0</v>
          </cell>
        </row>
        <row r="3339">
          <cell r="V3339">
            <v>0</v>
          </cell>
          <cell r="Z3339">
            <v>0</v>
          </cell>
        </row>
        <row r="3340">
          <cell r="V3340">
            <v>0</v>
          </cell>
          <cell r="Z3340">
            <v>0</v>
          </cell>
        </row>
        <row r="3341">
          <cell r="V3341">
            <v>0</v>
          </cell>
          <cell r="Z3341">
            <v>0</v>
          </cell>
        </row>
        <row r="3342">
          <cell r="V3342">
            <v>0</v>
          </cell>
          <cell r="Z3342">
            <v>0</v>
          </cell>
        </row>
        <row r="3343">
          <cell r="V3343">
            <v>0</v>
          </cell>
          <cell r="Z3343">
            <v>0</v>
          </cell>
        </row>
        <row r="3344">
          <cell r="V3344">
            <v>0</v>
          </cell>
          <cell r="Z3344">
            <v>0</v>
          </cell>
        </row>
        <row r="3345">
          <cell r="V3345">
            <v>0</v>
          </cell>
          <cell r="Z3345">
            <v>0</v>
          </cell>
        </row>
        <row r="3346">
          <cell r="V3346">
            <v>0</v>
          </cell>
          <cell r="Z3346">
            <v>0</v>
          </cell>
        </row>
        <row r="3347">
          <cell r="V3347">
            <v>0</v>
          </cell>
          <cell r="Z3347">
            <v>0</v>
          </cell>
        </row>
        <row r="3348">
          <cell r="V3348">
            <v>0</v>
          </cell>
          <cell r="Z3348">
            <v>0</v>
          </cell>
        </row>
        <row r="3349">
          <cell r="V3349">
            <v>0</v>
          </cell>
          <cell r="Z3349">
            <v>0</v>
          </cell>
        </row>
        <row r="3350">
          <cell r="V3350">
            <v>0</v>
          </cell>
          <cell r="Z3350">
            <v>0</v>
          </cell>
        </row>
        <row r="3351">
          <cell r="V3351">
            <v>0</v>
          </cell>
          <cell r="Z3351">
            <v>0</v>
          </cell>
        </row>
        <row r="3352">
          <cell r="V3352">
            <v>0</v>
          </cell>
          <cell r="Z3352">
            <v>0</v>
          </cell>
        </row>
        <row r="3353">
          <cell r="V3353">
            <v>0</v>
          </cell>
          <cell r="Z3353">
            <v>0</v>
          </cell>
        </row>
        <row r="3354">
          <cell r="V3354">
            <v>0</v>
          </cell>
          <cell r="Z3354">
            <v>0</v>
          </cell>
        </row>
        <row r="3355">
          <cell r="V3355">
            <v>0</v>
          </cell>
          <cell r="Z3355">
            <v>0</v>
          </cell>
        </row>
        <row r="3356">
          <cell r="V3356">
            <v>0</v>
          </cell>
          <cell r="Z3356">
            <v>0</v>
          </cell>
        </row>
        <row r="3357">
          <cell r="V3357">
            <v>0</v>
          </cell>
          <cell r="Z3357">
            <v>0</v>
          </cell>
        </row>
        <row r="3358">
          <cell r="V3358">
            <v>0</v>
          </cell>
          <cell r="Z3358">
            <v>0</v>
          </cell>
        </row>
        <row r="3359">
          <cell r="V3359">
            <v>0</v>
          </cell>
          <cell r="Z3359">
            <v>0</v>
          </cell>
        </row>
        <row r="3360">
          <cell r="V3360">
            <v>0</v>
          </cell>
          <cell r="Z3360">
            <v>0</v>
          </cell>
        </row>
        <row r="3361">
          <cell r="V3361">
            <v>0</v>
          </cell>
          <cell r="Z3361">
            <v>0</v>
          </cell>
        </row>
        <row r="3362">
          <cell r="V3362">
            <v>0</v>
          </cell>
          <cell r="Z3362">
            <v>0</v>
          </cell>
        </row>
        <row r="3363">
          <cell r="V3363">
            <v>0</v>
          </cell>
          <cell r="Z3363">
            <v>0</v>
          </cell>
        </row>
        <row r="3364">
          <cell r="V3364">
            <v>0</v>
          </cell>
          <cell r="Z3364">
            <v>0</v>
          </cell>
        </row>
        <row r="3365">
          <cell r="V3365">
            <v>0</v>
          </cell>
          <cell r="Z3365">
            <v>0</v>
          </cell>
        </row>
        <row r="3366">
          <cell r="V3366">
            <v>0</v>
          </cell>
          <cell r="Z3366">
            <v>0</v>
          </cell>
        </row>
        <row r="3367">
          <cell r="V3367">
            <v>0</v>
          </cell>
          <cell r="Z3367">
            <v>0</v>
          </cell>
        </row>
        <row r="3368">
          <cell r="V3368">
            <v>0</v>
          </cell>
          <cell r="Z3368">
            <v>0</v>
          </cell>
        </row>
        <row r="3369">
          <cell r="V3369">
            <v>0</v>
          </cell>
          <cell r="Z3369">
            <v>0</v>
          </cell>
        </row>
        <row r="3370">
          <cell r="V3370">
            <v>0</v>
          </cell>
          <cell r="Z3370">
            <v>0</v>
          </cell>
        </row>
        <row r="3371">
          <cell r="V3371">
            <v>0</v>
          </cell>
          <cell r="Z3371">
            <v>0</v>
          </cell>
        </row>
        <row r="3372">
          <cell r="V3372">
            <v>0</v>
          </cell>
          <cell r="Z3372">
            <v>0</v>
          </cell>
        </row>
        <row r="3373">
          <cell r="V3373">
            <v>0</v>
          </cell>
          <cell r="Z3373">
            <v>0</v>
          </cell>
        </row>
        <row r="3374">
          <cell r="V3374">
            <v>0</v>
          </cell>
          <cell r="Z3374">
            <v>0</v>
          </cell>
        </row>
        <row r="3375">
          <cell r="V3375">
            <v>0</v>
          </cell>
          <cell r="Z3375">
            <v>0</v>
          </cell>
        </row>
        <row r="3376">
          <cell r="V3376">
            <v>0</v>
          </cell>
          <cell r="Z3376">
            <v>0</v>
          </cell>
        </row>
        <row r="3377">
          <cell r="V3377">
            <v>0</v>
          </cell>
          <cell r="Z3377">
            <v>0</v>
          </cell>
        </row>
        <row r="3378">
          <cell r="V3378">
            <v>0</v>
          </cell>
          <cell r="Z3378">
            <v>0</v>
          </cell>
        </row>
        <row r="3379">
          <cell r="V3379">
            <v>0</v>
          </cell>
          <cell r="Z3379">
            <v>0</v>
          </cell>
        </row>
        <row r="3380">
          <cell r="V3380">
            <v>0</v>
          </cell>
          <cell r="Z3380">
            <v>0</v>
          </cell>
        </row>
        <row r="3381">
          <cell r="V3381">
            <v>0</v>
          </cell>
          <cell r="Z3381">
            <v>0</v>
          </cell>
        </row>
        <row r="3382">
          <cell r="V3382">
            <v>0</v>
          </cell>
          <cell r="Z3382">
            <v>0</v>
          </cell>
        </row>
        <row r="3383">
          <cell r="V3383">
            <v>0</v>
          </cell>
          <cell r="Z3383">
            <v>0</v>
          </cell>
        </row>
        <row r="3384">
          <cell r="V3384">
            <v>0</v>
          </cell>
          <cell r="Z3384">
            <v>0</v>
          </cell>
        </row>
        <row r="3385">
          <cell r="V3385">
            <v>0</v>
          </cell>
          <cell r="Z3385">
            <v>0</v>
          </cell>
        </row>
        <row r="3386">
          <cell r="V3386">
            <v>0</v>
          </cell>
          <cell r="Z3386">
            <v>0</v>
          </cell>
        </row>
        <row r="3387">
          <cell r="V3387">
            <v>0</v>
          </cell>
          <cell r="Z3387">
            <v>0</v>
          </cell>
        </row>
        <row r="3388">
          <cell r="V3388">
            <v>0</v>
          </cell>
          <cell r="Z3388">
            <v>0</v>
          </cell>
        </row>
        <row r="3389">
          <cell r="V3389">
            <v>0</v>
          </cell>
          <cell r="Z3389">
            <v>0</v>
          </cell>
        </row>
        <row r="3390">
          <cell r="V3390">
            <v>0</v>
          </cell>
          <cell r="Z3390">
            <v>0</v>
          </cell>
        </row>
        <row r="3391">
          <cell r="V3391">
            <v>0</v>
          </cell>
          <cell r="Z3391">
            <v>0</v>
          </cell>
        </row>
        <row r="3392">
          <cell r="V3392">
            <v>0</v>
          </cell>
          <cell r="Z3392">
            <v>0</v>
          </cell>
        </row>
        <row r="3393">
          <cell r="V3393">
            <v>0</v>
          </cell>
          <cell r="Z3393">
            <v>0</v>
          </cell>
        </row>
        <row r="3394">
          <cell r="V3394">
            <v>0</v>
          </cell>
          <cell r="Z3394">
            <v>0</v>
          </cell>
        </row>
        <row r="3395">
          <cell r="V3395">
            <v>0</v>
          </cell>
          <cell r="Z3395">
            <v>0</v>
          </cell>
        </row>
        <row r="3396">
          <cell r="V3396">
            <v>0</v>
          </cell>
          <cell r="Z3396">
            <v>0</v>
          </cell>
        </row>
        <row r="3397">
          <cell r="V3397">
            <v>0</v>
          </cell>
          <cell r="Z3397">
            <v>0</v>
          </cell>
        </row>
        <row r="3398">
          <cell r="V3398">
            <v>0</v>
          </cell>
          <cell r="Z3398">
            <v>0</v>
          </cell>
        </row>
        <row r="3399">
          <cell r="V3399">
            <v>0</v>
          </cell>
          <cell r="Z3399">
            <v>0</v>
          </cell>
        </row>
        <row r="3400">
          <cell r="V3400">
            <v>0</v>
          </cell>
          <cell r="Z3400">
            <v>0</v>
          </cell>
        </row>
        <row r="3401">
          <cell r="V3401">
            <v>0</v>
          </cell>
          <cell r="Z3401">
            <v>0</v>
          </cell>
        </row>
        <row r="3402">
          <cell r="V3402">
            <v>0</v>
          </cell>
          <cell r="Z3402">
            <v>0</v>
          </cell>
        </row>
        <row r="3403">
          <cell r="V3403">
            <v>0</v>
          </cell>
          <cell r="Z3403">
            <v>0</v>
          </cell>
        </row>
        <row r="3404">
          <cell r="V3404">
            <v>0</v>
          </cell>
          <cell r="Z3404">
            <v>0</v>
          </cell>
        </row>
        <row r="3405">
          <cell r="V3405">
            <v>0</v>
          </cell>
          <cell r="Z3405">
            <v>0</v>
          </cell>
        </row>
        <row r="3406">
          <cell r="V3406">
            <v>0</v>
          </cell>
          <cell r="Z3406">
            <v>0</v>
          </cell>
        </row>
        <row r="3407">
          <cell r="V3407">
            <v>0</v>
          </cell>
          <cell r="Z3407">
            <v>0</v>
          </cell>
        </row>
        <row r="3408">
          <cell r="V3408">
            <v>0</v>
          </cell>
          <cell r="Z3408">
            <v>0</v>
          </cell>
        </row>
        <row r="3409">
          <cell r="V3409">
            <v>0</v>
          </cell>
          <cell r="Z3409">
            <v>0</v>
          </cell>
        </row>
        <row r="3410">
          <cell r="V3410">
            <v>0</v>
          </cell>
          <cell r="Z3410">
            <v>0</v>
          </cell>
        </row>
        <row r="3411">
          <cell r="V3411">
            <v>0</v>
          </cell>
          <cell r="Z3411">
            <v>0</v>
          </cell>
        </row>
        <row r="3412">
          <cell r="V3412">
            <v>0</v>
          </cell>
          <cell r="Z3412">
            <v>0</v>
          </cell>
        </row>
        <row r="3413">
          <cell r="V3413">
            <v>0</v>
          </cell>
          <cell r="Z3413">
            <v>0</v>
          </cell>
        </row>
        <row r="3414">
          <cell r="V3414">
            <v>0</v>
          </cell>
          <cell r="Z3414">
            <v>0</v>
          </cell>
        </row>
        <row r="3415">
          <cell r="V3415">
            <v>0</v>
          </cell>
          <cell r="Z3415">
            <v>0</v>
          </cell>
        </row>
        <row r="3416">
          <cell r="V3416">
            <v>0</v>
          </cell>
          <cell r="Z3416">
            <v>0</v>
          </cell>
        </row>
        <row r="3417">
          <cell r="V3417">
            <v>0</v>
          </cell>
          <cell r="Z3417">
            <v>0</v>
          </cell>
        </row>
        <row r="3418">
          <cell r="V3418">
            <v>0</v>
          </cell>
          <cell r="Z3418">
            <v>0</v>
          </cell>
        </row>
        <row r="3419">
          <cell r="V3419">
            <v>0</v>
          </cell>
          <cell r="Z3419">
            <v>0</v>
          </cell>
        </row>
        <row r="3420">
          <cell r="V3420">
            <v>0</v>
          </cell>
          <cell r="Z3420">
            <v>0</v>
          </cell>
        </row>
        <row r="3421">
          <cell r="V3421">
            <v>0</v>
          </cell>
          <cell r="Z3421">
            <v>0</v>
          </cell>
        </row>
        <row r="3422">
          <cell r="V3422">
            <v>0</v>
          </cell>
          <cell r="Z3422">
            <v>0</v>
          </cell>
        </row>
        <row r="3423">
          <cell r="V3423">
            <v>0</v>
          </cell>
          <cell r="Z3423">
            <v>0</v>
          </cell>
        </row>
        <row r="3424">
          <cell r="V3424">
            <v>0</v>
          </cell>
          <cell r="Z3424">
            <v>0</v>
          </cell>
        </row>
        <row r="3425">
          <cell r="V3425">
            <v>0</v>
          </cell>
          <cell r="Z3425">
            <v>0</v>
          </cell>
        </row>
        <row r="3426">
          <cell r="V3426">
            <v>0</v>
          </cell>
          <cell r="Z3426">
            <v>0</v>
          </cell>
        </row>
        <row r="3427">
          <cell r="V3427">
            <v>0</v>
          </cell>
          <cell r="Z3427">
            <v>0</v>
          </cell>
        </row>
        <row r="3428">
          <cell r="V3428">
            <v>0</v>
          </cell>
          <cell r="Z3428">
            <v>0</v>
          </cell>
        </row>
        <row r="3429">
          <cell r="V3429">
            <v>0</v>
          </cell>
          <cell r="Z3429">
            <v>0</v>
          </cell>
        </row>
        <row r="3430">
          <cell r="V3430">
            <v>0</v>
          </cell>
          <cell r="Z3430">
            <v>0</v>
          </cell>
        </row>
        <row r="3431">
          <cell r="V3431">
            <v>0</v>
          </cell>
          <cell r="Z3431">
            <v>0</v>
          </cell>
        </row>
        <row r="3432">
          <cell r="V3432">
            <v>0</v>
          </cell>
          <cell r="Z3432">
            <v>0</v>
          </cell>
        </row>
        <row r="3433">
          <cell r="V3433">
            <v>0</v>
          </cell>
          <cell r="Z3433">
            <v>0</v>
          </cell>
        </row>
        <row r="3434">
          <cell r="V3434">
            <v>0</v>
          </cell>
          <cell r="Z3434">
            <v>0</v>
          </cell>
        </row>
        <row r="3435">
          <cell r="V3435">
            <v>0</v>
          </cell>
          <cell r="Z3435">
            <v>0</v>
          </cell>
        </row>
        <row r="3436">
          <cell r="V3436">
            <v>0</v>
          </cell>
          <cell r="Z3436">
            <v>0</v>
          </cell>
        </row>
        <row r="3437">
          <cell r="V3437">
            <v>0</v>
          </cell>
          <cell r="Z3437">
            <v>0</v>
          </cell>
        </row>
        <row r="3438">
          <cell r="V3438">
            <v>0</v>
          </cell>
          <cell r="Z3438">
            <v>0</v>
          </cell>
        </row>
        <row r="3439">
          <cell r="V3439">
            <v>0</v>
          </cell>
          <cell r="Z3439">
            <v>0</v>
          </cell>
        </row>
        <row r="3440">
          <cell r="V3440">
            <v>0</v>
          </cell>
          <cell r="Z3440">
            <v>0</v>
          </cell>
        </row>
        <row r="3441">
          <cell r="V3441">
            <v>0</v>
          </cell>
          <cell r="Z3441">
            <v>0</v>
          </cell>
        </row>
        <row r="3442">
          <cell r="V3442">
            <v>0</v>
          </cell>
          <cell r="Z3442">
            <v>0</v>
          </cell>
        </row>
        <row r="3443">
          <cell r="V3443">
            <v>0</v>
          </cell>
          <cell r="Z3443">
            <v>0</v>
          </cell>
        </row>
        <row r="3444">
          <cell r="V3444">
            <v>0</v>
          </cell>
          <cell r="Z3444">
            <v>0</v>
          </cell>
        </row>
        <row r="3445">
          <cell r="V3445">
            <v>0</v>
          </cell>
          <cell r="Z3445">
            <v>0</v>
          </cell>
        </row>
        <row r="3446">
          <cell r="V3446">
            <v>0</v>
          </cell>
          <cell r="Z3446">
            <v>0</v>
          </cell>
        </row>
        <row r="3447">
          <cell r="V3447">
            <v>0</v>
          </cell>
          <cell r="Z3447">
            <v>0</v>
          </cell>
        </row>
        <row r="3448">
          <cell r="V3448">
            <v>0</v>
          </cell>
          <cell r="Z3448">
            <v>0</v>
          </cell>
        </row>
        <row r="3449">
          <cell r="V3449">
            <v>0</v>
          </cell>
          <cell r="Z3449">
            <v>0</v>
          </cell>
        </row>
        <row r="3450">
          <cell r="V3450">
            <v>0</v>
          </cell>
          <cell r="Z3450">
            <v>0</v>
          </cell>
        </row>
        <row r="3451">
          <cell r="V3451">
            <v>0</v>
          </cell>
          <cell r="Z3451">
            <v>0</v>
          </cell>
        </row>
        <row r="3452">
          <cell r="V3452">
            <v>0</v>
          </cell>
          <cell r="Z3452">
            <v>0</v>
          </cell>
        </row>
        <row r="3453">
          <cell r="V3453">
            <v>0</v>
          </cell>
          <cell r="Z3453">
            <v>0</v>
          </cell>
        </row>
        <row r="3454">
          <cell r="V3454">
            <v>0</v>
          </cell>
          <cell r="Z3454">
            <v>0</v>
          </cell>
        </row>
        <row r="3455">
          <cell r="V3455">
            <v>0</v>
          </cell>
          <cell r="Z3455">
            <v>0</v>
          </cell>
        </row>
        <row r="3456">
          <cell r="V3456">
            <v>0</v>
          </cell>
          <cell r="Z3456">
            <v>0</v>
          </cell>
        </row>
        <row r="3457">
          <cell r="V3457">
            <v>0</v>
          </cell>
          <cell r="Z3457">
            <v>0</v>
          </cell>
        </row>
        <row r="3458">
          <cell r="V3458">
            <v>0</v>
          </cell>
          <cell r="Z3458">
            <v>0</v>
          </cell>
        </row>
        <row r="3459">
          <cell r="V3459">
            <v>0</v>
          </cell>
          <cell r="Z3459">
            <v>0</v>
          </cell>
        </row>
        <row r="3460">
          <cell r="V3460">
            <v>0</v>
          </cell>
          <cell r="Z3460">
            <v>0</v>
          </cell>
        </row>
        <row r="3461">
          <cell r="V3461">
            <v>0</v>
          </cell>
          <cell r="Z3461">
            <v>0</v>
          </cell>
        </row>
        <row r="3462">
          <cell r="V3462">
            <v>0</v>
          </cell>
          <cell r="Z3462">
            <v>0</v>
          </cell>
        </row>
        <row r="3463">
          <cell r="V3463">
            <v>0</v>
          </cell>
          <cell r="Z3463">
            <v>0</v>
          </cell>
        </row>
        <row r="3464">
          <cell r="V3464">
            <v>0</v>
          </cell>
          <cell r="Z3464">
            <v>0</v>
          </cell>
        </row>
        <row r="3465">
          <cell r="V3465">
            <v>0</v>
          </cell>
          <cell r="Z3465">
            <v>0</v>
          </cell>
        </row>
        <row r="3466">
          <cell r="V3466">
            <v>0</v>
          </cell>
          <cell r="Z3466">
            <v>0</v>
          </cell>
        </row>
        <row r="3467">
          <cell r="V3467">
            <v>0</v>
          </cell>
          <cell r="Z3467">
            <v>0</v>
          </cell>
        </row>
        <row r="3468">
          <cell r="V3468">
            <v>0</v>
          </cell>
          <cell r="Z3468">
            <v>0</v>
          </cell>
        </row>
        <row r="3469">
          <cell r="V3469">
            <v>0</v>
          </cell>
          <cell r="Z3469">
            <v>0</v>
          </cell>
        </row>
        <row r="3470">
          <cell r="V3470">
            <v>0</v>
          </cell>
          <cell r="Z3470">
            <v>0</v>
          </cell>
        </row>
        <row r="3471">
          <cell r="V3471">
            <v>0</v>
          </cell>
          <cell r="Z3471">
            <v>0</v>
          </cell>
        </row>
        <row r="3472">
          <cell r="V3472">
            <v>0</v>
          </cell>
          <cell r="Z3472">
            <v>0</v>
          </cell>
        </row>
        <row r="3473">
          <cell r="V3473">
            <v>0</v>
          </cell>
          <cell r="Z3473">
            <v>0</v>
          </cell>
        </row>
        <row r="3474">
          <cell r="V3474">
            <v>0</v>
          </cell>
          <cell r="Z3474">
            <v>0</v>
          </cell>
        </row>
        <row r="3475">
          <cell r="V3475">
            <v>0</v>
          </cell>
          <cell r="Z3475">
            <v>0</v>
          </cell>
        </row>
        <row r="3476">
          <cell r="V3476">
            <v>0</v>
          </cell>
          <cell r="Z3476">
            <v>0</v>
          </cell>
        </row>
        <row r="3477">
          <cell r="V3477">
            <v>0</v>
          </cell>
          <cell r="Z3477">
            <v>0</v>
          </cell>
        </row>
        <row r="3478">
          <cell r="V3478">
            <v>0</v>
          </cell>
          <cell r="Z3478">
            <v>0</v>
          </cell>
        </row>
        <row r="3479">
          <cell r="V3479">
            <v>0</v>
          </cell>
          <cell r="Z3479">
            <v>0</v>
          </cell>
        </row>
        <row r="3480">
          <cell r="V3480">
            <v>0</v>
          </cell>
          <cell r="Z3480">
            <v>0</v>
          </cell>
        </row>
        <row r="3481">
          <cell r="V3481">
            <v>0</v>
          </cell>
          <cell r="Z3481">
            <v>0</v>
          </cell>
        </row>
        <row r="3482">
          <cell r="V3482">
            <v>0</v>
          </cell>
          <cell r="Z3482">
            <v>0</v>
          </cell>
        </row>
        <row r="3483">
          <cell r="V3483">
            <v>0</v>
          </cell>
          <cell r="Z3483">
            <v>0</v>
          </cell>
        </row>
        <row r="3484">
          <cell r="V3484">
            <v>0</v>
          </cell>
          <cell r="Z3484">
            <v>0</v>
          </cell>
        </row>
        <row r="3485">
          <cell r="V3485">
            <v>0</v>
          </cell>
          <cell r="Z3485">
            <v>0</v>
          </cell>
        </row>
        <row r="3486">
          <cell r="V3486">
            <v>0</v>
          </cell>
          <cell r="Z3486">
            <v>0</v>
          </cell>
        </row>
        <row r="3487">
          <cell r="V3487">
            <v>0</v>
          </cell>
          <cell r="Z3487">
            <v>0</v>
          </cell>
        </row>
        <row r="3488">
          <cell r="V3488">
            <v>0</v>
          </cell>
          <cell r="Z3488">
            <v>0</v>
          </cell>
        </row>
        <row r="3489">
          <cell r="V3489">
            <v>0</v>
          </cell>
          <cell r="Z3489">
            <v>0</v>
          </cell>
        </row>
        <row r="3490">
          <cell r="V3490">
            <v>0</v>
          </cell>
          <cell r="Z3490">
            <v>0</v>
          </cell>
        </row>
        <row r="3491">
          <cell r="V3491">
            <v>0</v>
          </cell>
          <cell r="Z3491">
            <v>0</v>
          </cell>
        </row>
        <row r="3492">
          <cell r="V3492">
            <v>0</v>
          </cell>
          <cell r="Z3492">
            <v>0</v>
          </cell>
        </row>
        <row r="3493">
          <cell r="V3493">
            <v>0</v>
          </cell>
          <cell r="Z3493">
            <v>0</v>
          </cell>
        </row>
        <row r="3494">
          <cell r="V3494">
            <v>0</v>
          </cell>
          <cell r="Z3494">
            <v>0</v>
          </cell>
        </row>
        <row r="3495">
          <cell r="V3495">
            <v>0</v>
          </cell>
          <cell r="Z3495">
            <v>0</v>
          </cell>
        </row>
        <row r="3496">
          <cell r="V3496">
            <v>0</v>
          </cell>
          <cell r="Z3496">
            <v>0</v>
          </cell>
        </row>
        <row r="3497">
          <cell r="V3497">
            <v>0</v>
          </cell>
          <cell r="Z3497">
            <v>0</v>
          </cell>
        </row>
        <row r="3498">
          <cell r="V3498">
            <v>0</v>
          </cell>
          <cell r="Z3498">
            <v>0</v>
          </cell>
        </row>
        <row r="3499">
          <cell r="V3499">
            <v>0</v>
          </cell>
          <cell r="Z3499">
            <v>0</v>
          </cell>
        </row>
        <row r="3500">
          <cell r="V3500">
            <v>0</v>
          </cell>
          <cell r="Z3500">
            <v>0</v>
          </cell>
        </row>
        <row r="3501">
          <cell r="V3501">
            <v>0</v>
          </cell>
          <cell r="Z3501">
            <v>0</v>
          </cell>
        </row>
        <row r="3502">
          <cell r="V3502">
            <v>0</v>
          </cell>
          <cell r="Z3502">
            <v>0</v>
          </cell>
        </row>
        <row r="3503">
          <cell r="V3503">
            <v>0</v>
          </cell>
          <cell r="Z3503">
            <v>0</v>
          </cell>
        </row>
        <row r="3504">
          <cell r="V3504">
            <v>0</v>
          </cell>
          <cell r="Z3504">
            <v>0</v>
          </cell>
        </row>
        <row r="3505">
          <cell r="V3505">
            <v>0</v>
          </cell>
          <cell r="Z3505">
            <v>0</v>
          </cell>
        </row>
        <row r="3506">
          <cell r="V3506">
            <v>0</v>
          </cell>
          <cell r="Z3506">
            <v>0</v>
          </cell>
        </row>
        <row r="3507">
          <cell r="V3507">
            <v>0</v>
          </cell>
          <cell r="Z3507">
            <v>0</v>
          </cell>
        </row>
        <row r="3508">
          <cell r="V3508">
            <v>0</v>
          </cell>
          <cell r="Z3508">
            <v>0</v>
          </cell>
        </row>
        <row r="3509">
          <cell r="V3509">
            <v>0</v>
          </cell>
          <cell r="Z3509">
            <v>0</v>
          </cell>
        </row>
        <row r="3510">
          <cell r="V3510">
            <v>0</v>
          </cell>
          <cell r="Z3510">
            <v>0</v>
          </cell>
        </row>
        <row r="3511">
          <cell r="V3511">
            <v>0</v>
          </cell>
          <cell r="Z3511">
            <v>0</v>
          </cell>
        </row>
        <row r="3512">
          <cell r="V3512">
            <v>0</v>
          </cell>
          <cell r="Z3512">
            <v>0</v>
          </cell>
        </row>
        <row r="3513">
          <cell r="V3513">
            <v>0</v>
          </cell>
          <cell r="Z3513">
            <v>0</v>
          </cell>
        </row>
        <row r="3514">
          <cell r="V3514">
            <v>0</v>
          </cell>
          <cell r="Z3514">
            <v>0</v>
          </cell>
        </row>
        <row r="3515">
          <cell r="V3515">
            <v>0</v>
          </cell>
          <cell r="Z3515">
            <v>0</v>
          </cell>
        </row>
        <row r="3516">
          <cell r="V3516">
            <v>0</v>
          </cell>
          <cell r="Z3516">
            <v>0</v>
          </cell>
        </row>
        <row r="3517">
          <cell r="V3517">
            <v>0</v>
          </cell>
          <cell r="Z3517">
            <v>0</v>
          </cell>
        </row>
        <row r="3518">
          <cell r="V3518">
            <v>0</v>
          </cell>
          <cell r="Z3518">
            <v>0</v>
          </cell>
        </row>
        <row r="3519">
          <cell r="V3519">
            <v>0</v>
          </cell>
          <cell r="Z3519">
            <v>0</v>
          </cell>
        </row>
        <row r="3520">
          <cell r="V3520">
            <v>0</v>
          </cell>
          <cell r="Z3520">
            <v>0</v>
          </cell>
        </row>
        <row r="3521">
          <cell r="V3521">
            <v>0</v>
          </cell>
          <cell r="Z3521">
            <v>0</v>
          </cell>
        </row>
        <row r="3522">
          <cell r="V3522">
            <v>0</v>
          </cell>
          <cell r="Z3522">
            <v>0</v>
          </cell>
        </row>
        <row r="3523">
          <cell r="V3523">
            <v>0</v>
          </cell>
          <cell r="Z3523">
            <v>0</v>
          </cell>
        </row>
        <row r="3524">
          <cell r="V3524">
            <v>0</v>
          </cell>
          <cell r="Z3524">
            <v>0</v>
          </cell>
        </row>
        <row r="3525">
          <cell r="V3525">
            <v>0</v>
          </cell>
          <cell r="Z3525">
            <v>0</v>
          </cell>
        </row>
        <row r="3526">
          <cell r="V3526">
            <v>0</v>
          </cell>
          <cell r="Z3526">
            <v>0</v>
          </cell>
        </row>
        <row r="3527">
          <cell r="V3527">
            <v>0</v>
          </cell>
          <cell r="Z3527">
            <v>0</v>
          </cell>
        </row>
        <row r="3528">
          <cell r="V3528">
            <v>0</v>
          </cell>
          <cell r="Z3528">
            <v>0</v>
          </cell>
        </row>
        <row r="3529">
          <cell r="V3529">
            <v>0</v>
          </cell>
          <cell r="Z3529">
            <v>0</v>
          </cell>
        </row>
        <row r="3530">
          <cell r="V3530">
            <v>0</v>
          </cell>
          <cell r="Z3530">
            <v>0</v>
          </cell>
        </row>
        <row r="3531">
          <cell r="V3531">
            <v>0</v>
          </cell>
          <cell r="Z3531">
            <v>0</v>
          </cell>
        </row>
        <row r="3532">
          <cell r="V3532">
            <v>0</v>
          </cell>
          <cell r="Z3532">
            <v>0</v>
          </cell>
        </row>
        <row r="3533">
          <cell r="V3533">
            <v>0</v>
          </cell>
          <cell r="Z3533">
            <v>0</v>
          </cell>
        </row>
        <row r="3534">
          <cell r="V3534">
            <v>0</v>
          </cell>
          <cell r="Z3534">
            <v>0</v>
          </cell>
        </row>
        <row r="3535">
          <cell r="V3535">
            <v>0</v>
          </cell>
          <cell r="Z3535">
            <v>0</v>
          </cell>
        </row>
        <row r="3536">
          <cell r="V3536">
            <v>0</v>
          </cell>
          <cell r="Z3536">
            <v>0</v>
          </cell>
        </row>
        <row r="3537">
          <cell r="V3537">
            <v>0</v>
          </cell>
          <cell r="Z3537">
            <v>0</v>
          </cell>
        </row>
        <row r="3538">
          <cell r="V3538">
            <v>0</v>
          </cell>
          <cell r="Z3538">
            <v>0</v>
          </cell>
        </row>
        <row r="3539">
          <cell r="V3539">
            <v>0</v>
          </cell>
          <cell r="Z3539">
            <v>0</v>
          </cell>
        </row>
        <row r="3540">
          <cell r="V3540">
            <v>0</v>
          </cell>
          <cell r="Z3540">
            <v>0</v>
          </cell>
        </row>
        <row r="3541">
          <cell r="V3541">
            <v>0</v>
          </cell>
          <cell r="Z3541">
            <v>0</v>
          </cell>
        </row>
        <row r="3542">
          <cell r="V3542">
            <v>0</v>
          </cell>
          <cell r="Z3542">
            <v>0</v>
          </cell>
        </row>
        <row r="3543">
          <cell r="V3543">
            <v>0</v>
          </cell>
          <cell r="Z3543">
            <v>0</v>
          </cell>
        </row>
        <row r="3544">
          <cell r="V3544">
            <v>0</v>
          </cell>
          <cell r="Z3544">
            <v>0</v>
          </cell>
        </row>
        <row r="3545">
          <cell r="V3545">
            <v>0</v>
          </cell>
          <cell r="Z3545">
            <v>0</v>
          </cell>
        </row>
        <row r="3546">
          <cell r="V3546">
            <v>0</v>
          </cell>
          <cell r="Z3546">
            <v>0</v>
          </cell>
        </row>
        <row r="3547">
          <cell r="V3547">
            <v>0</v>
          </cell>
          <cell r="Z3547">
            <v>0</v>
          </cell>
        </row>
        <row r="3548">
          <cell r="V3548">
            <v>0</v>
          </cell>
          <cell r="Z3548">
            <v>0</v>
          </cell>
        </row>
        <row r="3549">
          <cell r="V3549">
            <v>0</v>
          </cell>
          <cell r="Z3549">
            <v>0</v>
          </cell>
        </row>
        <row r="3550">
          <cell r="V3550">
            <v>0</v>
          </cell>
          <cell r="Z3550">
            <v>0</v>
          </cell>
        </row>
        <row r="3551">
          <cell r="V3551">
            <v>0</v>
          </cell>
          <cell r="Z3551">
            <v>0</v>
          </cell>
        </row>
        <row r="3552">
          <cell r="V3552">
            <v>0</v>
          </cell>
          <cell r="Z3552">
            <v>0</v>
          </cell>
        </row>
        <row r="3553">
          <cell r="V3553">
            <v>0</v>
          </cell>
          <cell r="Z3553">
            <v>0</v>
          </cell>
        </row>
        <row r="3554">
          <cell r="V3554">
            <v>0</v>
          </cell>
          <cell r="Z3554">
            <v>0</v>
          </cell>
        </row>
        <row r="3555">
          <cell r="V3555">
            <v>0</v>
          </cell>
          <cell r="Z3555">
            <v>0</v>
          </cell>
        </row>
        <row r="3556">
          <cell r="V3556">
            <v>0</v>
          </cell>
          <cell r="Z3556">
            <v>0</v>
          </cell>
        </row>
        <row r="3557">
          <cell r="V3557">
            <v>0</v>
          </cell>
          <cell r="Z3557">
            <v>0</v>
          </cell>
        </row>
        <row r="3558">
          <cell r="V3558">
            <v>0</v>
          </cell>
          <cell r="Z3558">
            <v>0</v>
          </cell>
        </row>
        <row r="3559">
          <cell r="V3559">
            <v>0</v>
          </cell>
          <cell r="Z3559">
            <v>0</v>
          </cell>
        </row>
        <row r="3560">
          <cell r="V3560">
            <v>0</v>
          </cell>
          <cell r="Z3560">
            <v>0</v>
          </cell>
        </row>
        <row r="3561">
          <cell r="V3561">
            <v>0</v>
          </cell>
          <cell r="Z3561">
            <v>0</v>
          </cell>
        </row>
        <row r="3562">
          <cell r="V3562">
            <v>0</v>
          </cell>
          <cell r="Z3562">
            <v>0</v>
          </cell>
        </row>
        <row r="3563">
          <cell r="V3563">
            <v>0</v>
          </cell>
          <cell r="Z3563">
            <v>0</v>
          </cell>
        </row>
        <row r="3564">
          <cell r="V3564">
            <v>0</v>
          </cell>
          <cell r="Z3564">
            <v>0</v>
          </cell>
        </row>
        <row r="3565">
          <cell r="V3565">
            <v>0</v>
          </cell>
          <cell r="Z3565">
            <v>0</v>
          </cell>
        </row>
        <row r="3566">
          <cell r="V3566">
            <v>0</v>
          </cell>
          <cell r="Z3566">
            <v>0</v>
          </cell>
        </row>
        <row r="3567">
          <cell r="V3567">
            <v>0</v>
          </cell>
          <cell r="Z3567">
            <v>0</v>
          </cell>
        </row>
        <row r="3568">
          <cell r="V3568">
            <v>0</v>
          </cell>
          <cell r="Z3568">
            <v>0</v>
          </cell>
        </row>
        <row r="3569">
          <cell r="V3569">
            <v>0</v>
          </cell>
          <cell r="Z3569">
            <v>0</v>
          </cell>
        </row>
        <row r="3570">
          <cell r="V3570">
            <v>0</v>
          </cell>
          <cell r="Z3570">
            <v>0</v>
          </cell>
        </row>
        <row r="3571">
          <cell r="V3571">
            <v>0</v>
          </cell>
          <cell r="Z3571">
            <v>0</v>
          </cell>
        </row>
        <row r="3572">
          <cell r="V3572">
            <v>0</v>
          </cell>
          <cell r="Z3572">
            <v>0</v>
          </cell>
        </row>
        <row r="3573">
          <cell r="V3573">
            <v>0</v>
          </cell>
          <cell r="Z3573">
            <v>0</v>
          </cell>
        </row>
        <row r="3574">
          <cell r="V3574">
            <v>0</v>
          </cell>
          <cell r="Z3574">
            <v>0</v>
          </cell>
        </row>
        <row r="3575">
          <cell r="V3575">
            <v>0</v>
          </cell>
          <cell r="Z3575">
            <v>0</v>
          </cell>
        </row>
        <row r="3576">
          <cell r="V3576">
            <v>0</v>
          </cell>
          <cell r="Z3576">
            <v>0</v>
          </cell>
        </row>
        <row r="3577">
          <cell r="V3577">
            <v>0</v>
          </cell>
          <cell r="Z3577">
            <v>0</v>
          </cell>
        </row>
        <row r="3578">
          <cell r="V3578">
            <v>0</v>
          </cell>
          <cell r="Z3578">
            <v>0</v>
          </cell>
        </row>
        <row r="3579">
          <cell r="V3579">
            <v>0</v>
          </cell>
          <cell r="Z3579">
            <v>0</v>
          </cell>
        </row>
        <row r="3580">
          <cell r="V3580">
            <v>0</v>
          </cell>
          <cell r="Z3580">
            <v>0</v>
          </cell>
        </row>
        <row r="3581">
          <cell r="V3581">
            <v>0</v>
          </cell>
          <cell r="Z3581">
            <v>0</v>
          </cell>
        </row>
        <row r="3582">
          <cell r="V3582">
            <v>0</v>
          </cell>
          <cell r="Z3582">
            <v>0</v>
          </cell>
        </row>
        <row r="3583">
          <cell r="V3583">
            <v>0</v>
          </cell>
          <cell r="Z3583">
            <v>0</v>
          </cell>
        </row>
        <row r="3584">
          <cell r="V3584">
            <v>0</v>
          </cell>
          <cell r="Z3584">
            <v>0</v>
          </cell>
        </row>
        <row r="3585">
          <cell r="V3585">
            <v>0</v>
          </cell>
          <cell r="Z3585">
            <v>0</v>
          </cell>
        </row>
        <row r="3586">
          <cell r="V3586">
            <v>0</v>
          </cell>
          <cell r="Z3586">
            <v>0</v>
          </cell>
        </row>
        <row r="3587">
          <cell r="V3587">
            <v>0</v>
          </cell>
          <cell r="Z3587">
            <v>0</v>
          </cell>
        </row>
        <row r="3588">
          <cell r="V3588">
            <v>0</v>
          </cell>
          <cell r="Z3588">
            <v>0</v>
          </cell>
        </row>
        <row r="3589">
          <cell r="V3589">
            <v>0</v>
          </cell>
          <cell r="Z3589">
            <v>0</v>
          </cell>
        </row>
        <row r="3590">
          <cell r="V3590">
            <v>0</v>
          </cell>
          <cell r="Z3590">
            <v>0</v>
          </cell>
        </row>
        <row r="3591">
          <cell r="V3591">
            <v>0</v>
          </cell>
          <cell r="Z3591">
            <v>0</v>
          </cell>
        </row>
        <row r="3592">
          <cell r="V3592">
            <v>0</v>
          </cell>
          <cell r="Z3592">
            <v>0</v>
          </cell>
        </row>
        <row r="3593">
          <cell r="V3593">
            <v>0</v>
          </cell>
          <cell r="Z3593">
            <v>0</v>
          </cell>
        </row>
        <row r="3594">
          <cell r="V3594">
            <v>0</v>
          </cell>
          <cell r="Z3594">
            <v>0</v>
          </cell>
        </row>
        <row r="3595">
          <cell r="V3595">
            <v>0</v>
          </cell>
          <cell r="Z3595">
            <v>0</v>
          </cell>
        </row>
        <row r="3596">
          <cell r="V3596">
            <v>0</v>
          </cell>
          <cell r="Z3596">
            <v>0</v>
          </cell>
        </row>
        <row r="3597">
          <cell r="V3597">
            <v>0</v>
          </cell>
          <cell r="Z3597">
            <v>0</v>
          </cell>
        </row>
        <row r="3598">
          <cell r="V3598">
            <v>0</v>
          </cell>
          <cell r="Z3598">
            <v>0</v>
          </cell>
        </row>
        <row r="3599">
          <cell r="V3599">
            <v>0</v>
          </cell>
          <cell r="Z3599">
            <v>0</v>
          </cell>
        </row>
        <row r="3600">
          <cell r="V3600">
            <v>0</v>
          </cell>
          <cell r="Z3600">
            <v>0</v>
          </cell>
        </row>
        <row r="3601">
          <cell r="V3601">
            <v>0</v>
          </cell>
          <cell r="Z3601">
            <v>0</v>
          </cell>
        </row>
        <row r="3602">
          <cell r="V3602">
            <v>0</v>
          </cell>
          <cell r="Z3602">
            <v>0</v>
          </cell>
        </row>
        <row r="3603">
          <cell r="V3603">
            <v>0</v>
          </cell>
          <cell r="Z3603">
            <v>0</v>
          </cell>
        </row>
        <row r="3604">
          <cell r="V3604">
            <v>0</v>
          </cell>
          <cell r="Z3604">
            <v>0</v>
          </cell>
        </row>
        <row r="3605">
          <cell r="V3605">
            <v>0</v>
          </cell>
          <cell r="Z3605">
            <v>0</v>
          </cell>
        </row>
        <row r="3606">
          <cell r="V3606">
            <v>0</v>
          </cell>
          <cell r="Z3606">
            <v>0</v>
          </cell>
        </row>
        <row r="3607">
          <cell r="V3607">
            <v>0</v>
          </cell>
          <cell r="Z3607">
            <v>0</v>
          </cell>
        </row>
        <row r="3608">
          <cell r="V3608">
            <v>0</v>
          </cell>
          <cell r="Z3608">
            <v>0</v>
          </cell>
        </row>
        <row r="3609">
          <cell r="V3609">
            <v>0</v>
          </cell>
          <cell r="Z3609">
            <v>0</v>
          </cell>
        </row>
        <row r="3610">
          <cell r="V3610">
            <v>0</v>
          </cell>
          <cell r="Z3610">
            <v>0</v>
          </cell>
        </row>
        <row r="3611">
          <cell r="V3611">
            <v>0</v>
          </cell>
          <cell r="Z3611">
            <v>0</v>
          </cell>
        </row>
        <row r="3612">
          <cell r="V3612">
            <v>0</v>
          </cell>
          <cell r="Z3612">
            <v>0</v>
          </cell>
        </row>
        <row r="3613">
          <cell r="V3613">
            <v>0</v>
          </cell>
          <cell r="Z3613">
            <v>0</v>
          </cell>
        </row>
        <row r="3614">
          <cell r="V3614">
            <v>0</v>
          </cell>
          <cell r="Z3614">
            <v>0</v>
          </cell>
        </row>
        <row r="3615">
          <cell r="V3615">
            <v>0</v>
          </cell>
          <cell r="Z3615">
            <v>0</v>
          </cell>
        </row>
        <row r="3616">
          <cell r="V3616">
            <v>0</v>
          </cell>
          <cell r="Z3616">
            <v>0</v>
          </cell>
        </row>
        <row r="3617">
          <cell r="V3617">
            <v>0</v>
          </cell>
          <cell r="Z3617">
            <v>0</v>
          </cell>
        </row>
        <row r="3618">
          <cell r="V3618">
            <v>0</v>
          </cell>
          <cell r="Z3618">
            <v>0</v>
          </cell>
        </row>
        <row r="3619">
          <cell r="V3619">
            <v>0</v>
          </cell>
          <cell r="Z3619">
            <v>0</v>
          </cell>
        </row>
        <row r="3620">
          <cell r="V3620">
            <v>0</v>
          </cell>
          <cell r="Z3620">
            <v>0</v>
          </cell>
        </row>
        <row r="3621">
          <cell r="V3621">
            <v>0</v>
          </cell>
          <cell r="Z3621">
            <v>0</v>
          </cell>
        </row>
        <row r="3622">
          <cell r="V3622">
            <v>0</v>
          </cell>
          <cell r="Z3622">
            <v>0</v>
          </cell>
        </row>
        <row r="3623">
          <cell r="V3623">
            <v>0</v>
          </cell>
          <cell r="Z3623">
            <v>0</v>
          </cell>
        </row>
        <row r="3624">
          <cell r="V3624">
            <v>0</v>
          </cell>
          <cell r="Z3624">
            <v>0</v>
          </cell>
        </row>
        <row r="3625">
          <cell r="V3625">
            <v>0</v>
          </cell>
          <cell r="Z3625">
            <v>0</v>
          </cell>
        </row>
        <row r="3626">
          <cell r="V3626">
            <v>0</v>
          </cell>
          <cell r="Z3626">
            <v>0</v>
          </cell>
        </row>
        <row r="3627">
          <cell r="V3627">
            <v>0</v>
          </cell>
          <cell r="Z3627">
            <v>0</v>
          </cell>
        </row>
        <row r="3628">
          <cell r="V3628">
            <v>0</v>
          </cell>
          <cell r="Z3628">
            <v>0</v>
          </cell>
        </row>
        <row r="3629">
          <cell r="V3629">
            <v>0</v>
          </cell>
          <cell r="Z3629">
            <v>0</v>
          </cell>
        </row>
        <row r="3630">
          <cell r="V3630">
            <v>0</v>
          </cell>
          <cell r="Z3630">
            <v>0</v>
          </cell>
        </row>
        <row r="3631">
          <cell r="V3631">
            <v>0</v>
          </cell>
          <cell r="Z3631">
            <v>0</v>
          </cell>
        </row>
        <row r="3632">
          <cell r="V3632">
            <v>0</v>
          </cell>
          <cell r="Z3632">
            <v>0</v>
          </cell>
        </row>
        <row r="3633">
          <cell r="V3633">
            <v>0</v>
          </cell>
          <cell r="Z3633">
            <v>0</v>
          </cell>
        </row>
        <row r="3634">
          <cell r="V3634">
            <v>0</v>
          </cell>
          <cell r="Z3634">
            <v>0</v>
          </cell>
        </row>
        <row r="3635">
          <cell r="V3635">
            <v>0</v>
          </cell>
          <cell r="Z3635">
            <v>0</v>
          </cell>
        </row>
        <row r="3636">
          <cell r="V3636">
            <v>0</v>
          </cell>
          <cell r="Z3636">
            <v>0</v>
          </cell>
        </row>
        <row r="3637">
          <cell r="V3637">
            <v>0</v>
          </cell>
          <cell r="Z3637">
            <v>0</v>
          </cell>
        </row>
        <row r="3638">
          <cell r="V3638">
            <v>0</v>
          </cell>
          <cell r="Z3638">
            <v>0</v>
          </cell>
        </row>
        <row r="3639">
          <cell r="V3639">
            <v>0</v>
          </cell>
          <cell r="Z3639">
            <v>0</v>
          </cell>
        </row>
        <row r="3640">
          <cell r="V3640">
            <v>0</v>
          </cell>
          <cell r="Z3640">
            <v>0</v>
          </cell>
        </row>
        <row r="3641">
          <cell r="V3641">
            <v>0</v>
          </cell>
          <cell r="Z3641">
            <v>0</v>
          </cell>
        </row>
        <row r="3642">
          <cell r="V3642">
            <v>0</v>
          </cell>
          <cell r="Z3642">
            <v>0</v>
          </cell>
        </row>
        <row r="3643">
          <cell r="V3643">
            <v>0</v>
          </cell>
          <cell r="Z3643">
            <v>0</v>
          </cell>
        </row>
        <row r="3644">
          <cell r="V3644">
            <v>0</v>
          </cell>
          <cell r="Z3644">
            <v>0</v>
          </cell>
        </row>
        <row r="3645">
          <cell r="V3645">
            <v>0</v>
          </cell>
          <cell r="Z3645">
            <v>0</v>
          </cell>
        </row>
        <row r="3646">
          <cell r="V3646">
            <v>0</v>
          </cell>
          <cell r="Z3646">
            <v>0</v>
          </cell>
        </row>
        <row r="3647">
          <cell r="V3647">
            <v>0</v>
          </cell>
          <cell r="Z3647">
            <v>0</v>
          </cell>
        </row>
        <row r="3648">
          <cell r="V3648">
            <v>0</v>
          </cell>
          <cell r="Z3648">
            <v>0</v>
          </cell>
        </row>
        <row r="3649">
          <cell r="V3649">
            <v>0</v>
          </cell>
          <cell r="Z3649">
            <v>0</v>
          </cell>
        </row>
        <row r="3650">
          <cell r="V3650">
            <v>0</v>
          </cell>
          <cell r="Z3650">
            <v>0</v>
          </cell>
        </row>
        <row r="3651">
          <cell r="V3651">
            <v>0</v>
          </cell>
          <cell r="Z3651">
            <v>0</v>
          </cell>
        </row>
        <row r="3652">
          <cell r="V3652">
            <v>0</v>
          </cell>
          <cell r="Z3652">
            <v>0</v>
          </cell>
        </row>
        <row r="3653">
          <cell r="V3653">
            <v>0</v>
          </cell>
          <cell r="Z3653">
            <v>0</v>
          </cell>
        </row>
        <row r="3654">
          <cell r="V3654">
            <v>0</v>
          </cell>
          <cell r="Z3654">
            <v>0</v>
          </cell>
        </row>
        <row r="3655">
          <cell r="V3655">
            <v>0</v>
          </cell>
          <cell r="Z3655">
            <v>0</v>
          </cell>
        </row>
        <row r="3656">
          <cell r="V3656">
            <v>0</v>
          </cell>
          <cell r="Z3656">
            <v>0</v>
          </cell>
        </row>
        <row r="3657">
          <cell r="V3657">
            <v>0</v>
          </cell>
          <cell r="Z3657">
            <v>0</v>
          </cell>
        </row>
        <row r="3658">
          <cell r="V3658">
            <v>0</v>
          </cell>
          <cell r="Z3658">
            <v>0</v>
          </cell>
        </row>
        <row r="3659">
          <cell r="V3659">
            <v>0</v>
          </cell>
          <cell r="Z3659">
            <v>0</v>
          </cell>
        </row>
        <row r="3660">
          <cell r="V3660">
            <v>0</v>
          </cell>
          <cell r="Z3660">
            <v>0</v>
          </cell>
        </row>
        <row r="3661">
          <cell r="V3661">
            <v>0</v>
          </cell>
          <cell r="Z3661">
            <v>0</v>
          </cell>
        </row>
        <row r="3662">
          <cell r="V3662">
            <v>0</v>
          </cell>
          <cell r="Z3662">
            <v>0</v>
          </cell>
        </row>
        <row r="3663">
          <cell r="V3663">
            <v>0</v>
          </cell>
          <cell r="Z3663">
            <v>0</v>
          </cell>
        </row>
        <row r="3664">
          <cell r="V3664">
            <v>0</v>
          </cell>
          <cell r="Z3664">
            <v>0</v>
          </cell>
        </row>
        <row r="3665">
          <cell r="V3665">
            <v>0</v>
          </cell>
          <cell r="Z3665">
            <v>0</v>
          </cell>
        </row>
        <row r="3666">
          <cell r="V3666">
            <v>0</v>
          </cell>
          <cell r="Z3666">
            <v>0</v>
          </cell>
        </row>
        <row r="3667">
          <cell r="V3667">
            <v>0</v>
          </cell>
          <cell r="Z3667">
            <v>0</v>
          </cell>
        </row>
        <row r="3668">
          <cell r="V3668">
            <v>0</v>
          </cell>
          <cell r="Z3668">
            <v>0</v>
          </cell>
        </row>
        <row r="3669">
          <cell r="V3669">
            <v>0</v>
          </cell>
          <cell r="Z3669">
            <v>0</v>
          </cell>
        </row>
        <row r="3670">
          <cell r="V3670">
            <v>0</v>
          </cell>
          <cell r="Z3670">
            <v>0</v>
          </cell>
        </row>
        <row r="3671">
          <cell r="V3671">
            <v>0</v>
          </cell>
          <cell r="Z3671">
            <v>0</v>
          </cell>
        </row>
        <row r="3672">
          <cell r="V3672">
            <v>0</v>
          </cell>
          <cell r="Z3672">
            <v>0</v>
          </cell>
        </row>
        <row r="3673">
          <cell r="V3673">
            <v>0</v>
          </cell>
          <cell r="Z3673">
            <v>0</v>
          </cell>
        </row>
        <row r="3674">
          <cell r="V3674">
            <v>0</v>
          </cell>
          <cell r="Z3674">
            <v>0</v>
          </cell>
        </row>
        <row r="3675">
          <cell r="V3675">
            <v>0</v>
          </cell>
          <cell r="Z3675">
            <v>0</v>
          </cell>
        </row>
        <row r="3676">
          <cell r="V3676">
            <v>0</v>
          </cell>
          <cell r="Z3676">
            <v>0</v>
          </cell>
        </row>
        <row r="3677">
          <cell r="V3677">
            <v>0</v>
          </cell>
          <cell r="Z3677">
            <v>0</v>
          </cell>
        </row>
        <row r="3678">
          <cell r="V3678">
            <v>0</v>
          </cell>
          <cell r="Z3678">
            <v>0</v>
          </cell>
        </row>
        <row r="3679">
          <cell r="V3679">
            <v>0</v>
          </cell>
          <cell r="Z3679">
            <v>0</v>
          </cell>
        </row>
        <row r="3680">
          <cell r="V3680">
            <v>0</v>
          </cell>
          <cell r="Z3680">
            <v>0</v>
          </cell>
        </row>
        <row r="3681">
          <cell r="V3681">
            <v>0</v>
          </cell>
          <cell r="Z3681">
            <v>0</v>
          </cell>
        </row>
        <row r="3682">
          <cell r="V3682">
            <v>0</v>
          </cell>
          <cell r="Z3682">
            <v>0</v>
          </cell>
        </row>
        <row r="3683">
          <cell r="V3683">
            <v>0</v>
          </cell>
          <cell r="Z3683">
            <v>0</v>
          </cell>
        </row>
        <row r="3684">
          <cell r="V3684">
            <v>0</v>
          </cell>
          <cell r="Z3684">
            <v>0</v>
          </cell>
        </row>
        <row r="3685">
          <cell r="V3685">
            <v>0</v>
          </cell>
          <cell r="Z3685">
            <v>0</v>
          </cell>
        </row>
        <row r="3686">
          <cell r="V3686">
            <v>0</v>
          </cell>
          <cell r="Z3686">
            <v>0</v>
          </cell>
        </row>
        <row r="3687">
          <cell r="V3687">
            <v>0</v>
          </cell>
          <cell r="Z3687">
            <v>0</v>
          </cell>
        </row>
        <row r="3688">
          <cell r="V3688">
            <v>0</v>
          </cell>
          <cell r="Z3688">
            <v>0</v>
          </cell>
        </row>
        <row r="3689">
          <cell r="V3689">
            <v>0</v>
          </cell>
          <cell r="Z3689">
            <v>0</v>
          </cell>
        </row>
        <row r="3690">
          <cell r="V3690">
            <v>0</v>
          </cell>
          <cell r="Z3690">
            <v>0</v>
          </cell>
        </row>
        <row r="3691">
          <cell r="V3691">
            <v>0</v>
          </cell>
          <cell r="Z3691">
            <v>0</v>
          </cell>
        </row>
        <row r="3692">
          <cell r="V3692">
            <v>0</v>
          </cell>
          <cell r="Z3692">
            <v>0</v>
          </cell>
        </row>
        <row r="3693">
          <cell r="V3693">
            <v>0</v>
          </cell>
          <cell r="Z3693">
            <v>0</v>
          </cell>
        </row>
        <row r="3694">
          <cell r="V3694">
            <v>0</v>
          </cell>
          <cell r="Z3694">
            <v>0</v>
          </cell>
        </row>
        <row r="3695">
          <cell r="V3695">
            <v>0</v>
          </cell>
          <cell r="Z3695">
            <v>0</v>
          </cell>
        </row>
        <row r="3696">
          <cell r="V3696">
            <v>0</v>
          </cell>
          <cell r="Z3696">
            <v>0</v>
          </cell>
        </row>
        <row r="3697">
          <cell r="V3697">
            <v>0</v>
          </cell>
          <cell r="Z3697">
            <v>0</v>
          </cell>
        </row>
        <row r="3698">
          <cell r="V3698">
            <v>0</v>
          </cell>
          <cell r="Z3698">
            <v>0</v>
          </cell>
        </row>
        <row r="3699">
          <cell r="V3699">
            <v>0</v>
          </cell>
          <cell r="Z3699">
            <v>0</v>
          </cell>
        </row>
        <row r="3700">
          <cell r="V3700">
            <v>0</v>
          </cell>
          <cell r="Z3700">
            <v>0</v>
          </cell>
        </row>
        <row r="3701">
          <cell r="V3701">
            <v>0</v>
          </cell>
          <cell r="Z3701">
            <v>0</v>
          </cell>
        </row>
        <row r="3702">
          <cell r="V3702">
            <v>0</v>
          </cell>
          <cell r="Z3702">
            <v>0</v>
          </cell>
        </row>
        <row r="3703">
          <cell r="V3703">
            <v>0</v>
          </cell>
          <cell r="Z3703">
            <v>0</v>
          </cell>
        </row>
        <row r="3704">
          <cell r="V3704">
            <v>0</v>
          </cell>
          <cell r="Z3704">
            <v>0</v>
          </cell>
        </row>
        <row r="3705">
          <cell r="V3705">
            <v>0</v>
          </cell>
          <cell r="Z3705">
            <v>0</v>
          </cell>
        </row>
        <row r="3706">
          <cell r="V3706">
            <v>0</v>
          </cell>
          <cell r="Z3706">
            <v>0</v>
          </cell>
        </row>
        <row r="3707">
          <cell r="V3707">
            <v>0</v>
          </cell>
          <cell r="Z3707">
            <v>0</v>
          </cell>
        </row>
        <row r="3708">
          <cell r="V3708">
            <v>0</v>
          </cell>
          <cell r="Z3708">
            <v>0</v>
          </cell>
        </row>
        <row r="3709">
          <cell r="V3709">
            <v>0</v>
          </cell>
          <cell r="Z3709">
            <v>0</v>
          </cell>
        </row>
        <row r="3710">
          <cell r="V3710">
            <v>0</v>
          </cell>
          <cell r="Z3710">
            <v>0</v>
          </cell>
        </row>
        <row r="3711">
          <cell r="V3711">
            <v>0</v>
          </cell>
          <cell r="Z3711">
            <v>0</v>
          </cell>
        </row>
        <row r="3712">
          <cell r="V3712">
            <v>0</v>
          </cell>
          <cell r="Z3712">
            <v>0</v>
          </cell>
        </row>
        <row r="3713">
          <cell r="V3713">
            <v>0</v>
          </cell>
          <cell r="Z3713">
            <v>0</v>
          </cell>
        </row>
        <row r="3714">
          <cell r="V3714">
            <v>0</v>
          </cell>
          <cell r="Z3714">
            <v>0</v>
          </cell>
        </row>
        <row r="3715">
          <cell r="V3715">
            <v>0</v>
          </cell>
          <cell r="Z3715">
            <v>0</v>
          </cell>
        </row>
        <row r="3716">
          <cell r="V3716">
            <v>0</v>
          </cell>
          <cell r="Z3716">
            <v>0</v>
          </cell>
        </row>
        <row r="3717">
          <cell r="V3717">
            <v>0</v>
          </cell>
          <cell r="Z3717">
            <v>0</v>
          </cell>
        </row>
        <row r="3718">
          <cell r="V3718">
            <v>0</v>
          </cell>
          <cell r="Z3718">
            <v>0</v>
          </cell>
        </row>
        <row r="3719">
          <cell r="V3719">
            <v>0</v>
          </cell>
          <cell r="Z3719">
            <v>0</v>
          </cell>
        </row>
        <row r="3720">
          <cell r="V3720">
            <v>0</v>
          </cell>
          <cell r="Z3720">
            <v>0</v>
          </cell>
        </row>
        <row r="3721">
          <cell r="V3721">
            <v>0</v>
          </cell>
          <cell r="Z3721">
            <v>0</v>
          </cell>
        </row>
        <row r="3722">
          <cell r="V3722">
            <v>0</v>
          </cell>
          <cell r="Z3722">
            <v>0</v>
          </cell>
        </row>
        <row r="3723">
          <cell r="V3723">
            <v>0</v>
          </cell>
          <cell r="Z3723">
            <v>0</v>
          </cell>
        </row>
        <row r="3724">
          <cell r="V3724">
            <v>0</v>
          </cell>
          <cell r="Z3724">
            <v>0</v>
          </cell>
        </row>
        <row r="3725">
          <cell r="V3725">
            <v>0</v>
          </cell>
          <cell r="Z3725">
            <v>0</v>
          </cell>
        </row>
        <row r="3726">
          <cell r="V3726">
            <v>0</v>
          </cell>
          <cell r="Z3726">
            <v>0</v>
          </cell>
        </row>
        <row r="3727">
          <cell r="V3727">
            <v>0</v>
          </cell>
          <cell r="Z3727">
            <v>0</v>
          </cell>
        </row>
        <row r="3728">
          <cell r="V3728">
            <v>0</v>
          </cell>
          <cell r="Z3728">
            <v>0</v>
          </cell>
        </row>
        <row r="3729">
          <cell r="V3729">
            <v>0</v>
          </cell>
          <cell r="Z3729">
            <v>0</v>
          </cell>
        </row>
        <row r="3730">
          <cell r="V3730">
            <v>0</v>
          </cell>
          <cell r="Z3730">
            <v>0</v>
          </cell>
        </row>
        <row r="3731">
          <cell r="V3731">
            <v>0</v>
          </cell>
          <cell r="Z3731">
            <v>0</v>
          </cell>
        </row>
        <row r="3732">
          <cell r="V3732">
            <v>0</v>
          </cell>
          <cell r="Z3732">
            <v>0</v>
          </cell>
        </row>
        <row r="3733">
          <cell r="V3733">
            <v>0</v>
          </cell>
          <cell r="Z3733">
            <v>0</v>
          </cell>
        </row>
        <row r="3734">
          <cell r="V3734">
            <v>0</v>
          </cell>
          <cell r="Z3734">
            <v>0</v>
          </cell>
        </row>
        <row r="3735">
          <cell r="V3735">
            <v>0</v>
          </cell>
          <cell r="Z3735">
            <v>0</v>
          </cell>
        </row>
        <row r="3736">
          <cell r="V3736">
            <v>0</v>
          </cell>
          <cell r="Z3736">
            <v>0</v>
          </cell>
        </row>
        <row r="3737">
          <cell r="V3737">
            <v>0</v>
          </cell>
          <cell r="Z3737">
            <v>0</v>
          </cell>
        </row>
        <row r="3738">
          <cell r="V3738">
            <v>0</v>
          </cell>
          <cell r="Z3738">
            <v>0</v>
          </cell>
        </row>
        <row r="3739">
          <cell r="V3739">
            <v>0</v>
          </cell>
          <cell r="Z3739">
            <v>0</v>
          </cell>
        </row>
        <row r="3740">
          <cell r="V3740">
            <v>0</v>
          </cell>
          <cell r="Z3740">
            <v>0</v>
          </cell>
        </row>
        <row r="3741">
          <cell r="V3741">
            <v>0</v>
          </cell>
          <cell r="Z3741">
            <v>0</v>
          </cell>
        </row>
        <row r="3742">
          <cell r="V3742">
            <v>0</v>
          </cell>
          <cell r="Z3742">
            <v>0</v>
          </cell>
        </row>
        <row r="3743">
          <cell r="V3743">
            <v>0</v>
          </cell>
          <cell r="Z3743">
            <v>0</v>
          </cell>
        </row>
        <row r="3744">
          <cell r="V3744">
            <v>0</v>
          </cell>
          <cell r="Z3744">
            <v>0</v>
          </cell>
        </row>
        <row r="3745">
          <cell r="V3745">
            <v>0</v>
          </cell>
          <cell r="Z3745">
            <v>0</v>
          </cell>
        </row>
        <row r="3746">
          <cell r="V3746">
            <v>0</v>
          </cell>
          <cell r="Z3746">
            <v>0</v>
          </cell>
        </row>
        <row r="3747">
          <cell r="V3747">
            <v>0</v>
          </cell>
          <cell r="Z3747">
            <v>0</v>
          </cell>
        </row>
        <row r="3748">
          <cell r="V3748">
            <v>0</v>
          </cell>
          <cell r="Z3748">
            <v>0</v>
          </cell>
        </row>
        <row r="3749">
          <cell r="V3749">
            <v>0</v>
          </cell>
          <cell r="Z3749">
            <v>0</v>
          </cell>
        </row>
        <row r="3750">
          <cell r="V3750">
            <v>0</v>
          </cell>
          <cell r="Z3750">
            <v>0</v>
          </cell>
        </row>
        <row r="3751">
          <cell r="V3751">
            <v>0</v>
          </cell>
          <cell r="Z3751">
            <v>0</v>
          </cell>
        </row>
        <row r="3752">
          <cell r="V3752">
            <v>0</v>
          </cell>
          <cell r="Z3752">
            <v>0</v>
          </cell>
        </row>
        <row r="3753">
          <cell r="V3753">
            <v>0</v>
          </cell>
          <cell r="Z3753">
            <v>0</v>
          </cell>
        </row>
        <row r="3754">
          <cell r="V3754">
            <v>0</v>
          </cell>
          <cell r="Z3754">
            <v>0</v>
          </cell>
        </row>
        <row r="3755">
          <cell r="V3755">
            <v>0</v>
          </cell>
          <cell r="Z3755">
            <v>0</v>
          </cell>
        </row>
        <row r="3756">
          <cell r="V3756">
            <v>0</v>
          </cell>
          <cell r="Z3756">
            <v>0</v>
          </cell>
        </row>
        <row r="3757">
          <cell r="V3757">
            <v>0</v>
          </cell>
          <cell r="Z3757">
            <v>0</v>
          </cell>
        </row>
        <row r="3758">
          <cell r="V3758">
            <v>0</v>
          </cell>
          <cell r="Z3758">
            <v>0</v>
          </cell>
        </row>
        <row r="3759">
          <cell r="V3759">
            <v>0</v>
          </cell>
          <cell r="Z3759">
            <v>0</v>
          </cell>
        </row>
        <row r="3760">
          <cell r="V3760">
            <v>0</v>
          </cell>
          <cell r="Z3760">
            <v>0</v>
          </cell>
        </row>
        <row r="3761">
          <cell r="V3761">
            <v>0</v>
          </cell>
          <cell r="Z3761">
            <v>0</v>
          </cell>
        </row>
        <row r="3762">
          <cell r="V3762">
            <v>0</v>
          </cell>
          <cell r="Z3762">
            <v>0</v>
          </cell>
        </row>
        <row r="3763">
          <cell r="V3763">
            <v>0</v>
          </cell>
          <cell r="Z3763">
            <v>0</v>
          </cell>
        </row>
        <row r="3764">
          <cell r="V3764">
            <v>0</v>
          </cell>
          <cell r="Z3764">
            <v>0</v>
          </cell>
        </row>
        <row r="3765">
          <cell r="V3765">
            <v>0</v>
          </cell>
          <cell r="Z3765">
            <v>0</v>
          </cell>
        </row>
        <row r="3766">
          <cell r="V3766">
            <v>0</v>
          </cell>
          <cell r="Z3766">
            <v>0</v>
          </cell>
        </row>
        <row r="3767">
          <cell r="V3767">
            <v>0</v>
          </cell>
          <cell r="Z3767">
            <v>0</v>
          </cell>
        </row>
        <row r="3768">
          <cell r="V3768">
            <v>0</v>
          </cell>
          <cell r="Z3768">
            <v>0</v>
          </cell>
        </row>
        <row r="3769">
          <cell r="V3769">
            <v>0</v>
          </cell>
          <cell r="Z3769">
            <v>0</v>
          </cell>
        </row>
        <row r="3770">
          <cell r="V3770">
            <v>0</v>
          </cell>
          <cell r="Z3770">
            <v>0</v>
          </cell>
        </row>
        <row r="3771">
          <cell r="V3771">
            <v>0</v>
          </cell>
          <cell r="Z3771">
            <v>0</v>
          </cell>
        </row>
        <row r="3772">
          <cell r="V3772">
            <v>0</v>
          </cell>
          <cell r="Z3772">
            <v>0</v>
          </cell>
        </row>
        <row r="3773">
          <cell r="V3773">
            <v>0</v>
          </cell>
          <cell r="Z3773">
            <v>0</v>
          </cell>
        </row>
        <row r="3774">
          <cell r="V3774">
            <v>0</v>
          </cell>
          <cell r="Z3774">
            <v>0</v>
          </cell>
        </row>
        <row r="3775">
          <cell r="V3775">
            <v>0</v>
          </cell>
          <cell r="Z3775">
            <v>0</v>
          </cell>
        </row>
        <row r="3776">
          <cell r="V3776">
            <v>0</v>
          </cell>
          <cell r="Z3776">
            <v>0</v>
          </cell>
        </row>
        <row r="3777">
          <cell r="V3777">
            <v>0</v>
          </cell>
          <cell r="Z3777">
            <v>0</v>
          </cell>
        </row>
        <row r="3778">
          <cell r="V3778">
            <v>0</v>
          </cell>
          <cell r="Z3778">
            <v>0</v>
          </cell>
        </row>
        <row r="3779">
          <cell r="V3779">
            <v>0</v>
          </cell>
          <cell r="Z3779">
            <v>0</v>
          </cell>
        </row>
        <row r="3780">
          <cell r="V3780">
            <v>0</v>
          </cell>
          <cell r="Z3780">
            <v>0</v>
          </cell>
        </row>
        <row r="3781">
          <cell r="V3781">
            <v>0</v>
          </cell>
          <cell r="Z3781">
            <v>0</v>
          </cell>
        </row>
        <row r="3782">
          <cell r="V3782">
            <v>0</v>
          </cell>
          <cell r="Z3782">
            <v>0</v>
          </cell>
        </row>
        <row r="3783">
          <cell r="V3783">
            <v>0</v>
          </cell>
          <cell r="Z3783">
            <v>0</v>
          </cell>
        </row>
        <row r="3784">
          <cell r="V3784">
            <v>0</v>
          </cell>
          <cell r="Z3784">
            <v>0</v>
          </cell>
        </row>
        <row r="3785">
          <cell r="V3785">
            <v>0</v>
          </cell>
          <cell r="Z3785">
            <v>0</v>
          </cell>
        </row>
        <row r="3786">
          <cell r="V3786">
            <v>0</v>
          </cell>
          <cell r="Z3786">
            <v>0</v>
          </cell>
        </row>
        <row r="3787">
          <cell r="V3787">
            <v>0</v>
          </cell>
          <cell r="Z3787">
            <v>0</v>
          </cell>
        </row>
        <row r="3788">
          <cell r="V3788">
            <v>0</v>
          </cell>
          <cell r="Z3788">
            <v>0</v>
          </cell>
        </row>
        <row r="3789">
          <cell r="V3789">
            <v>0</v>
          </cell>
          <cell r="Z3789">
            <v>0</v>
          </cell>
        </row>
        <row r="3790">
          <cell r="V3790">
            <v>0</v>
          </cell>
          <cell r="Z3790">
            <v>0</v>
          </cell>
        </row>
        <row r="3791">
          <cell r="V3791">
            <v>0</v>
          </cell>
          <cell r="Z3791">
            <v>0</v>
          </cell>
        </row>
        <row r="3792">
          <cell r="V3792">
            <v>0</v>
          </cell>
          <cell r="Z3792">
            <v>0</v>
          </cell>
        </row>
        <row r="3793">
          <cell r="V3793">
            <v>0</v>
          </cell>
          <cell r="Z3793">
            <v>0</v>
          </cell>
        </row>
        <row r="3794">
          <cell r="V3794">
            <v>0</v>
          </cell>
          <cell r="Z3794">
            <v>0</v>
          </cell>
        </row>
        <row r="3795">
          <cell r="V3795">
            <v>0</v>
          </cell>
          <cell r="Z3795">
            <v>0</v>
          </cell>
        </row>
        <row r="3796">
          <cell r="V3796">
            <v>0</v>
          </cell>
          <cell r="Z3796">
            <v>0</v>
          </cell>
        </row>
        <row r="3797">
          <cell r="V3797">
            <v>0</v>
          </cell>
          <cell r="Z3797">
            <v>0</v>
          </cell>
        </row>
        <row r="3798">
          <cell r="V3798">
            <v>0</v>
          </cell>
          <cell r="Z3798">
            <v>0</v>
          </cell>
        </row>
        <row r="3799">
          <cell r="V3799">
            <v>0</v>
          </cell>
          <cell r="Z3799">
            <v>0</v>
          </cell>
        </row>
        <row r="3800">
          <cell r="V3800">
            <v>0</v>
          </cell>
          <cell r="Z3800">
            <v>0</v>
          </cell>
        </row>
        <row r="3801">
          <cell r="V3801">
            <v>0</v>
          </cell>
          <cell r="Z3801">
            <v>0</v>
          </cell>
        </row>
        <row r="3802">
          <cell r="V3802">
            <v>0</v>
          </cell>
          <cell r="Z3802">
            <v>0</v>
          </cell>
        </row>
        <row r="3803">
          <cell r="V3803">
            <v>0</v>
          </cell>
          <cell r="Z3803">
            <v>0</v>
          </cell>
        </row>
        <row r="3804">
          <cell r="V3804">
            <v>0</v>
          </cell>
          <cell r="Z3804">
            <v>0</v>
          </cell>
        </row>
        <row r="3805">
          <cell r="V3805">
            <v>0</v>
          </cell>
          <cell r="Z3805">
            <v>0</v>
          </cell>
        </row>
        <row r="3806">
          <cell r="V3806">
            <v>0</v>
          </cell>
          <cell r="Z3806">
            <v>0</v>
          </cell>
        </row>
        <row r="3807">
          <cell r="V3807">
            <v>0</v>
          </cell>
          <cell r="Z3807">
            <v>0</v>
          </cell>
        </row>
        <row r="3808">
          <cell r="V3808">
            <v>0</v>
          </cell>
          <cell r="Z3808">
            <v>0</v>
          </cell>
        </row>
        <row r="3809">
          <cell r="V3809">
            <v>0</v>
          </cell>
          <cell r="Z3809">
            <v>0</v>
          </cell>
        </row>
        <row r="3810">
          <cell r="V3810">
            <v>0</v>
          </cell>
          <cell r="Z3810">
            <v>0</v>
          </cell>
        </row>
        <row r="3811">
          <cell r="V3811">
            <v>0</v>
          </cell>
          <cell r="Z3811">
            <v>0</v>
          </cell>
        </row>
        <row r="3812">
          <cell r="V3812">
            <v>0</v>
          </cell>
          <cell r="Z3812">
            <v>0</v>
          </cell>
        </row>
        <row r="3813">
          <cell r="V3813">
            <v>0</v>
          </cell>
          <cell r="Z3813">
            <v>0</v>
          </cell>
        </row>
        <row r="3814">
          <cell r="V3814">
            <v>0</v>
          </cell>
          <cell r="Z3814">
            <v>0</v>
          </cell>
        </row>
        <row r="3815">
          <cell r="V3815">
            <v>0</v>
          </cell>
          <cell r="Z3815">
            <v>0</v>
          </cell>
        </row>
        <row r="3816">
          <cell r="V3816">
            <v>0</v>
          </cell>
          <cell r="Z3816">
            <v>0</v>
          </cell>
        </row>
        <row r="3817">
          <cell r="V3817">
            <v>0</v>
          </cell>
          <cell r="Z3817">
            <v>0</v>
          </cell>
        </row>
        <row r="3818">
          <cell r="V3818">
            <v>0</v>
          </cell>
          <cell r="Z3818">
            <v>0</v>
          </cell>
        </row>
        <row r="3819">
          <cell r="V3819">
            <v>0</v>
          </cell>
          <cell r="Z3819">
            <v>0</v>
          </cell>
        </row>
        <row r="3820">
          <cell r="V3820">
            <v>0</v>
          </cell>
          <cell r="Z3820">
            <v>0</v>
          </cell>
        </row>
        <row r="3821">
          <cell r="V3821">
            <v>0</v>
          </cell>
          <cell r="Z3821">
            <v>0</v>
          </cell>
        </row>
        <row r="3822">
          <cell r="V3822">
            <v>0</v>
          </cell>
          <cell r="Z3822">
            <v>0</v>
          </cell>
        </row>
        <row r="3823">
          <cell r="V3823">
            <v>0</v>
          </cell>
          <cell r="Z3823">
            <v>0</v>
          </cell>
        </row>
        <row r="3824">
          <cell r="V3824">
            <v>0</v>
          </cell>
          <cell r="Z3824">
            <v>0</v>
          </cell>
        </row>
        <row r="3825">
          <cell r="V3825">
            <v>0</v>
          </cell>
          <cell r="Z3825">
            <v>0</v>
          </cell>
        </row>
        <row r="3826">
          <cell r="V3826">
            <v>0</v>
          </cell>
          <cell r="Z3826">
            <v>0</v>
          </cell>
        </row>
        <row r="3827">
          <cell r="V3827">
            <v>0</v>
          </cell>
          <cell r="Z3827">
            <v>0</v>
          </cell>
        </row>
        <row r="3828">
          <cell r="V3828">
            <v>0</v>
          </cell>
          <cell r="Z3828">
            <v>0</v>
          </cell>
        </row>
        <row r="3829">
          <cell r="V3829">
            <v>0</v>
          </cell>
          <cell r="Z3829">
            <v>0</v>
          </cell>
        </row>
        <row r="3830">
          <cell r="V3830">
            <v>0</v>
          </cell>
          <cell r="Z3830">
            <v>0</v>
          </cell>
        </row>
        <row r="3831">
          <cell r="V3831">
            <v>0</v>
          </cell>
          <cell r="Z3831">
            <v>0</v>
          </cell>
        </row>
        <row r="3832">
          <cell r="V3832">
            <v>0</v>
          </cell>
          <cell r="Z3832">
            <v>0</v>
          </cell>
        </row>
        <row r="3833">
          <cell r="V3833">
            <v>0</v>
          </cell>
          <cell r="Z3833">
            <v>0</v>
          </cell>
        </row>
        <row r="3834">
          <cell r="V3834">
            <v>0</v>
          </cell>
          <cell r="Z3834">
            <v>0</v>
          </cell>
        </row>
        <row r="3835">
          <cell r="V3835">
            <v>0</v>
          </cell>
          <cell r="Z3835">
            <v>0</v>
          </cell>
        </row>
        <row r="3836">
          <cell r="V3836">
            <v>0</v>
          </cell>
          <cell r="Z3836">
            <v>0</v>
          </cell>
        </row>
        <row r="3837">
          <cell r="V3837">
            <v>0</v>
          </cell>
          <cell r="Z3837">
            <v>0</v>
          </cell>
        </row>
        <row r="3838">
          <cell r="V3838">
            <v>0</v>
          </cell>
          <cell r="Z3838">
            <v>0</v>
          </cell>
        </row>
        <row r="3839">
          <cell r="V3839">
            <v>0</v>
          </cell>
          <cell r="Z3839">
            <v>0</v>
          </cell>
        </row>
        <row r="3840">
          <cell r="V3840">
            <v>0</v>
          </cell>
          <cell r="Z3840">
            <v>0</v>
          </cell>
        </row>
        <row r="3841">
          <cell r="V3841">
            <v>0</v>
          </cell>
          <cell r="Z3841">
            <v>0</v>
          </cell>
        </row>
        <row r="3842">
          <cell r="V3842">
            <v>0</v>
          </cell>
          <cell r="Z3842">
            <v>0</v>
          </cell>
        </row>
        <row r="3843">
          <cell r="V3843">
            <v>0</v>
          </cell>
          <cell r="Z3843">
            <v>0</v>
          </cell>
        </row>
        <row r="3844">
          <cell r="V3844">
            <v>0</v>
          </cell>
          <cell r="Z3844">
            <v>0</v>
          </cell>
        </row>
        <row r="3845">
          <cell r="V3845">
            <v>0</v>
          </cell>
          <cell r="Z3845">
            <v>0</v>
          </cell>
        </row>
        <row r="3846">
          <cell r="V3846">
            <v>0</v>
          </cell>
          <cell r="Z3846">
            <v>0</v>
          </cell>
        </row>
        <row r="3847">
          <cell r="V3847">
            <v>0</v>
          </cell>
          <cell r="Z3847">
            <v>0</v>
          </cell>
        </row>
        <row r="3848">
          <cell r="V3848">
            <v>0</v>
          </cell>
          <cell r="Z3848">
            <v>0</v>
          </cell>
        </row>
        <row r="3849">
          <cell r="V3849">
            <v>0</v>
          </cell>
          <cell r="Z3849">
            <v>0</v>
          </cell>
        </row>
        <row r="3850">
          <cell r="V3850">
            <v>0</v>
          </cell>
          <cell r="Z3850">
            <v>0</v>
          </cell>
        </row>
        <row r="3851">
          <cell r="V3851">
            <v>0</v>
          </cell>
          <cell r="Z3851">
            <v>0</v>
          </cell>
        </row>
        <row r="3852">
          <cell r="V3852">
            <v>0</v>
          </cell>
          <cell r="Z3852">
            <v>0</v>
          </cell>
        </row>
        <row r="3853">
          <cell r="V3853">
            <v>0</v>
          </cell>
          <cell r="Z3853">
            <v>0</v>
          </cell>
        </row>
        <row r="3854">
          <cell r="V3854">
            <v>0</v>
          </cell>
          <cell r="Z3854">
            <v>0</v>
          </cell>
        </row>
        <row r="3855">
          <cell r="V3855">
            <v>0</v>
          </cell>
          <cell r="Z3855">
            <v>0</v>
          </cell>
        </row>
        <row r="3856">
          <cell r="V3856">
            <v>0</v>
          </cell>
          <cell r="Z3856">
            <v>0</v>
          </cell>
        </row>
        <row r="3857">
          <cell r="V3857">
            <v>0</v>
          </cell>
          <cell r="Z3857">
            <v>0</v>
          </cell>
        </row>
        <row r="3858">
          <cell r="V3858">
            <v>0</v>
          </cell>
          <cell r="Z3858">
            <v>0</v>
          </cell>
        </row>
        <row r="3859">
          <cell r="V3859">
            <v>0</v>
          </cell>
          <cell r="Z3859">
            <v>0</v>
          </cell>
        </row>
        <row r="3860">
          <cell r="V3860">
            <v>0</v>
          </cell>
          <cell r="Z3860">
            <v>0</v>
          </cell>
        </row>
        <row r="3861">
          <cell r="V3861">
            <v>0</v>
          </cell>
          <cell r="Z3861">
            <v>0</v>
          </cell>
        </row>
        <row r="3862">
          <cell r="V3862">
            <v>0</v>
          </cell>
          <cell r="Z3862">
            <v>0</v>
          </cell>
        </row>
        <row r="3863">
          <cell r="V3863">
            <v>0</v>
          </cell>
          <cell r="Z3863">
            <v>0</v>
          </cell>
        </row>
        <row r="3864">
          <cell r="V3864">
            <v>0</v>
          </cell>
          <cell r="Z3864">
            <v>0</v>
          </cell>
        </row>
        <row r="3865">
          <cell r="V3865">
            <v>0</v>
          </cell>
          <cell r="Z3865">
            <v>0</v>
          </cell>
        </row>
        <row r="3866">
          <cell r="V3866">
            <v>0</v>
          </cell>
          <cell r="Z3866">
            <v>0</v>
          </cell>
        </row>
        <row r="3867">
          <cell r="V3867">
            <v>0</v>
          </cell>
          <cell r="Z3867">
            <v>0</v>
          </cell>
        </row>
        <row r="3868">
          <cell r="V3868">
            <v>0</v>
          </cell>
          <cell r="Z3868">
            <v>0</v>
          </cell>
        </row>
        <row r="3869">
          <cell r="V3869">
            <v>0</v>
          </cell>
          <cell r="Z3869">
            <v>0</v>
          </cell>
        </row>
        <row r="3870">
          <cell r="V3870">
            <v>0</v>
          </cell>
          <cell r="Z3870">
            <v>0</v>
          </cell>
        </row>
        <row r="3871">
          <cell r="V3871">
            <v>0</v>
          </cell>
          <cell r="Z3871">
            <v>0</v>
          </cell>
        </row>
        <row r="3872">
          <cell r="V3872">
            <v>0</v>
          </cell>
          <cell r="Z3872">
            <v>0</v>
          </cell>
        </row>
        <row r="3873">
          <cell r="V3873">
            <v>0</v>
          </cell>
          <cell r="Z3873">
            <v>0</v>
          </cell>
        </row>
        <row r="3874">
          <cell r="V3874">
            <v>0</v>
          </cell>
          <cell r="Z3874">
            <v>0</v>
          </cell>
        </row>
        <row r="3875">
          <cell r="V3875">
            <v>0</v>
          </cell>
          <cell r="Z3875">
            <v>0</v>
          </cell>
        </row>
        <row r="3876">
          <cell r="V3876">
            <v>0</v>
          </cell>
          <cell r="Z3876">
            <v>0</v>
          </cell>
        </row>
        <row r="3877">
          <cell r="V3877">
            <v>0</v>
          </cell>
          <cell r="Z3877">
            <v>0</v>
          </cell>
        </row>
        <row r="3878">
          <cell r="V3878">
            <v>0</v>
          </cell>
          <cell r="Z3878">
            <v>0</v>
          </cell>
        </row>
        <row r="3879">
          <cell r="V3879">
            <v>0</v>
          </cell>
          <cell r="Z3879">
            <v>0</v>
          </cell>
        </row>
        <row r="3880">
          <cell r="V3880">
            <v>0</v>
          </cell>
          <cell r="Z3880">
            <v>0</v>
          </cell>
        </row>
        <row r="3881">
          <cell r="V3881">
            <v>0</v>
          </cell>
          <cell r="Z3881">
            <v>0</v>
          </cell>
        </row>
        <row r="3882">
          <cell r="V3882">
            <v>0</v>
          </cell>
          <cell r="Z3882">
            <v>0</v>
          </cell>
        </row>
        <row r="3883">
          <cell r="V3883">
            <v>0</v>
          </cell>
          <cell r="Z3883">
            <v>0</v>
          </cell>
        </row>
        <row r="3884">
          <cell r="V3884">
            <v>0</v>
          </cell>
          <cell r="Z3884">
            <v>0</v>
          </cell>
        </row>
        <row r="3885">
          <cell r="V3885">
            <v>0</v>
          </cell>
          <cell r="Z3885">
            <v>0</v>
          </cell>
        </row>
        <row r="3886">
          <cell r="V3886">
            <v>0</v>
          </cell>
          <cell r="Z3886">
            <v>0</v>
          </cell>
        </row>
        <row r="3887">
          <cell r="V3887">
            <v>0</v>
          </cell>
          <cell r="Z3887">
            <v>0</v>
          </cell>
        </row>
        <row r="3888">
          <cell r="V3888">
            <v>0</v>
          </cell>
          <cell r="Z3888">
            <v>0</v>
          </cell>
        </row>
        <row r="3889">
          <cell r="V3889">
            <v>0</v>
          </cell>
          <cell r="Z3889">
            <v>0</v>
          </cell>
        </row>
        <row r="3890">
          <cell r="V3890">
            <v>0</v>
          </cell>
          <cell r="Z3890">
            <v>0</v>
          </cell>
        </row>
        <row r="3891">
          <cell r="V3891">
            <v>0</v>
          </cell>
          <cell r="Z3891">
            <v>0</v>
          </cell>
        </row>
        <row r="3892">
          <cell r="V3892">
            <v>0</v>
          </cell>
          <cell r="Z3892">
            <v>0</v>
          </cell>
        </row>
        <row r="3893">
          <cell r="V3893">
            <v>0</v>
          </cell>
          <cell r="Z3893">
            <v>0</v>
          </cell>
        </row>
        <row r="3894">
          <cell r="V3894">
            <v>0</v>
          </cell>
          <cell r="Z3894">
            <v>0</v>
          </cell>
        </row>
        <row r="3895">
          <cell r="V3895">
            <v>0</v>
          </cell>
          <cell r="Z3895">
            <v>0</v>
          </cell>
        </row>
        <row r="3896">
          <cell r="V3896">
            <v>0</v>
          </cell>
          <cell r="Z3896">
            <v>0</v>
          </cell>
        </row>
        <row r="3897">
          <cell r="V3897">
            <v>0</v>
          </cell>
          <cell r="Z3897">
            <v>0</v>
          </cell>
        </row>
        <row r="3898">
          <cell r="V3898">
            <v>0</v>
          </cell>
          <cell r="Z3898">
            <v>0</v>
          </cell>
        </row>
        <row r="3899">
          <cell r="V3899">
            <v>0</v>
          </cell>
          <cell r="Z3899">
            <v>0</v>
          </cell>
        </row>
        <row r="3900">
          <cell r="V3900">
            <v>0</v>
          </cell>
          <cell r="Z3900">
            <v>0</v>
          </cell>
        </row>
        <row r="3901">
          <cell r="V3901">
            <v>0</v>
          </cell>
          <cell r="Z3901">
            <v>0</v>
          </cell>
        </row>
        <row r="3902">
          <cell r="V3902">
            <v>0</v>
          </cell>
          <cell r="Z3902">
            <v>0</v>
          </cell>
        </row>
        <row r="3903">
          <cell r="V3903">
            <v>0</v>
          </cell>
          <cell r="Z3903">
            <v>0</v>
          </cell>
        </row>
        <row r="3904">
          <cell r="V3904">
            <v>0</v>
          </cell>
          <cell r="Z3904">
            <v>0</v>
          </cell>
        </row>
        <row r="3905">
          <cell r="V3905">
            <v>0</v>
          </cell>
          <cell r="Z3905">
            <v>0</v>
          </cell>
        </row>
        <row r="3906">
          <cell r="V3906">
            <v>0</v>
          </cell>
          <cell r="Z3906">
            <v>0</v>
          </cell>
        </row>
        <row r="3907">
          <cell r="V3907">
            <v>0</v>
          </cell>
          <cell r="Z3907">
            <v>0</v>
          </cell>
        </row>
        <row r="3908">
          <cell r="V3908">
            <v>0</v>
          </cell>
          <cell r="Z3908">
            <v>0</v>
          </cell>
        </row>
        <row r="3909">
          <cell r="V3909">
            <v>0</v>
          </cell>
          <cell r="Z3909">
            <v>0</v>
          </cell>
        </row>
        <row r="3910">
          <cell r="V3910">
            <v>0</v>
          </cell>
          <cell r="Z3910">
            <v>0</v>
          </cell>
        </row>
        <row r="3911">
          <cell r="V3911">
            <v>0</v>
          </cell>
          <cell r="Z3911">
            <v>0</v>
          </cell>
        </row>
        <row r="3912">
          <cell r="V3912">
            <v>0</v>
          </cell>
          <cell r="Z3912">
            <v>0</v>
          </cell>
        </row>
        <row r="3913">
          <cell r="V3913">
            <v>0</v>
          </cell>
          <cell r="Z3913">
            <v>0</v>
          </cell>
        </row>
        <row r="3914">
          <cell r="V3914">
            <v>0</v>
          </cell>
          <cell r="Z3914">
            <v>0</v>
          </cell>
        </row>
        <row r="3915">
          <cell r="V3915">
            <v>0</v>
          </cell>
          <cell r="Z3915">
            <v>0</v>
          </cell>
        </row>
        <row r="3916">
          <cell r="V3916">
            <v>0</v>
          </cell>
          <cell r="Z3916">
            <v>0</v>
          </cell>
        </row>
        <row r="3917">
          <cell r="V3917">
            <v>0</v>
          </cell>
          <cell r="Z3917">
            <v>0</v>
          </cell>
        </row>
        <row r="3918">
          <cell r="V3918">
            <v>0</v>
          </cell>
          <cell r="Z3918">
            <v>0</v>
          </cell>
        </row>
        <row r="3919">
          <cell r="V3919">
            <v>0</v>
          </cell>
          <cell r="Z3919">
            <v>0</v>
          </cell>
        </row>
        <row r="3920">
          <cell r="V3920">
            <v>0</v>
          </cell>
          <cell r="Z3920">
            <v>0</v>
          </cell>
        </row>
        <row r="3921">
          <cell r="V3921">
            <v>0</v>
          </cell>
          <cell r="Z3921">
            <v>0</v>
          </cell>
        </row>
        <row r="3922">
          <cell r="V3922">
            <v>0</v>
          </cell>
          <cell r="Z3922">
            <v>0</v>
          </cell>
        </row>
        <row r="3923">
          <cell r="V3923">
            <v>0</v>
          </cell>
          <cell r="Z3923">
            <v>0</v>
          </cell>
        </row>
        <row r="3924">
          <cell r="V3924">
            <v>0</v>
          </cell>
          <cell r="Z3924">
            <v>0</v>
          </cell>
        </row>
        <row r="3925">
          <cell r="V3925">
            <v>0</v>
          </cell>
          <cell r="Z3925">
            <v>0</v>
          </cell>
        </row>
        <row r="3926">
          <cell r="V3926">
            <v>0</v>
          </cell>
          <cell r="Z3926">
            <v>0</v>
          </cell>
        </row>
        <row r="3927">
          <cell r="V3927">
            <v>0</v>
          </cell>
          <cell r="Z3927">
            <v>0</v>
          </cell>
        </row>
        <row r="3928">
          <cell r="V3928">
            <v>0</v>
          </cell>
          <cell r="Z3928">
            <v>0</v>
          </cell>
        </row>
        <row r="3929">
          <cell r="V3929">
            <v>0</v>
          </cell>
          <cell r="Z3929">
            <v>0</v>
          </cell>
        </row>
        <row r="3930">
          <cell r="V3930">
            <v>0</v>
          </cell>
          <cell r="Z3930">
            <v>0</v>
          </cell>
        </row>
        <row r="3931">
          <cell r="V3931">
            <v>0</v>
          </cell>
          <cell r="Z3931">
            <v>0</v>
          </cell>
        </row>
        <row r="3932">
          <cell r="V3932">
            <v>0</v>
          </cell>
          <cell r="Z3932">
            <v>0</v>
          </cell>
        </row>
        <row r="3933">
          <cell r="V3933">
            <v>0</v>
          </cell>
          <cell r="Z3933">
            <v>0</v>
          </cell>
        </row>
        <row r="3934">
          <cell r="V3934">
            <v>0</v>
          </cell>
          <cell r="Z3934">
            <v>0</v>
          </cell>
        </row>
        <row r="3935">
          <cell r="V3935">
            <v>0</v>
          </cell>
          <cell r="Z3935">
            <v>0</v>
          </cell>
        </row>
        <row r="3936">
          <cell r="V3936">
            <v>0</v>
          </cell>
          <cell r="Z3936">
            <v>0</v>
          </cell>
        </row>
        <row r="3937">
          <cell r="V3937">
            <v>0</v>
          </cell>
          <cell r="Z3937">
            <v>0</v>
          </cell>
        </row>
        <row r="3938">
          <cell r="V3938">
            <v>0</v>
          </cell>
          <cell r="Z3938">
            <v>0</v>
          </cell>
        </row>
        <row r="3939">
          <cell r="V3939">
            <v>0</v>
          </cell>
          <cell r="Z3939">
            <v>0</v>
          </cell>
        </row>
        <row r="3940">
          <cell r="V3940">
            <v>0</v>
          </cell>
          <cell r="Z3940">
            <v>0</v>
          </cell>
        </row>
        <row r="3941">
          <cell r="V3941">
            <v>0</v>
          </cell>
          <cell r="Z3941">
            <v>0</v>
          </cell>
        </row>
        <row r="3942">
          <cell r="V3942">
            <v>0</v>
          </cell>
          <cell r="Z3942">
            <v>0</v>
          </cell>
        </row>
        <row r="3943">
          <cell r="V3943">
            <v>0</v>
          </cell>
          <cell r="Z3943">
            <v>0</v>
          </cell>
        </row>
        <row r="3944">
          <cell r="V3944">
            <v>0</v>
          </cell>
          <cell r="Z3944">
            <v>0</v>
          </cell>
        </row>
        <row r="3945">
          <cell r="V3945">
            <v>0</v>
          </cell>
          <cell r="Z3945">
            <v>0</v>
          </cell>
        </row>
        <row r="3946">
          <cell r="V3946">
            <v>0</v>
          </cell>
          <cell r="Z3946">
            <v>0</v>
          </cell>
        </row>
        <row r="3947">
          <cell r="V3947">
            <v>0</v>
          </cell>
          <cell r="Z3947">
            <v>0</v>
          </cell>
        </row>
        <row r="3948">
          <cell r="V3948">
            <v>0</v>
          </cell>
          <cell r="Z3948">
            <v>0</v>
          </cell>
        </row>
        <row r="3949">
          <cell r="V3949">
            <v>0</v>
          </cell>
          <cell r="Z3949">
            <v>0</v>
          </cell>
        </row>
        <row r="3950">
          <cell r="V3950">
            <v>0</v>
          </cell>
          <cell r="Z3950">
            <v>0</v>
          </cell>
        </row>
        <row r="3951">
          <cell r="V3951">
            <v>0</v>
          </cell>
          <cell r="Z3951">
            <v>0</v>
          </cell>
        </row>
        <row r="3952">
          <cell r="V3952">
            <v>0</v>
          </cell>
          <cell r="Z3952">
            <v>0</v>
          </cell>
        </row>
        <row r="3953">
          <cell r="V3953">
            <v>0</v>
          </cell>
          <cell r="Z3953">
            <v>0</v>
          </cell>
        </row>
        <row r="3954">
          <cell r="V3954">
            <v>0</v>
          </cell>
          <cell r="Z3954">
            <v>0</v>
          </cell>
        </row>
        <row r="3955">
          <cell r="V3955">
            <v>0</v>
          </cell>
          <cell r="Z3955">
            <v>0</v>
          </cell>
        </row>
        <row r="3956">
          <cell r="V3956">
            <v>0</v>
          </cell>
          <cell r="Z3956">
            <v>0</v>
          </cell>
        </row>
        <row r="3957">
          <cell r="V3957">
            <v>0</v>
          </cell>
          <cell r="Z3957">
            <v>0</v>
          </cell>
        </row>
        <row r="3958">
          <cell r="V3958">
            <v>0</v>
          </cell>
          <cell r="Z3958">
            <v>0</v>
          </cell>
        </row>
        <row r="3959">
          <cell r="V3959">
            <v>0</v>
          </cell>
          <cell r="Z3959">
            <v>0</v>
          </cell>
        </row>
        <row r="3960">
          <cell r="V3960">
            <v>0</v>
          </cell>
          <cell r="Z3960">
            <v>0</v>
          </cell>
        </row>
        <row r="3961">
          <cell r="V3961">
            <v>0</v>
          </cell>
          <cell r="Z3961">
            <v>0</v>
          </cell>
        </row>
        <row r="3962">
          <cell r="V3962">
            <v>0</v>
          </cell>
          <cell r="Z3962">
            <v>0</v>
          </cell>
        </row>
        <row r="3963">
          <cell r="V3963">
            <v>0</v>
          </cell>
          <cell r="Z3963">
            <v>0</v>
          </cell>
        </row>
        <row r="3964">
          <cell r="V3964">
            <v>0</v>
          </cell>
          <cell r="Z3964">
            <v>0</v>
          </cell>
        </row>
        <row r="3965">
          <cell r="V3965">
            <v>0</v>
          </cell>
          <cell r="Z3965">
            <v>0</v>
          </cell>
        </row>
        <row r="3966">
          <cell r="V3966">
            <v>0</v>
          </cell>
          <cell r="Z3966">
            <v>0</v>
          </cell>
        </row>
        <row r="3967">
          <cell r="V3967">
            <v>0</v>
          </cell>
          <cell r="Z3967">
            <v>0</v>
          </cell>
        </row>
        <row r="3968">
          <cell r="V3968">
            <v>0</v>
          </cell>
          <cell r="Z3968">
            <v>0</v>
          </cell>
        </row>
        <row r="3969">
          <cell r="V3969">
            <v>0</v>
          </cell>
          <cell r="Z3969">
            <v>0</v>
          </cell>
        </row>
        <row r="3970">
          <cell r="V3970">
            <v>0</v>
          </cell>
          <cell r="Z3970">
            <v>0</v>
          </cell>
        </row>
        <row r="3971">
          <cell r="V3971">
            <v>0</v>
          </cell>
          <cell r="Z3971">
            <v>0</v>
          </cell>
        </row>
        <row r="3972">
          <cell r="V3972">
            <v>0</v>
          </cell>
          <cell r="Z3972">
            <v>0</v>
          </cell>
        </row>
        <row r="3973">
          <cell r="V3973">
            <v>0</v>
          </cell>
          <cell r="Z3973">
            <v>0</v>
          </cell>
        </row>
        <row r="3974">
          <cell r="V3974">
            <v>0</v>
          </cell>
          <cell r="Z3974">
            <v>0</v>
          </cell>
        </row>
        <row r="3975">
          <cell r="V3975">
            <v>0</v>
          </cell>
          <cell r="Z3975">
            <v>0</v>
          </cell>
        </row>
        <row r="3976">
          <cell r="V3976">
            <v>0</v>
          </cell>
          <cell r="Z3976">
            <v>0</v>
          </cell>
        </row>
        <row r="3977">
          <cell r="V3977">
            <v>0</v>
          </cell>
          <cell r="Z3977">
            <v>0</v>
          </cell>
        </row>
        <row r="3978">
          <cell r="V3978">
            <v>0</v>
          </cell>
          <cell r="Z3978">
            <v>0</v>
          </cell>
        </row>
        <row r="3979">
          <cell r="V3979">
            <v>0</v>
          </cell>
          <cell r="Z3979">
            <v>0</v>
          </cell>
        </row>
        <row r="3980">
          <cell r="V3980">
            <v>0</v>
          </cell>
          <cell r="Z3980">
            <v>0</v>
          </cell>
        </row>
        <row r="3981">
          <cell r="V3981">
            <v>0</v>
          </cell>
          <cell r="Z3981">
            <v>0</v>
          </cell>
        </row>
        <row r="3982">
          <cell r="V3982">
            <v>0</v>
          </cell>
          <cell r="Z3982">
            <v>0</v>
          </cell>
        </row>
        <row r="3983">
          <cell r="V3983">
            <v>0</v>
          </cell>
          <cell r="Z3983">
            <v>0</v>
          </cell>
        </row>
        <row r="3984">
          <cell r="V3984">
            <v>0</v>
          </cell>
          <cell r="Z3984">
            <v>0</v>
          </cell>
        </row>
        <row r="3985">
          <cell r="V3985">
            <v>0</v>
          </cell>
          <cell r="Z3985">
            <v>0</v>
          </cell>
        </row>
        <row r="3986">
          <cell r="V3986">
            <v>0</v>
          </cell>
          <cell r="Z3986">
            <v>0</v>
          </cell>
        </row>
        <row r="3987">
          <cell r="V3987">
            <v>0</v>
          </cell>
          <cell r="Z3987">
            <v>0</v>
          </cell>
        </row>
        <row r="3988">
          <cell r="V3988">
            <v>0</v>
          </cell>
          <cell r="Z3988">
            <v>0</v>
          </cell>
        </row>
        <row r="3989">
          <cell r="V3989">
            <v>0</v>
          </cell>
          <cell r="Z3989">
            <v>0</v>
          </cell>
        </row>
        <row r="3990">
          <cell r="V3990">
            <v>0</v>
          </cell>
          <cell r="Z3990">
            <v>0</v>
          </cell>
        </row>
        <row r="3991">
          <cell r="V3991">
            <v>0</v>
          </cell>
          <cell r="Z3991">
            <v>0</v>
          </cell>
        </row>
        <row r="3992">
          <cell r="V3992">
            <v>0</v>
          </cell>
          <cell r="Z3992">
            <v>0</v>
          </cell>
        </row>
        <row r="3993">
          <cell r="V3993">
            <v>0</v>
          </cell>
          <cell r="Z3993">
            <v>0</v>
          </cell>
        </row>
        <row r="3994">
          <cell r="V3994">
            <v>0</v>
          </cell>
          <cell r="Z3994">
            <v>0</v>
          </cell>
        </row>
        <row r="3995">
          <cell r="V3995">
            <v>0</v>
          </cell>
          <cell r="Z3995">
            <v>0</v>
          </cell>
        </row>
        <row r="3996">
          <cell r="V3996">
            <v>0</v>
          </cell>
          <cell r="Z3996">
            <v>0</v>
          </cell>
        </row>
        <row r="3997">
          <cell r="V3997">
            <v>0</v>
          </cell>
          <cell r="Z3997">
            <v>0</v>
          </cell>
        </row>
        <row r="3998">
          <cell r="V3998">
            <v>0</v>
          </cell>
          <cell r="Z3998">
            <v>0</v>
          </cell>
        </row>
        <row r="3999">
          <cell r="V3999">
            <v>0</v>
          </cell>
          <cell r="Z3999">
            <v>0</v>
          </cell>
        </row>
        <row r="4000">
          <cell r="V4000">
            <v>0</v>
          </cell>
          <cell r="Z4000">
            <v>0</v>
          </cell>
        </row>
        <row r="4001">
          <cell r="V4001">
            <v>0</v>
          </cell>
          <cell r="Z4001">
            <v>0</v>
          </cell>
        </row>
        <row r="4002">
          <cell r="V4002">
            <v>0</v>
          </cell>
          <cell r="Z4002">
            <v>0</v>
          </cell>
        </row>
        <row r="4003">
          <cell r="V4003">
            <v>0</v>
          </cell>
          <cell r="Z4003">
            <v>0</v>
          </cell>
        </row>
        <row r="4004">
          <cell r="V4004">
            <v>0</v>
          </cell>
          <cell r="Z4004">
            <v>0</v>
          </cell>
        </row>
        <row r="4005">
          <cell r="V4005">
            <v>0</v>
          </cell>
          <cell r="Z4005">
            <v>0</v>
          </cell>
        </row>
        <row r="4006">
          <cell r="V4006">
            <v>0</v>
          </cell>
          <cell r="Z4006">
            <v>0</v>
          </cell>
        </row>
        <row r="4007">
          <cell r="V4007">
            <v>0</v>
          </cell>
          <cell r="Z4007">
            <v>0</v>
          </cell>
        </row>
        <row r="4008">
          <cell r="V4008">
            <v>0</v>
          </cell>
          <cell r="Z4008">
            <v>0</v>
          </cell>
        </row>
        <row r="4009">
          <cell r="V4009">
            <v>0</v>
          </cell>
          <cell r="Z4009">
            <v>0</v>
          </cell>
        </row>
        <row r="4010">
          <cell r="V4010">
            <v>0</v>
          </cell>
          <cell r="Z4010">
            <v>0</v>
          </cell>
        </row>
        <row r="4011">
          <cell r="V4011">
            <v>0</v>
          </cell>
          <cell r="Z4011">
            <v>0</v>
          </cell>
        </row>
        <row r="4012">
          <cell r="V4012">
            <v>0</v>
          </cell>
          <cell r="Z4012">
            <v>0</v>
          </cell>
        </row>
        <row r="4013">
          <cell r="V4013">
            <v>0</v>
          </cell>
          <cell r="Z4013">
            <v>0</v>
          </cell>
        </row>
        <row r="4014">
          <cell r="V4014">
            <v>0</v>
          </cell>
          <cell r="Z4014">
            <v>0</v>
          </cell>
        </row>
        <row r="4015">
          <cell r="V4015">
            <v>0</v>
          </cell>
          <cell r="Z4015">
            <v>0</v>
          </cell>
        </row>
        <row r="4016">
          <cell r="V4016">
            <v>0</v>
          </cell>
          <cell r="Z4016">
            <v>0</v>
          </cell>
        </row>
        <row r="4017">
          <cell r="V4017">
            <v>0</v>
          </cell>
          <cell r="Z4017">
            <v>0</v>
          </cell>
        </row>
        <row r="4018">
          <cell r="V4018">
            <v>0</v>
          </cell>
          <cell r="Z4018">
            <v>0</v>
          </cell>
        </row>
        <row r="4019">
          <cell r="V4019">
            <v>0</v>
          </cell>
          <cell r="Z4019">
            <v>0</v>
          </cell>
        </row>
        <row r="4020">
          <cell r="V4020">
            <v>0</v>
          </cell>
          <cell r="Z4020">
            <v>0</v>
          </cell>
        </row>
        <row r="4021">
          <cell r="V4021">
            <v>0</v>
          </cell>
          <cell r="Z4021">
            <v>0</v>
          </cell>
        </row>
        <row r="4022">
          <cell r="V4022">
            <v>0</v>
          </cell>
          <cell r="Z4022">
            <v>0</v>
          </cell>
        </row>
        <row r="4023">
          <cell r="V4023">
            <v>0</v>
          </cell>
          <cell r="Z4023">
            <v>0</v>
          </cell>
        </row>
        <row r="4024">
          <cell r="V4024">
            <v>0</v>
          </cell>
          <cell r="Z4024">
            <v>0</v>
          </cell>
        </row>
        <row r="4025">
          <cell r="V4025">
            <v>0</v>
          </cell>
          <cell r="Z4025">
            <v>0</v>
          </cell>
        </row>
        <row r="4026">
          <cell r="V4026">
            <v>0</v>
          </cell>
          <cell r="Z4026">
            <v>0</v>
          </cell>
        </row>
        <row r="4027">
          <cell r="V4027">
            <v>0</v>
          </cell>
          <cell r="Z4027">
            <v>0</v>
          </cell>
        </row>
        <row r="4028">
          <cell r="V4028">
            <v>0</v>
          </cell>
          <cell r="Z4028">
            <v>0</v>
          </cell>
        </row>
        <row r="4029">
          <cell r="V4029">
            <v>0</v>
          </cell>
          <cell r="Z4029">
            <v>0</v>
          </cell>
        </row>
        <row r="4030">
          <cell r="V4030">
            <v>0</v>
          </cell>
          <cell r="Z4030">
            <v>0</v>
          </cell>
        </row>
        <row r="4031">
          <cell r="V4031">
            <v>0</v>
          </cell>
          <cell r="Z4031">
            <v>0</v>
          </cell>
        </row>
        <row r="4032">
          <cell r="V4032">
            <v>0</v>
          </cell>
          <cell r="Z4032">
            <v>0</v>
          </cell>
        </row>
        <row r="4033">
          <cell r="V4033">
            <v>0</v>
          </cell>
          <cell r="Z4033">
            <v>0</v>
          </cell>
        </row>
        <row r="4034">
          <cell r="V4034">
            <v>0</v>
          </cell>
          <cell r="Z4034">
            <v>0</v>
          </cell>
        </row>
        <row r="4035">
          <cell r="V4035">
            <v>0</v>
          </cell>
          <cell r="Z4035">
            <v>0</v>
          </cell>
        </row>
        <row r="4036">
          <cell r="V4036">
            <v>0</v>
          </cell>
          <cell r="Z4036">
            <v>0</v>
          </cell>
        </row>
        <row r="4037">
          <cell r="V4037">
            <v>0</v>
          </cell>
          <cell r="Z4037">
            <v>0</v>
          </cell>
        </row>
        <row r="4038">
          <cell r="V4038">
            <v>0</v>
          </cell>
          <cell r="Z4038">
            <v>0</v>
          </cell>
        </row>
        <row r="4039">
          <cell r="V4039">
            <v>0</v>
          </cell>
          <cell r="Z4039">
            <v>0</v>
          </cell>
        </row>
        <row r="4040">
          <cell r="V4040">
            <v>0</v>
          </cell>
          <cell r="Z4040">
            <v>0</v>
          </cell>
        </row>
        <row r="4041">
          <cell r="V4041">
            <v>0</v>
          </cell>
          <cell r="Z4041">
            <v>0</v>
          </cell>
        </row>
        <row r="4042">
          <cell r="V4042">
            <v>0</v>
          </cell>
          <cell r="Z4042">
            <v>0</v>
          </cell>
        </row>
        <row r="4043">
          <cell r="V4043">
            <v>0</v>
          </cell>
          <cell r="Z4043">
            <v>0</v>
          </cell>
        </row>
        <row r="4044">
          <cell r="V4044">
            <v>0</v>
          </cell>
          <cell r="Z4044">
            <v>0</v>
          </cell>
        </row>
        <row r="4045">
          <cell r="V4045">
            <v>0</v>
          </cell>
          <cell r="Z4045">
            <v>0</v>
          </cell>
        </row>
        <row r="4046">
          <cell r="V4046">
            <v>0</v>
          </cell>
          <cell r="Z4046">
            <v>0</v>
          </cell>
        </row>
        <row r="4047">
          <cell r="V4047">
            <v>0</v>
          </cell>
          <cell r="Z4047">
            <v>0</v>
          </cell>
        </row>
        <row r="4048">
          <cell r="V4048">
            <v>0</v>
          </cell>
          <cell r="Z4048">
            <v>0</v>
          </cell>
        </row>
        <row r="4049">
          <cell r="V4049">
            <v>0</v>
          </cell>
          <cell r="Z4049">
            <v>0</v>
          </cell>
        </row>
        <row r="4050">
          <cell r="V4050">
            <v>0</v>
          </cell>
          <cell r="Z4050">
            <v>0</v>
          </cell>
        </row>
        <row r="4051">
          <cell r="V4051">
            <v>0</v>
          </cell>
          <cell r="Z4051">
            <v>0</v>
          </cell>
        </row>
        <row r="4052">
          <cell r="V4052">
            <v>0</v>
          </cell>
          <cell r="Z4052">
            <v>0</v>
          </cell>
        </row>
        <row r="4053">
          <cell r="V4053">
            <v>0</v>
          </cell>
          <cell r="Z4053">
            <v>0</v>
          </cell>
        </row>
        <row r="4054">
          <cell r="V4054">
            <v>0</v>
          </cell>
          <cell r="Z4054">
            <v>0</v>
          </cell>
        </row>
        <row r="4055">
          <cell r="V4055">
            <v>0</v>
          </cell>
          <cell r="Z4055">
            <v>0</v>
          </cell>
        </row>
        <row r="4056">
          <cell r="V4056">
            <v>0</v>
          </cell>
          <cell r="Z4056">
            <v>0</v>
          </cell>
        </row>
        <row r="4057">
          <cell r="V4057">
            <v>0</v>
          </cell>
          <cell r="Z4057">
            <v>0</v>
          </cell>
        </row>
        <row r="4058">
          <cell r="V4058">
            <v>0</v>
          </cell>
          <cell r="Z4058">
            <v>0</v>
          </cell>
        </row>
        <row r="4059">
          <cell r="V4059">
            <v>0</v>
          </cell>
          <cell r="Z4059">
            <v>0</v>
          </cell>
        </row>
        <row r="4060">
          <cell r="V4060">
            <v>0</v>
          </cell>
          <cell r="Z4060">
            <v>0</v>
          </cell>
        </row>
        <row r="4061">
          <cell r="V4061">
            <v>0</v>
          </cell>
          <cell r="Z4061">
            <v>0</v>
          </cell>
        </row>
        <row r="4062">
          <cell r="V4062">
            <v>0</v>
          </cell>
          <cell r="Z4062">
            <v>0</v>
          </cell>
        </row>
        <row r="4063">
          <cell r="V4063">
            <v>0</v>
          </cell>
          <cell r="Z4063">
            <v>0</v>
          </cell>
        </row>
        <row r="4064">
          <cell r="V4064">
            <v>0</v>
          </cell>
          <cell r="Z4064">
            <v>0</v>
          </cell>
        </row>
        <row r="4065">
          <cell r="V4065">
            <v>0</v>
          </cell>
          <cell r="Z4065">
            <v>0</v>
          </cell>
        </row>
        <row r="4066">
          <cell r="V4066">
            <v>0</v>
          </cell>
          <cell r="Z4066">
            <v>0</v>
          </cell>
        </row>
        <row r="4067">
          <cell r="V4067">
            <v>0</v>
          </cell>
          <cell r="Z4067">
            <v>0</v>
          </cell>
        </row>
        <row r="4068">
          <cell r="V4068">
            <v>0</v>
          </cell>
          <cell r="Z4068">
            <v>0</v>
          </cell>
        </row>
        <row r="4069">
          <cell r="V4069">
            <v>0</v>
          </cell>
          <cell r="Z4069">
            <v>0</v>
          </cell>
        </row>
        <row r="4070">
          <cell r="V4070">
            <v>0</v>
          </cell>
          <cell r="Z4070">
            <v>0</v>
          </cell>
        </row>
        <row r="4071">
          <cell r="V4071">
            <v>0</v>
          </cell>
          <cell r="Z4071">
            <v>0</v>
          </cell>
        </row>
        <row r="4072">
          <cell r="V4072">
            <v>0</v>
          </cell>
          <cell r="Z4072">
            <v>0</v>
          </cell>
        </row>
        <row r="4073">
          <cell r="V4073">
            <v>0</v>
          </cell>
          <cell r="Z4073">
            <v>0</v>
          </cell>
        </row>
        <row r="4074">
          <cell r="V4074">
            <v>0</v>
          </cell>
          <cell r="Z4074">
            <v>0</v>
          </cell>
        </row>
        <row r="4075">
          <cell r="V4075">
            <v>0</v>
          </cell>
          <cell r="Z4075">
            <v>0</v>
          </cell>
        </row>
        <row r="4076">
          <cell r="V4076">
            <v>0</v>
          </cell>
          <cell r="Z4076">
            <v>0</v>
          </cell>
        </row>
        <row r="4077">
          <cell r="V4077">
            <v>0</v>
          </cell>
          <cell r="Z4077">
            <v>0</v>
          </cell>
        </row>
        <row r="4078">
          <cell r="V4078">
            <v>0</v>
          </cell>
          <cell r="Z4078">
            <v>0</v>
          </cell>
        </row>
        <row r="4079">
          <cell r="V4079">
            <v>0</v>
          </cell>
          <cell r="Z4079">
            <v>0</v>
          </cell>
        </row>
        <row r="4080">
          <cell r="V4080">
            <v>0</v>
          </cell>
          <cell r="Z4080">
            <v>0</v>
          </cell>
        </row>
        <row r="4081">
          <cell r="V4081">
            <v>0</v>
          </cell>
          <cell r="Z4081">
            <v>0</v>
          </cell>
        </row>
        <row r="4082">
          <cell r="V4082">
            <v>0</v>
          </cell>
          <cell r="Z4082">
            <v>0</v>
          </cell>
        </row>
        <row r="4083">
          <cell r="V4083">
            <v>0</v>
          </cell>
          <cell r="Z4083">
            <v>0</v>
          </cell>
        </row>
        <row r="4084">
          <cell r="V4084">
            <v>0</v>
          </cell>
          <cell r="Z4084">
            <v>0</v>
          </cell>
        </row>
        <row r="4085">
          <cell r="V4085">
            <v>0</v>
          </cell>
          <cell r="Z4085">
            <v>0</v>
          </cell>
        </row>
        <row r="4086">
          <cell r="V4086">
            <v>0</v>
          </cell>
          <cell r="Z4086">
            <v>0</v>
          </cell>
        </row>
        <row r="4087">
          <cell r="V4087">
            <v>0</v>
          </cell>
          <cell r="Z4087">
            <v>0</v>
          </cell>
        </row>
        <row r="4088">
          <cell r="V4088">
            <v>0</v>
          </cell>
          <cell r="Z4088">
            <v>0</v>
          </cell>
        </row>
        <row r="4089">
          <cell r="V4089">
            <v>0</v>
          </cell>
          <cell r="Z4089">
            <v>0</v>
          </cell>
        </row>
        <row r="4090">
          <cell r="V4090">
            <v>0</v>
          </cell>
          <cell r="Z4090">
            <v>0</v>
          </cell>
        </row>
        <row r="4091">
          <cell r="V4091">
            <v>0</v>
          </cell>
          <cell r="Z4091">
            <v>0</v>
          </cell>
        </row>
        <row r="4092">
          <cell r="V4092">
            <v>0</v>
          </cell>
          <cell r="Z4092">
            <v>0</v>
          </cell>
        </row>
        <row r="4093">
          <cell r="V4093">
            <v>0</v>
          </cell>
          <cell r="Z4093">
            <v>0</v>
          </cell>
        </row>
        <row r="4094">
          <cell r="V4094">
            <v>0</v>
          </cell>
          <cell r="Z4094">
            <v>0</v>
          </cell>
        </row>
        <row r="4095">
          <cell r="V4095">
            <v>0</v>
          </cell>
          <cell r="Z4095">
            <v>0</v>
          </cell>
        </row>
        <row r="4096">
          <cell r="V4096">
            <v>0</v>
          </cell>
          <cell r="Z4096">
            <v>0</v>
          </cell>
        </row>
        <row r="4097">
          <cell r="V4097">
            <v>0</v>
          </cell>
          <cell r="Z4097">
            <v>0</v>
          </cell>
        </row>
        <row r="4098">
          <cell r="V4098">
            <v>0</v>
          </cell>
          <cell r="Z4098">
            <v>0</v>
          </cell>
        </row>
        <row r="4099">
          <cell r="V4099">
            <v>0</v>
          </cell>
          <cell r="Z4099">
            <v>0</v>
          </cell>
        </row>
        <row r="4100">
          <cell r="V4100">
            <v>0</v>
          </cell>
          <cell r="Z4100">
            <v>0</v>
          </cell>
        </row>
        <row r="4101">
          <cell r="V4101">
            <v>0</v>
          </cell>
          <cell r="Z4101">
            <v>0</v>
          </cell>
        </row>
        <row r="4102">
          <cell r="V4102">
            <v>0</v>
          </cell>
          <cell r="Z4102">
            <v>0</v>
          </cell>
        </row>
        <row r="4103">
          <cell r="V4103">
            <v>0</v>
          </cell>
          <cell r="Z4103">
            <v>0</v>
          </cell>
        </row>
        <row r="4104">
          <cell r="V4104">
            <v>0</v>
          </cell>
          <cell r="Z4104">
            <v>0</v>
          </cell>
        </row>
        <row r="4105">
          <cell r="V4105">
            <v>0</v>
          </cell>
          <cell r="Z4105">
            <v>0</v>
          </cell>
        </row>
        <row r="4106">
          <cell r="V4106">
            <v>0</v>
          </cell>
          <cell r="Z4106">
            <v>0</v>
          </cell>
        </row>
        <row r="4107">
          <cell r="V4107">
            <v>0</v>
          </cell>
          <cell r="Z4107">
            <v>0</v>
          </cell>
        </row>
        <row r="4108">
          <cell r="V4108">
            <v>0</v>
          </cell>
          <cell r="Z4108">
            <v>0</v>
          </cell>
        </row>
        <row r="4109">
          <cell r="V4109">
            <v>0</v>
          </cell>
          <cell r="Z4109">
            <v>0</v>
          </cell>
        </row>
        <row r="4110">
          <cell r="V4110">
            <v>0</v>
          </cell>
          <cell r="Z4110">
            <v>0</v>
          </cell>
        </row>
        <row r="4111">
          <cell r="V4111">
            <v>0</v>
          </cell>
          <cell r="Z4111">
            <v>0</v>
          </cell>
        </row>
        <row r="4112">
          <cell r="V4112">
            <v>0</v>
          </cell>
          <cell r="Z4112">
            <v>0</v>
          </cell>
        </row>
        <row r="4113">
          <cell r="V4113">
            <v>0</v>
          </cell>
          <cell r="Z4113">
            <v>0</v>
          </cell>
        </row>
        <row r="4114">
          <cell r="V4114">
            <v>0</v>
          </cell>
          <cell r="Z4114">
            <v>0</v>
          </cell>
        </row>
        <row r="4115">
          <cell r="V4115">
            <v>0</v>
          </cell>
          <cell r="Z4115">
            <v>0</v>
          </cell>
        </row>
        <row r="4116">
          <cell r="V4116">
            <v>0</v>
          </cell>
          <cell r="Z4116">
            <v>0</v>
          </cell>
        </row>
        <row r="4117">
          <cell r="V4117">
            <v>0</v>
          </cell>
          <cell r="Z4117">
            <v>0</v>
          </cell>
        </row>
        <row r="4118">
          <cell r="V4118">
            <v>0</v>
          </cell>
          <cell r="Z4118">
            <v>0</v>
          </cell>
        </row>
        <row r="4119">
          <cell r="V4119">
            <v>0</v>
          </cell>
          <cell r="Z4119">
            <v>0</v>
          </cell>
        </row>
        <row r="4120">
          <cell r="V4120">
            <v>0</v>
          </cell>
          <cell r="Z4120">
            <v>0</v>
          </cell>
        </row>
        <row r="4121">
          <cell r="V4121">
            <v>0</v>
          </cell>
          <cell r="Z4121">
            <v>0</v>
          </cell>
        </row>
        <row r="4122">
          <cell r="V4122">
            <v>0</v>
          </cell>
          <cell r="Z4122">
            <v>0</v>
          </cell>
        </row>
        <row r="4123">
          <cell r="V4123">
            <v>0</v>
          </cell>
          <cell r="Z4123">
            <v>0</v>
          </cell>
        </row>
        <row r="4124">
          <cell r="V4124">
            <v>0</v>
          </cell>
          <cell r="Z4124">
            <v>0</v>
          </cell>
        </row>
        <row r="4125">
          <cell r="V4125">
            <v>0</v>
          </cell>
          <cell r="Z4125">
            <v>0</v>
          </cell>
        </row>
        <row r="4126">
          <cell r="V4126">
            <v>0</v>
          </cell>
          <cell r="Z4126">
            <v>0</v>
          </cell>
        </row>
        <row r="4127">
          <cell r="V4127">
            <v>0</v>
          </cell>
          <cell r="Z4127">
            <v>0</v>
          </cell>
        </row>
        <row r="4128">
          <cell r="V4128">
            <v>0</v>
          </cell>
          <cell r="Z4128">
            <v>0</v>
          </cell>
        </row>
        <row r="4129">
          <cell r="V4129">
            <v>0</v>
          </cell>
          <cell r="Z4129">
            <v>0</v>
          </cell>
        </row>
        <row r="4130">
          <cell r="V4130">
            <v>0</v>
          </cell>
          <cell r="Z4130">
            <v>0</v>
          </cell>
        </row>
        <row r="4131">
          <cell r="V4131">
            <v>0</v>
          </cell>
          <cell r="Z4131">
            <v>0</v>
          </cell>
        </row>
        <row r="4132">
          <cell r="V4132">
            <v>0</v>
          </cell>
          <cell r="Z4132">
            <v>0</v>
          </cell>
        </row>
        <row r="4133">
          <cell r="V4133">
            <v>0</v>
          </cell>
          <cell r="Z4133">
            <v>0</v>
          </cell>
        </row>
        <row r="4134">
          <cell r="V4134">
            <v>0</v>
          </cell>
          <cell r="Z4134">
            <v>0</v>
          </cell>
        </row>
        <row r="4135">
          <cell r="V4135">
            <v>0</v>
          </cell>
          <cell r="Z4135">
            <v>0</v>
          </cell>
        </row>
        <row r="4136">
          <cell r="V4136">
            <v>0</v>
          </cell>
          <cell r="Z4136">
            <v>0</v>
          </cell>
        </row>
        <row r="4137">
          <cell r="V4137">
            <v>0</v>
          </cell>
          <cell r="Z4137">
            <v>0</v>
          </cell>
        </row>
        <row r="4138">
          <cell r="V4138">
            <v>0</v>
          </cell>
          <cell r="Z4138">
            <v>0</v>
          </cell>
        </row>
        <row r="4139">
          <cell r="V4139">
            <v>0</v>
          </cell>
          <cell r="Z4139">
            <v>0</v>
          </cell>
        </row>
        <row r="4140">
          <cell r="V4140">
            <v>0</v>
          </cell>
          <cell r="Z4140">
            <v>0</v>
          </cell>
        </row>
        <row r="4141">
          <cell r="V4141">
            <v>0</v>
          </cell>
          <cell r="Z4141">
            <v>0</v>
          </cell>
        </row>
        <row r="4142">
          <cell r="V4142">
            <v>0</v>
          </cell>
          <cell r="Z4142">
            <v>0</v>
          </cell>
        </row>
        <row r="4143">
          <cell r="V4143">
            <v>0</v>
          </cell>
          <cell r="Z4143">
            <v>0</v>
          </cell>
        </row>
        <row r="4144">
          <cell r="V4144">
            <v>0</v>
          </cell>
          <cell r="Z4144">
            <v>0</v>
          </cell>
        </row>
        <row r="4145">
          <cell r="V4145">
            <v>0</v>
          </cell>
          <cell r="Z4145">
            <v>0</v>
          </cell>
        </row>
        <row r="4146">
          <cell r="V4146">
            <v>0</v>
          </cell>
          <cell r="Z4146">
            <v>0</v>
          </cell>
        </row>
        <row r="4147">
          <cell r="V4147">
            <v>0</v>
          </cell>
          <cell r="Z4147">
            <v>0</v>
          </cell>
        </row>
        <row r="4148">
          <cell r="V4148">
            <v>0</v>
          </cell>
          <cell r="Z4148">
            <v>0</v>
          </cell>
        </row>
        <row r="4149">
          <cell r="V4149">
            <v>0</v>
          </cell>
          <cell r="Z4149">
            <v>0</v>
          </cell>
        </row>
        <row r="4150">
          <cell r="V4150">
            <v>0</v>
          </cell>
          <cell r="Z4150">
            <v>0</v>
          </cell>
        </row>
        <row r="4151">
          <cell r="V4151">
            <v>0</v>
          </cell>
          <cell r="Z4151">
            <v>0</v>
          </cell>
        </row>
        <row r="4152">
          <cell r="V4152">
            <v>0</v>
          </cell>
          <cell r="Z4152">
            <v>0</v>
          </cell>
        </row>
        <row r="4153">
          <cell r="V4153">
            <v>0</v>
          </cell>
          <cell r="Z4153">
            <v>0</v>
          </cell>
        </row>
        <row r="4154">
          <cell r="V4154">
            <v>0</v>
          </cell>
          <cell r="Z4154">
            <v>0</v>
          </cell>
        </row>
        <row r="4155">
          <cell r="V4155">
            <v>0</v>
          </cell>
          <cell r="Z4155">
            <v>0</v>
          </cell>
        </row>
        <row r="4156">
          <cell r="V4156">
            <v>0</v>
          </cell>
          <cell r="Z4156">
            <v>0</v>
          </cell>
        </row>
        <row r="4157">
          <cell r="V4157">
            <v>0</v>
          </cell>
          <cell r="Z4157">
            <v>0</v>
          </cell>
        </row>
        <row r="4158">
          <cell r="V4158">
            <v>0</v>
          </cell>
          <cell r="Z4158">
            <v>0</v>
          </cell>
        </row>
        <row r="4159">
          <cell r="V4159">
            <v>0</v>
          </cell>
          <cell r="Z4159">
            <v>0</v>
          </cell>
        </row>
        <row r="4160">
          <cell r="V4160">
            <v>0</v>
          </cell>
          <cell r="Z4160">
            <v>0</v>
          </cell>
        </row>
        <row r="4161">
          <cell r="V4161">
            <v>0</v>
          </cell>
          <cell r="Z4161">
            <v>0</v>
          </cell>
        </row>
        <row r="4162">
          <cell r="V4162">
            <v>0</v>
          </cell>
          <cell r="Z4162">
            <v>0</v>
          </cell>
        </row>
        <row r="4163">
          <cell r="V4163">
            <v>0</v>
          </cell>
          <cell r="Z4163">
            <v>0</v>
          </cell>
        </row>
        <row r="4164">
          <cell r="V4164">
            <v>0</v>
          </cell>
          <cell r="Z4164">
            <v>0</v>
          </cell>
        </row>
        <row r="4165">
          <cell r="V4165">
            <v>0</v>
          </cell>
          <cell r="Z4165">
            <v>0</v>
          </cell>
        </row>
        <row r="4166">
          <cell r="V4166">
            <v>0</v>
          </cell>
          <cell r="Z4166">
            <v>0</v>
          </cell>
        </row>
        <row r="4167">
          <cell r="V4167">
            <v>0</v>
          </cell>
          <cell r="Z4167">
            <v>0</v>
          </cell>
        </row>
        <row r="4168">
          <cell r="V4168">
            <v>0</v>
          </cell>
          <cell r="Z4168">
            <v>0</v>
          </cell>
        </row>
        <row r="4169">
          <cell r="V4169">
            <v>0</v>
          </cell>
          <cell r="Z4169">
            <v>0</v>
          </cell>
        </row>
        <row r="4170">
          <cell r="V4170">
            <v>0</v>
          </cell>
          <cell r="Z4170">
            <v>0</v>
          </cell>
        </row>
        <row r="4171">
          <cell r="V4171">
            <v>0</v>
          </cell>
          <cell r="Z4171">
            <v>0</v>
          </cell>
        </row>
        <row r="4172">
          <cell r="V4172">
            <v>0</v>
          </cell>
          <cell r="Z4172">
            <v>0</v>
          </cell>
        </row>
        <row r="4173">
          <cell r="V4173">
            <v>0</v>
          </cell>
          <cell r="Z4173">
            <v>0</v>
          </cell>
        </row>
        <row r="4174">
          <cell r="V4174">
            <v>0</v>
          </cell>
          <cell r="Z4174">
            <v>0</v>
          </cell>
        </row>
        <row r="4175">
          <cell r="V4175">
            <v>0</v>
          </cell>
          <cell r="Z4175">
            <v>0</v>
          </cell>
        </row>
        <row r="4176">
          <cell r="V4176">
            <v>0</v>
          </cell>
          <cell r="Z4176">
            <v>0</v>
          </cell>
        </row>
        <row r="4177">
          <cell r="V4177">
            <v>0</v>
          </cell>
          <cell r="Z4177">
            <v>0</v>
          </cell>
        </row>
        <row r="4178">
          <cell r="V4178">
            <v>0</v>
          </cell>
          <cell r="Z4178">
            <v>0</v>
          </cell>
        </row>
        <row r="4179">
          <cell r="V4179">
            <v>0</v>
          </cell>
          <cell r="Z4179">
            <v>0</v>
          </cell>
        </row>
        <row r="4180">
          <cell r="V4180">
            <v>0</v>
          </cell>
          <cell r="Z4180">
            <v>0</v>
          </cell>
        </row>
        <row r="4181">
          <cell r="V4181">
            <v>0</v>
          </cell>
          <cell r="Z4181">
            <v>0</v>
          </cell>
        </row>
        <row r="4182">
          <cell r="V4182">
            <v>0</v>
          </cell>
          <cell r="Z4182">
            <v>0</v>
          </cell>
        </row>
        <row r="4183">
          <cell r="V4183">
            <v>0</v>
          </cell>
          <cell r="Z4183">
            <v>0</v>
          </cell>
        </row>
        <row r="4184">
          <cell r="V4184">
            <v>0</v>
          </cell>
          <cell r="Z4184">
            <v>0</v>
          </cell>
        </row>
        <row r="4185">
          <cell r="V4185">
            <v>0</v>
          </cell>
          <cell r="Z4185">
            <v>0</v>
          </cell>
        </row>
        <row r="4186">
          <cell r="V4186">
            <v>0</v>
          </cell>
          <cell r="Z4186">
            <v>0</v>
          </cell>
        </row>
        <row r="4187">
          <cell r="V4187">
            <v>0</v>
          </cell>
          <cell r="Z4187">
            <v>0</v>
          </cell>
        </row>
        <row r="4188">
          <cell r="V4188">
            <v>0</v>
          </cell>
          <cell r="Z4188">
            <v>0</v>
          </cell>
        </row>
        <row r="4189">
          <cell r="V4189">
            <v>0</v>
          </cell>
          <cell r="Z4189">
            <v>0</v>
          </cell>
        </row>
        <row r="4190">
          <cell r="V4190">
            <v>0</v>
          </cell>
          <cell r="Z4190">
            <v>0</v>
          </cell>
        </row>
        <row r="4191">
          <cell r="V4191">
            <v>0</v>
          </cell>
          <cell r="Z4191">
            <v>0</v>
          </cell>
        </row>
        <row r="4192">
          <cell r="V4192">
            <v>0</v>
          </cell>
          <cell r="Z4192">
            <v>0</v>
          </cell>
        </row>
        <row r="4193">
          <cell r="V4193">
            <v>0</v>
          </cell>
          <cell r="Z4193">
            <v>0</v>
          </cell>
        </row>
        <row r="4194">
          <cell r="V4194">
            <v>0</v>
          </cell>
          <cell r="Z4194">
            <v>0</v>
          </cell>
        </row>
        <row r="4195">
          <cell r="V4195">
            <v>0</v>
          </cell>
          <cell r="Z4195">
            <v>0</v>
          </cell>
        </row>
        <row r="4196">
          <cell r="V4196">
            <v>0</v>
          </cell>
          <cell r="Z4196">
            <v>0</v>
          </cell>
        </row>
        <row r="4197">
          <cell r="V4197">
            <v>0</v>
          </cell>
          <cell r="Z4197">
            <v>0</v>
          </cell>
        </row>
        <row r="4198">
          <cell r="V4198">
            <v>0</v>
          </cell>
          <cell r="Z4198">
            <v>0</v>
          </cell>
        </row>
        <row r="4199">
          <cell r="V4199">
            <v>0</v>
          </cell>
          <cell r="Z4199">
            <v>0</v>
          </cell>
        </row>
        <row r="4200">
          <cell r="V4200">
            <v>0</v>
          </cell>
          <cell r="Z4200">
            <v>0</v>
          </cell>
        </row>
        <row r="4201">
          <cell r="V4201">
            <v>0</v>
          </cell>
          <cell r="Z4201">
            <v>0</v>
          </cell>
        </row>
        <row r="4202">
          <cell r="V4202">
            <v>0</v>
          </cell>
          <cell r="Z4202">
            <v>0</v>
          </cell>
        </row>
        <row r="4203">
          <cell r="V4203">
            <v>0</v>
          </cell>
          <cell r="Z4203">
            <v>0</v>
          </cell>
        </row>
        <row r="4204">
          <cell r="V4204">
            <v>0</v>
          </cell>
          <cell r="Z4204">
            <v>0</v>
          </cell>
        </row>
        <row r="4205">
          <cell r="V4205">
            <v>0</v>
          </cell>
          <cell r="Z4205">
            <v>0</v>
          </cell>
        </row>
        <row r="4206">
          <cell r="V4206">
            <v>0</v>
          </cell>
          <cell r="Z4206">
            <v>0</v>
          </cell>
        </row>
        <row r="4207">
          <cell r="V4207">
            <v>0</v>
          </cell>
          <cell r="Z4207">
            <v>0</v>
          </cell>
        </row>
        <row r="4208">
          <cell r="V4208">
            <v>0</v>
          </cell>
          <cell r="Z4208">
            <v>0</v>
          </cell>
        </row>
        <row r="4209">
          <cell r="V4209">
            <v>0</v>
          </cell>
          <cell r="Z4209">
            <v>0</v>
          </cell>
        </row>
        <row r="4210">
          <cell r="V4210">
            <v>0</v>
          </cell>
          <cell r="Z4210">
            <v>0</v>
          </cell>
        </row>
        <row r="4211">
          <cell r="V4211">
            <v>0</v>
          </cell>
          <cell r="Z4211">
            <v>0</v>
          </cell>
        </row>
        <row r="4212">
          <cell r="V4212">
            <v>0</v>
          </cell>
          <cell r="Z4212">
            <v>0</v>
          </cell>
        </row>
        <row r="4213">
          <cell r="V4213">
            <v>0</v>
          </cell>
          <cell r="Z4213">
            <v>0</v>
          </cell>
        </row>
        <row r="4214">
          <cell r="V4214">
            <v>0</v>
          </cell>
          <cell r="Z4214">
            <v>0</v>
          </cell>
        </row>
        <row r="4215">
          <cell r="V4215">
            <v>0</v>
          </cell>
          <cell r="Z4215">
            <v>0</v>
          </cell>
        </row>
        <row r="4216">
          <cell r="V4216">
            <v>0</v>
          </cell>
          <cell r="Z4216">
            <v>0</v>
          </cell>
        </row>
        <row r="4217">
          <cell r="V4217">
            <v>0</v>
          </cell>
          <cell r="Z4217">
            <v>0</v>
          </cell>
        </row>
        <row r="4218">
          <cell r="V4218">
            <v>0</v>
          </cell>
          <cell r="Z4218">
            <v>0</v>
          </cell>
        </row>
        <row r="4219">
          <cell r="V4219">
            <v>0</v>
          </cell>
          <cell r="Z4219">
            <v>0</v>
          </cell>
        </row>
        <row r="4220">
          <cell r="V4220">
            <v>0</v>
          </cell>
          <cell r="Z4220">
            <v>0</v>
          </cell>
        </row>
        <row r="4221">
          <cell r="V4221">
            <v>0</v>
          </cell>
          <cell r="Z4221">
            <v>0</v>
          </cell>
        </row>
        <row r="4222">
          <cell r="V4222">
            <v>0</v>
          </cell>
          <cell r="Z4222">
            <v>0</v>
          </cell>
        </row>
        <row r="4223">
          <cell r="V4223">
            <v>0</v>
          </cell>
          <cell r="Z4223">
            <v>0</v>
          </cell>
        </row>
        <row r="4224">
          <cell r="V4224">
            <v>0</v>
          </cell>
          <cell r="Z4224">
            <v>0</v>
          </cell>
        </row>
        <row r="4225">
          <cell r="V4225">
            <v>0</v>
          </cell>
          <cell r="Z4225">
            <v>0</v>
          </cell>
        </row>
        <row r="4226">
          <cell r="V4226">
            <v>0</v>
          </cell>
          <cell r="Z4226">
            <v>0</v>
          </cell>
        </row>
        <row r="4227">
          <cell r="V4227">
            <v>0</v>
          </cell>
          <cell r="Z4227">
            <v>0</v>
          </cell>
        </row>
        <row r="4228">
          <cell r="V4228">
            <v>0</v>
          </cell>
          <cell r="Z4228">
            <v>0</v>
          </cell>
        </row>
        <row r="4229">
          <cell r="V4229">
            <v>0</v>
          </cell>
          <cell r="Z4229">
            <v>0</v>
          </cell>
        </row>
        <row r="4230">
          <cell r="V4230">
            <v>0</v>
          </cell>
          <cell r="Z4230">
            <v>0</v>
          </cell>
        </row>
        <row r="4231">
          <cell r="V4231">
            <v>0</v>
          </cell>
          <cell r="Z4231">
            <v>0</v>
          </cell>
        </row>
        <row r="4232">
          <cell r="V4232">
            <v>0</v>
          </cell>
          <cell r="Z4232">
            <v>0</v>
          </cell>
        </row>
        <row r="4233">
          <cell r="V4233">
            <v>0</v>
          </cell>
          <cell r="Z4233">
            <v>0</v>
          </cell>
        </row>
        <row r="4234">
          <cell r="V4234">
            <v>0</v>
          </cell>
          <cell r="Z4234">
            <v>0</v>
          </cell>
        </row>
        <row r="4235">
          <cell r="V4235">
            <v>0</v>
          </cell>
          <cell r="Z4235">
            <v>0</v>
          </cell>
        </row>
        <row r="4236">
          <cell r="V4236">
            <v>0</v>
          </cell>
          <cell r="Z4236">
            <v>0</v>
          </cell>
        </row>
        <row r="4237">
          <cell r="V4237">
            <v>0</v>
          </cell>
          <cell r="Z4237">
            <v>0</v>
          </cell>
        </row>
        <row r="4238">
          <cell r="V4238">
            <v>0</v>
          </cell>
          <cell r="Z4238">
            <v>0</v>
          </cell>
        </row>
        <row r="4239">
          <cell r="V4239">
            <v>0</v>
          </cell>
          <cell r="Z4239">
            <v>0</v>
          </cell>
        </row>
        <row r="4240">
          <cell r="V4240">
            <v>0</v>
          </cell>
          <cell r="Z4240">
            <v>0</v>
          </cell>
        </row>
        <row r="4241">
          <cell r="V4241">
            <v>0</v>
          </cell>
          <cell r="Z4241">
            <v>0</v>
          </cell>
        </row>
        <row r="4242">
          <cell r="V4242">
            <v>0</v>
          </cell>
          <cell r="Z4242">
            <v>0</v>
          </cell>
        </row>
        <row r="4243">
          <cell r="V4243">
            <v>0</v>
          </cell>
          <cell r="Z4243">
            <v>0</v>
          </cell>
        </row>
        <row r="4244">
          <cell r="V4244">
            <v>0</v>
          </cell>
          <cell r="Z4244">
            <v>0</v>
          </cell>
        </row>
        <row r="4245">
          <cell r="V4245">
            <v>0</v>
          </cell>
          <cell r="Z4245">
            <v>0</v>
          </cell>
        </row>
        <row r="4246">
          <cell r="V4246">
            <v>0</v>
          </cell>
          <cell r="Z4246">
            <v>0</v>
          </cell>
        </row>
        <row r="4247">
          <cell r="V4247">
            <v>0</v>
          </cell>
          <cell r="Z4247">
            <v>0</v>
          </cell>
        </row>
        <row r="4248">
          <cell r="V4248">
            <v>0</v>
          </cell>
          <cell r="Z4248">
            <v>0</v>
          </cell>
        </row>
        <row r="4249">
          <cell r="V4249">
            <v>0</v>
          </cell>
          <cell r="Z4249">
            <v>0</v>
          </cell>
        </row>
        <row r="4250">
          <cell r="V4250">
            <v>0</v>
          </cell>
          <cell r="Z4250">
            <v>0</v>
          </cell>
        </row>
        <row r="4251">
          <cell r="V4251">
            <v>0</v>
          </cell>
          <cell r="Z4251">
            <v>0</v>
          </cell>
        </row>
        <row r="4252">
          <cell r="V4252">
            <v>0</v>
          </cell>
          <cell r="Z4252">
            <v>0</v>
          </cell>
        </row>
        <row r="4253">
          <cell r="V4253">
            <v>0</v>
          </cell>
          <cell r="Z4253">
            <v>0</v>
          </cell>
        </row>
        <row r="4254">
          <cell r="V4254">
            <v>0</v>
          </cell>
          <cell r="Z4254">
            <v>0</v>
          </cell>
        </row>
        <row r="4255">
          <cell r="V4255">
            <v>0</v>
          </cell>
          <cell r="Z4255">
            <v>0</v>
          </cell>
        </row>
        <row r="4256">
          <cell r="V4256">
            <v>0</v>
          </cell>
          <cell r="Z4256">
            <v>0</v>
          </cell>
        </row>
        <row r="4257">
          <cell r="V4257">
            <v>0</v>
          </cell>
          <cell r="Z4257">
            <v>0</v>
          </cell>
        </row>
        <row r="4258">
          <cell r="V4258">
            <v>0</v>
          </cell>
          <cell r="Z4258">
            <v>0</v>
          </cell>
        </row>
        <row r="4259">
          <cell r="V4259">
            <v>0</v>
          </cell>
          <cell r="Z4259">
            <v>0</v>
          </cell>
        </row>
        <row r="4260">
          <cell r="V4260">
            <v>0</v>
          </cell>
          <cell r="Z4260">
            <v>0</v>
          </cell>
        </row>
        <row r="4261">
          <cell r="V4261">
            <v>0</v>
          </cell>
          <cell r="Z4261">
            <v>0</v>
          </cell>
        </row>
        <row r="4262">
          <cell r="V4262">
            <v>0</v>
          </cell>
          <cell r="Z4262">
            <v>0</v>
          </cell>
        </row>
        <row r="4263">
          <cell r="V4263">
            <v>0</v>
          </cell>
          <cell r="Z4263">
            <v>0</v>
          </cell>
        </row>
        <row r="4264">
          <cell r="V4264">
            <v>0</v>
          </cell>
          <cell r="Z4264">
            <v>0</v>
          </cell>
        </row>
        <row r="4265">
          <cell r="V4265">
            <v>0</v>
          </cell>
          <cell r="Z4265">
            <v>0</v>
          </cell>
        </row>
        <row r="4266">
          <cell r="V4266">
            <v>0</v>
          </cell>
          <cell r="Z4266">
            <v>0</v>
          </cell>
        </row>
        <row r="4267">
          <cell r="V4267">
            <v>0</v>
          </cell>
          <cell r="Z4267">
            <v>0</v>
          </cell>
        </row>
        <row r="4268">
          <cell r="V4268">
            <v>0</v>
          </cell>
          <cell r="Z4268">
            <v>0</v>
          </cell>
        </row>
        <row r="4269">
          <cell r="V4269">
            <v>0</v>
          </cell>
          <cell r="Z4269">
            <v>0</v>
          </cell>
        </row>
        <row r="4270">
          <cell r="V4270">
            <v>0</v>
          </cell>
          <cell r="Z4270">
            <v>0</v>
          </cell>
        </row>
        <row r="4271">
          <cell r="V4271">
            <v>0</v>
          </cell>
          <cell r="Z4271">
            <v>0</v>
          </cell>
        </row>
        <row r="4272">
          <cell r="V4272">
            <v>0</v>
          </cell>
          <cell r="Z4272">
            <v>0</v>
          </cell>
        </row>
        <row r="4273">
          <cell r="V4273">
            <v>0</v>
          </cell>
          <cell r="Z4273">
            <v>0</v>
          </cell>
        </row>
        <row r="4274">
          <cell r="V4274">
            <v>0</v>
          </cell>
          <cell r="Z4274">
            <v>0</v>
          </cell>
        </row>
        <row r="4275">
          <cell r="V4275">
            <v>0</v>
          </cell>
          <cell r="Z4275">
            <v>0</v>
          </cell>
        </row>
        <row r="4276">
          <cell r="V4276">
            <v>0</v>
          </cell>
          <cell r="Z4276">
            <v>0</v>
          </cell>
        </row>
        <row r="4277">
          <cell r="V4277">
            <v>0</v>
          </cell>
          <cell r="Z4277">
            <v>0</v>
          </cell>
        </row>
        <row r="4278">
          <cell r="V4278">
            <v>0</v>
          </cell>
          <cell r="Z4278">
            <v>0</v>
          </cell>
        </row>
        <row r="4279">
          <cell r="V4279">
            <v>0</v>
          </cell>
          <cell r="Z4279">
            <v>0</v>
          </cell>
        </row>
        <row r="4280">
          <cell r="V4280">
            <v>0</v>
          </cell>
          <cell r="Z4280">
            <v>0</v>
          </cell>
        </row>
        <row r="4281">
          <cell r="V4281">
            <v>0</v>
          </cell>
          <cell r="Z4281">
            <v>0</v>
          </cell>
        </row>
        <row r="4282">
          <cell r="V4282">
            <v>0</v>
          </cell>
          <cell r="Z4282">
            <v>0</v>
          </cell>
        </row>
        <row r="4283">
          <cell r="V4283">
            <v>0</v>
          </cell>
          <cell r="Z4283">
            <v>0</v>
          </cell>
        </row>
        <row r="4284">
          <cell r="V4284">
            <v>0</v>
          </cell>
          <cell r="Z4284">
            <v>0</v>
          </cell>
        </row>
        <row r="4285">
          <cell r="V4285">
            <v>0</v>
          </cell>
          <cell r="Z4285">
            <v>0</v>
          </cell>
        </row>
        <row r="4286">
          <cell r="V4286">
            <v>0</v>
          </cell>
          <cell r="Z4286">
            <v>0</v>
          </cell>
        </row>
        <row r="4287">
          <cell r="V4287">
            <v>0</v>
          </cell>
          <cell r="Z4287">
            <v>0</v>
          </cell>
        </row>
        <row r="4288">
          <cell r="V4288">
            <v>0</v>
          </cell>
          <cell r="Z4288">
            <v>0</v>
          </cell>
        </row>
        <row r="4289">
          <cell r="V4289">
            <v>0</v>
          </cell>
          <cell r="Z4289">
            <v>0</v>
          </cell>
        </row>
        <row r="4290">
          <cell r="V4290">
            <v>0</v>
          </cell>
          <cell r="Z4290">
            <v>0</v>
          </cell>
        </row>
        <row r="4291">
          <cell r="V4291">
            <v>0</v>
          </cell>
          <cell r="Z4291">
            <v>0</v>
          </cell>
        </row>
        <row r="4292">
          <cell r="V4292">
            <v>0</v>
          </cell>
          <cell r="Z4292">
            <v>0</v>
          </cell>
        </row>
        <row r="4293">
          <cell r="V4293">
            <v>0</v>
          </cell>
          <cell r="Z4293">
            <v>0</v>
          </cell>
        </row>
        <row r="4294">
          <cell r="V4294">
            <v>0</v>
          </cell>
          <cell r="Z4294">
            <v>0</v>
          </cell>
        </row>
        <row r="4295">
          <cell r="V4295">
            <v>0</v>
          </cell>
          <cell r="Z4295">
            <v>0</v>
          </cell>
        </row>
        <row r="4296">
          <cell r="V4296">
            <v>0</v>
          </cell>
          <cell r="Z4296">
            <v>0</v>
          </cell>
        </row>
        <row r="4297">
          <cell r="V4297">
            <v>0</v>
          </cell>
          <cell r="Z4297">
            <v>0</v>
          </cell>
        </row>
        <row r="4298">
          <cell r="V4298">
            <v>0</v>
          </cell>
          <cell r="Z4298">
            <v>0</v>
          </cell>
        </row>
        <row r="4299">
          <cell r="V4299">
            <v>0</v>
          </cell>
          <cell r="Z4299">
            <v>0</v>
          </cell>
        </row>
        <row r="4300">
          <cell r="V4300">
            <v>0</v>
          </cell>
          <cell r="Z4300">
            <v>0</v>
          </cell>
        </row>
        <row r="4301">
          <cell r="V4301">
            <v>0</v>
          </cell>
          <cell r="Z4301">
            <v>0</v>
          </cell>
        </row>
        <row r="4302">
          <cell r="V4302">
            <v>0</v>
          </cell>
          <cell r="Z4302">
            <v>0</v>
          </cell>
        </row>
        <row r="4303">
          <cell r="V4303">
            <v>0</v>
          </cell>
          <cell r="Z4303">
            <v>0</v>
          </cell>
        </row>
        <row r="4304">
          <cell r="V4304">
            <v>0</v>
          </cell>
          <cell r="Z4304">
            <v>0</v>
          </cell>
        </row>
        <row r="4305">
          <cell r="V4305">
            <v>0</v>
          </cell>
          <cell r="Z4305">
            <v>0</v>
          </cell>
        </row>
        <row r="4306">
          <cell r="V4306">
            <v>0</v>
          </cell>
          <cell r="Z4306">
            <v>0</v>
          </cell>
        </row>
        <row r="4307">
          <cell r="V4307">
            <v>0</v>
          </cell>
          <cell r="Z4307">
            <v>0</v>
          </cell>
        </row>
        <row r="4308">
          <cell r="V4308">
            <v>0</v>
          </cell>
          <cell r="Z4308">
            <v>0</v>
          </cell>
        </row>
        <row r="4309">
          <cell r="V4309">
            <v>0</v>
          </cell>
          <cell r="Z4309">
            <v>0</v>
          </cell>
        </row>
        <row r="4310">
          <cell r="V4310">
            <v>0</v>
          </cell>
          <cell r="Z4310">
            <v>0</v>
          </cell>
        </row>
        <row r="4311">
          <cell r="V4311">
            <v>0</v>
          </cell>
          <cell r="Z4311">
            <v>0</v>
          </cell>
        </row>
        <row r="4312">
          <cell r="V4312">
            <v>0</v>
          </cell>
          <cell r="Z4312">
            <v>0</v>
          </cell>
        </row>
        <row r="4313">
          <cell r="V4313">
            <v>0</v>
          </cell>
          <cell r="Z4313">
            <v>0</v>
          </cell>
        </row>
        <row r="4314">
          <cell r="V4314">
            <v>0</v>
          </cell>
          <cell r="Z4314">
            <v>0</v>
          </cell>
        </row>
        <row r="4315">
          <cell r="V4315">
            <v>0</v>
          </cell>
          <cell r="Z4315">
            <v>0</v>
          </cell>
        </row>
        <row r="4316">
          <cell r="V4316">
            <v>0</v>
          </cell>
          <cell r="Z4316">
            <v>0</v>
          </cell>
        </row>
        <row r="4317">
          <cell r="V4317">
            <v>0</v>
          </cell>
          <cell r="Z4317">
            <v>0</v>
          </cell>
        </row>
        <row r="4318">
          <cell r="V4318">
            <v>0</v>
          </cell>
          <cell r="Z4318">
            <v>0</v>
          </cell>
        </row>
        <row r="4319">
          <cell r="V4319">
            <v>0</v>
          </cell>
          <cell r="Z4319">
            <v>0</v>
          </cell>
        </row>
        <row r="4320">
          <cell r="V4320">
            <v>0</v>
          </cell>
          <cell r="Z4320">
            <v>0</v>
          </cell>
        </row>
        <row r="4321">
          <cell r="V4321">
            <v>0</v>
          </cell>
          <cell r="Z4321">
            <v>0</v>
          </cell>
        </row>
        <row r="4322">
          <cell r="V4322">
            <v>0</v>
          </cell>
          <cell r="Z4322">
            <v>0</v>
          </cell>
        </row>
        <row r="4323">
          <cell r="V4323">
            <v>0</v>
          </cell>
          <cell r="Z4323">
            <v>0</v>
          </cell>
        </row>
        <row r="4324">
          <cell r="V4324">
            <v>0</v>
          </cell>
          <cell r="Z4324">
            <v>0</v>
          </cell>
        </row>
        <row r="4325">
          <cell r="V4325">
            <v>0</v>
          </cell>
          <cell r="Z4325">
            <v>0</v>
          </cell>
        </row>
        <row r="4326">
          <cell r="V4326">
            <v>0</v>
          </cell>
          <cell r="Z4326">
            <v>0</v>
          </cell>
        </row>
        <row r="4327">
          <cell r="V4327">
            <v>0</v>
          </cell>
          <cell r="Z4327">
            <v>0</v>
          </cell>
        </row>
        <row r="4328">
          <cell r="V4328">
            <v>0</v>
          </cell>
          <cell r="Z4328">
            <v>0</v>
          </cell>
        </row>
        <row r="4329">
          <cell r="V4329">
            <v>0</v>
          </cell>
          <cell r="Z4329">
            <v>0</v>
          </cell>
        </row>
        <row r="4330">
          <cell r="V4330">
            <v>0</v>
          </cell>
          <cell r="Z4330">
            <v>0</v>
          </cell>
        </row>
        <row r="4331">
          <cell r="V4331">
            <v>0</v>
          </cell>
          <cell r="Z4331">
            <v>0</v>
          </cell>
        </row>
        <row r="4332">
          <cell r="V4332">
            <v>0</v>
          </cell>
          <cell r="Z4332">
            <v>0</v>
          </cell>
        </row>
        <row r="4333">
          <cell r="V4333">
            <v>0</v>
          </cell>
          <cell r="Z4333">
            <v>0</v>
          </cell>
        </row>
        <row r="4334">
          <cell r="V4334">
            <v>0</v>
          </cell>
          <cell r="Z4334">
            <v>0</v>
          </cell>
        </row>
        <row r="4335">
          <cell r="V4335">
            <v>0</v>
          </cell>
          <cell r="Z4335">
            <v>0</v>
          </cell>
        </row>
        <row r="4336">
          <cell r="V4336">
            <v>0</v>
          </cell>
          <cell r="Z4336">
            <v>0</v>
          </cell>
        </row>
        <row r="4337">
          <cell r="V4337">
            <v>0</v>
          </cell>
          <cell r="Z4337">
            <v>0</v>
          </cell>
        </row>
        <row r="4338">
          <cell r="V4338">
            <v>0</v>
          </cell>
          <cell r="Z4338">
            <v>0</v>
          </cell>
        </row>
        <row r="4339">
          <cell r="V4339">
            <v>0</v>
          </cell>
          <cell r="Z4339">
            <v>0</v>
          </cell>
        </row>
        <row r="4340">
          <cell r="V4340">
            <v>0</v>
          </cell>
          <cell r="Z4340">
            <v>0</v>
          </cell>
        </row>
        <row r="4341">
          <cell r="V4341">
            <v>0</v>
          </cell>
          <cell r="Z4341">
            <v>0</v>
          </cell>
        </row>
        <row r="4342">
          <cell r="V4342">
            <v>0</v>
          </cell>
          <cell r="Z4342">
            <v>0</v>
          </cell>
        </row>
        <row r="4343">
          <cell r="V4343">
            <v>0</v>
          </cell>
          <cell r="Z4343">
            <v>0</v>
          </cell>
        </row>
        <row r="4344">
          <cell r="V4344">
            <v>0</v>
          </cell>
          <cell r="Z4344">
            <v>0</v>
          </cell>
        </row>
        <row r="4345">
          <cell r="V4345">
            <v>0</v>
          </cell>
          <cell r="Z4345">
            <v>0</v>
          </cell>
        </row>
        <row r="4346">
          <cell r="V4346">
            <v>0</v>
          </cell>
          <cell r="Z4346">
            <v>0</v>
          </cell>
        </row>
        <row r="4347">
          <cell r="V4347">
            <v>0</v>
          </cell>
          <cell r="Z4347">
            <v>0</v>
          </cell>
        </row>
        <row r="4348">
          <cell r="V4348">
            <v>0</v>
          </cell>
          <cell r="Z4348">
            <v>0</v>
          </cell>
        </row>
        <row r="4349">
          <cell r="V4349">
            <v>0</v>
          </cell>
          <cell r="Z4349">
            <v>0</v>
          </cell>
        </row>
        <row r="4350">
          <cell r="V4350">
            <v>0</v>
          </cell>
          <cell r="Z4350">
            <v>0</v>
          </cell>
        </row>
        <row r="4351">
          <cell r="V4351">
            <v>0</v>
          </cell>
          <cell r="Z4351">
            <v>0</v>
          </cell>
        </row>
        <row r="4352">
          <cell r="V4352">
            <v>0</v>
          </cell>
          <cell r="Z4352">
            <v>0</v>
          </cell>
        </row>
        <row r="4353">
          <cell r="V4353">
            <v>0</v>
          </cell>
          <cell r="Z4353">
            <v>0</v>
          </cell>
        </row>
        <row r="4354">
          <cell r="V4354">
            <v>0</v>
          </cell>
          <cell r="Z4354">
            <v>0</v>
          </cell>
        </row>
        <row r="4355">
          <cell r="V4355">
            <v>0</v>
          </cell>
          <cell r="Z4355">
            <v>0</v>
          </cell>
        </row>
        <row r="4356">
          <cell r="V4356">
            <v>0</v>
          </cell>
          <cell r="Z4356">
            <v>0</v>
          </cell>
        </row>
        <row r="4357">
          <cell r="V4357">
            <v>0</v>
          </cell>
          <cell r="Z4357">
            <v>0</v>
          </cell>
        </row>
        <row r="4358">
          <cell r="V4358">
            <v>0</v>
          </cell>
          <cell r="Z4358">
            <v>0</v>
          </cell>
        </row>
        <row r="4359">
          <cell r="V4359">
            <v>0</v>
          </cell>
          <cell r="Z4359">
            <v>0</v>
          </cell>
        </row>
        <row r="4360">
          <cell r="V4360">
            <v>0</v>
          </cell>
          <cell r="Z4360">
            <v>0</v>
          </cell>
        </row>
        <row r="4361">
          <cell r="V4361">
            <v>0</v>
          </cell>
          <cell r="Z4361">
            <v>0</v>
          </cell>
        </row>
        <row r="4362">
          <cell r="V4362">
            <v>0</v>
          </cell>
          <cell r="Z4362">
            <v>0</v>
          </cell>
        </row>
        <row r="4363">
          <cell r="V4363">
            <v>0</v>
          </cell>
          <cell r="Z4363">
            <v>0</v>
          </cell>
        </row>
        <row r="4364">
          <cell r="V4364">
            <v>0</v>
          </cell>
          <cell r="Z4364">
            <v>0</v>
          </cell>
        </row>
        <row r="4365">
          <cell r="V4365">
            <v>0</v>
          </cell>
          <cell r="Z4365">
            <v>0</v>
          </cell>
        </row>
        <row r="4366">
          <cell r="V4366">
            <v>0</v>
          </cell>
          <cell r="Z4366">
            <v>0</v>
          </cell>
        </row>
        <row r="4367">
          <cell r="V4367">
            <v>0</v>
          </cell>
          <cell r="Z4367">
            <v>0</v>
          </cell>
        </row>
        <row r="4368">
          <cell r="V4368">
            <v>0</v>
          </cell>
          <cell r="Z4368">
            <v>0</v>
          </cell>
        </row>
        <row r="4369">
          <cell r="V4369">
            <v>0</v>
          </cell>
          <cell r="Z4369">
            <v>0</v>
          </cell>
        </row>
        <row r="4370">
          <cell r="V4370">
            <v>0</v>
          </cell>
          <cell r="Z4370">
            <v>0</v>
          </cell>
        </row>
        <row r="4371">
          <cell r="V4371">
            <v>0</v>
          </cell>
          <cell r="Z4371">
            <v>0</v>
          </cell>
        </row>
        <row r="4372">
          <cell r="V4372">
            <v>0</v>
          </cell>
          <cell r="Z4372">
            <v>0</v>
          </cell>
        </row>
        <row r="4373">
          <cell r="V4373">
            <v>0</v>
          </cell>
          <cell r="Z4373">
            <v>0</v>
          </cell>
        </row>
        <row r="4374">
          <cell r="V4374">
            <v>0</v>
          </cell>
          <cell r="Z4374">
            <v>0</v>
          </cell>
        </row>
        <row r="4375">
          <cell r="V4375">
            <v>0</v>
          </cell>
          <cell r="Z4375">
            <v>0</v>
          </cell>
        </row>
        <row r="4376">
          <cell r="V4376">
            <v>0</v>
          </cell>
          <cell r="Z4376">
            <v>0</v>
          </cell>
        </row>
        <row r="4377">
          <cell r="V4377">
            <v>0</v>
          </cell>
          <cell r="Z4377">
            <v>0</v>
          </cell>
        </row>
        <row r="4378">
          <cell r="V4378">
            <v>0</v>
          </cell>
          <cell r="Z4378">
            <v>0</v>
          </cell>
        </row>
        <row r="4379">
          <cell r="V4379">
            <v>0</v>
          </cell>
          <cell r="Z4379">
            <v>0</v>
          </cell>
        </row>
        <row r="4380">
          <cell r="V4380">
            <v>0</v>
          </cell>
          <cell r="Z4380">
            <v>0</v>
          </cell>
        </row>
        <row r="4381">
          <cell r="V4381">
            <v>0</v>
          </cell>
          <cell r="Z4381">
            <v>0</v>
          </cell>
        </row>
        <row r="4382">
          <cell r="V4382">
            <v>0</v>
          </cell>
          <cell r="Z4382">
            <v>0</v>
          </cell>
        </row>
        <row r="4383">
          <cell r="V4383">
            <v>0</v>
          </cell>
          <cell r="Z4383">
            <v>0</v>
          </cell>
        </row>
        <row r="4384">
          <cell r="V4384">
            <v>0</v>
          </cell>
          <cell r="Z4384">
            <v>0</v>
          </cell>
        </row>
        <row r="4385">
          <cell r="V4385">
            <v>0</v>
          </cell>
          <cell r="Z4385">
            <v>0</v>
          </cell>
        </row>
        <row r="4386">
          <cell r="V4386">
            <v>0</v>
          </cell>
          <cell r="Z4386">
            <v>0</v>
          </cell>
        </row>
        <row r="4387">
          <cell r="V4387">
            <v>0</v>
          </cell>
          <cell r="Z4387">
            <v>0</v>
          </cell>
        </row>
        <row r="4388">
          <cell r="V4388">
            <v>0</v>
          </cell>
          <cell r="Z4388">
            <v>0</v>
          </cell>
        </row>
        <row r="4389">
          <cell r="V4389">
            <v>0</v>
          </cell>
          <cell r="Z4389">
            <v>0</v>
          </cell>
        </row>
        <row r="4390">
          <cell r="V4390">
            <v>0</v>
          </cell>
          <cell r="Z4390">
            <v>0</v>
          </cell>
        </row>
        <row r="4391">
          <cell r="V4391">
            <v>0</v>
          </cell>
          <cell r="Z4391">
            <v>0</v>
          </cell>
        </row>
        <row r="4392">
          <cell r="V4392">
            <v>0</v>
          </cell>
          <cell r="Z4392">
            <v>0</v>
          </cell>
        </row>
        <row r="4393">
          <cell r="V4393">
            <v>0</v>
          </cell>
          <cell r="Z4393">
            <v>0</v>
          </cell>
        </row>
        <row r="4394">
          <cell r="V4394">
            <v>0</v>
          </cell>
          <cell r="Z4394">
            <v>0</v>
          </cell>
        </row>
        <row r="4395">
          <cell r="V4395">
            <v>0</v>
          </cell>
          <cell r="Z4395">
            <v>0</v>
          </cell>
        </row>
        <row r="4396">
          <cell r="V4396">
            <v>0</v>
          </cell>
          <cell r="Z4396">
            <v>0</v>
          </cell>
        </row>
        <row r="4397">
          <cell r="V4397">
            <v>0</v>
          </cell>
          <cell r="Z4397">
            <v>0</v>
          </cell>
        </row>
        <row r="4398">
          <cell r="V4398">
            <v>0</v>
          </cell>
          <cell r="Z4398">
            <v>0</v>
          </cell>
        </row>
        <row r="4399">
          <cell r="V4399">
            <v>0</v>
          </cell>
          <cell r="Z4399">
            <v>0</v>
          </cell>
        </row>
        <row r="4400">
          <cell r="V4400">
            <v>0</v>
          </cell>
          <cell r="Z4400">
            <v>0</v>
          </cell>
        </row>
        <row r="4401">
          <cell r="V4401">
            <v>0</v>
          </cell>
          <cell r="Z4401">
            <v>0</v>
          </cell>
        </row>
        <row r="4402">
          <cell r="V4402">
            <v>0</v>
          </cell>
          <cell r="Z4402">
            <v>0</v>
          </cell>
        </row>
        <row r="4403">
          <cell r="V4403">
            <v>0</v>
          </cell>
          <cell r="Z4403">
            <v>0</v>
          </cell>
        </row>
        <row r="4404">
          <cell r="V4404">
            <v>0</v>
          </cell>
          <cell r="Z4404">
            <v>0</v>
          </cell>
        </row>
        <row r="4405">
          <cell r="V4405">
            <v>0</v>
          </cell>
          <cell r="Z4405">
            <v>0</v>
          </cell>
        </row>
        <row r="4406">
          <cell r="V4406">
            <v>0</v>
          </cell>
          <cell r="Z4406">
            <v>0</v>
          </cell>
        </row>
        <row r="4407">
          <cell r="V4407">
            <v>0</v>
          </cell>
          <cell r="Z4407">
            <v>0</v>
          </cell>
        </row>
        <row r="4408">
          <cell r="V4408">
            <v>0</v>
          </cell>
          <cell r="Z4408">
            <v>0</v>
          </cell>
        </row>
        <row r="4409">
          <cell r="V4409">
            <v>0</v>
          </cell>
          <cell r="Z4409">
            <v>0</v>
          </cell>
        </row>
        <row r="4410">
          <cell r="V4410">
            <v>0</v>
          </cell>
          <cell r="Z4410">
            <v>0</v>
          </cell>
        </row>
        <row r="4411">
          <cell r="V4411">
            <v>0</v>
          </cell>
          <cell r="Z4411">
            <v>0</v>
          </cell>
        </row>
        <row r="4412">
          <cell r="V4412">
            <v>0</v>
          </cell>
          <cell r="Z4412">
            <v>0</v>
          </cell>
        </row>
        <row r="4413">
          <cell r="V4413">
            <v>0</v>
          </cell>
          <cell r="Z4413">
            <v>0</v>
          </cell>
        </row>
        <row r="4414">
          <cell r="V4414">
            <v>0</v>
          </cell>
          <cell r="Z4414">
            <v>0</v>
          </cell>
        </row>
        <row r="4415">
          <cell r="V4415">
            <v>0</v>
          </cell>
          <cell r="Z4415">
            <v>0</v>
          </cell>
        </row>
        <row r="4416">
          <cell r="V4416">
            <v>0</v>
          </cell>
          <cell r="Z4416">
            <v>0</v>
          </cell>
        </row>
        <row r="4417">
          <cell r="V4417">
            <v>0</v>
          </cell>
          <cell r="Z4417">
            <v>0</v>
          </cell>
        </row>
        <row r="4418">
          <cell r="V4418">
            <v>0</v>
          </cell>
          <cell r="Z4418">
            <v>0</v>
          </cell>
        </row>
        <row r="4419">
          <cell r="V4419">
            <v>0</v>
          </cell>
          <cell r="Z4419">
            <v>0</v>
          </cell>
        </row>
        <row r="4420">
          <cell r="V4420">
            <v>0</v>
          </cell>
          <cell r="Z4420">
            <v>0</v>
          </cell>
        </row>
        <row r="4421">
          <cell r="V4421">
            <v>0</v>
          </cell>
          <cell r="Z4421">
            <v>0</v>
          </cell>
        </row>
        <row r="4422">
          <cell r="V4422">
            <v>0</v>
          </cell>
          <cell r="Z4422">
            <v>0</v>
          </cell>
        </row>
        <row r="4423">
          <cell r="V4423">
            <v>0</v>
          </cell>
          <cell r="Z4423">
            <v>0</v>
          </cell>
        </row>
        <row r="4424">
          <cell r="V4424">
            <v>0</v>
          </cell>
          <cell r="Z4424">
            <v>0</v>
          </cell>
        </row>
        <row r="4425">
          <cell r="V4425">
            <v>0</v>
          </cell>
          <cell r="Z4425">
            <v>0</v>
          </cell>
        </row>
        <row r="4426">
          <cell r="V4426">
            <v>0</v>
          </cell>
          <cell r="Z4426">
            <v>0</v>
          </cell>
        </row>
        <row r="4427">
          <cell r="V4427">
            <v>0</v>
          </cell>
          <cell r="Z4427">
            <v>0</v>
          </cell>
        </row>
        <row r="4428">
          <cell r="V4428">
            <v>0</v>
          </cell>
          <cell r="Z4428">
            <v>0</v>
          </cell>
        </row>
        <row r="4429">
          <cell r="V4429">
            <v>0</v>
          </cell>
          <cell r="Z4429">
            <v>0</v>
          </cell>
        </row>
        <row r="4430">
          <cell r="V4430">
            <v>0</v>
          </cell>
          <cell r="Z4430">
            <v>0</v>
          </cell>
        </row>
        <row r="4431">
          <cell r="V4431">
            <v>0</v>
          </cell>
          <cell r="Z4431">
            <v>0</v>
          </cell>
        </row>
        <row r="4432">
          <cell r="V4432">
            <v>0</v>
          </cell>
          <cell r="Z4432">
            <v>0</v>
          </cell>
        </row>
        <row r="4433">
          <cell r="V4433">
            <v>0</v>
          </cell>
          <cell r="Z4433">
            <v>0</v>
          </cell>
        </row>
        <row r="4434">
          <cell r="V4434">
            <v>0</v>
          </cell>
          <cell r="Z4434">
            <v>0</v>
          </cell>
        </row>
        <row r="4435">
          <cell r="V4435">
            <v>0</v>
          </cell>
          <cell r="Z4435">
            <v>0</v>
          </cell>
        </row>
        <row r="4436">
          <cell r="V4436">
            <v>0</v>
          </cell>
          <cell r="Z4436">
            <v>0</v>
          </cell>
        </row>
        <row r="4437">
          <cell r="V4437">
            <v>0</v>
          </cell>
          <cell r="Z4437">
            <v>0</v>
          </cell>
        </row>
        <row r="4438">
          <cell r="V4438">
            <v>0</v>
          </cell>
          <cell r="Z4438">
            <v>0</v>
          </cell>
        </row>
        <row r="4439">
          <cell r="V4439">
            <v>0</v>
          </cell>
          <cell r="Z4439">
            <v>0</v>
          </cell>
        </row>
        <row r="4440">
          <cell r="V4440">
            <v>0</v>
          </cell>
          <cell r="Z4440">
            <v>0</v>
          </cell>
        </row>
        <row r="4441">
          <cell r="V4441">
            <v>0</v>
          </cell>
          <cell r="Z4441">
            <v>0</v>
          </cell>
        </row>
        <row r="4442">
          <cell r="V4442">
            <v>0</v>
          </cell>
          <cell r="Z4442">
            <v>0</v>
          </cell>
        </row>
        <row r="4443">
          <cell r="V4443">
            <v>0</v>
          </cell>
          <cell r="Z4443">
            <v>0</v>
          </cell>
        </row>
        <row r="4444">
          <cell r="V4444">
            <v>0</v>
          </cell>
          <cell r="Z4444">
            <v>0</v>
          </cell>
        </row>
        <row r="4445">
          <cell r="V4445">
            <v>0</v>
          </cell>
          <cell r="Z4445">
            <v>0</v>
          </cell>
        </row>
        <row r="4446">
          <cell r="V4446">
            <v>0</v>
          </cell>
          <cell r="Z4446">
            <v>0</v>
          </cell>
        </row>
        <row r="4447">
          <cell r="V4447">
            <v>0</v>
          </cell>
          <cell r="Z4447">
            <v>0</v>
          </cell>
        </row>
        <row r="4448">
          <cell r="V4448">
            <v>0</v>
          </cell>
          <cell r="Z4448">
            <v>0</v>
          </cell>
        </row>
        <row r="4449">
          <cell r="V4449">
            <v>0</v>
          </cell>
          <cell r="Z4449">
            <v>0</v>
          </cell>
        </row>
        <row r="4450">
          <cell r="V4450">
            <v>0</v>
          </cell>
          <cell r="Z4450">
            <v>0</v>
          </cell>
        </row>
        <row r="4451">
          <cell r="V4451">
            <v>0</v>
          </cell>
          <cell r="Z4451">
            <v>0</v>
          </cell>
        </row>
        <row r="4452">
          <cell r="V4452">
            <v>0</v>
          </cell>
          <cell r="Z4452">
            <v>0</v>
          </cell>
        </row>
        <row r="4453">
          <cell r="V4453">
            <v>0</v>
          </cell>
          <cell r="Z4453">
            <v>0</v>
          </cell>
        </row>
        <row r="4454">
          <cell r="V4454">
            <v>0</v>
          </cell>
          <cell r="Z4454">
            <v>0</v>
          </cell>
        </row>
        <row r="4455">
          <cell r="V4455">
            <v>0</v>
          </cell>
          <cell r="Z4455">
            <v>0</v>
          </cell>
        </row>
        <row r="4456">
          <cell r="V4456">
            <v>0</v>
          </cell>
          <cell r="Z4456">
            <v>0</v>
          </cell>
        </row>
        <row r="4457">
          <cell r="V4457">
            <v>0</v>
          </cell>
          <cell r="Z4457">
            <v>0</v>
          </cell>
        </row>
        <row r="4458">
          <cell r="V4458">
            <v>0</v>
          </cell>
          <cell r="Z4458">
            <v>0</v>
          </cell>
        </row>
        <row r="4459">
          <cell r="V4459">
            <v>0</v>
          </cell>
          <cell r="Z4459">
            <v>0</v>
          </cell>
        </row>
        <row r="4460">
          <cell r="V4460">
            <v>0</v>
          </cell>
          <cell r="Z4460">
            <v>0</v>
          </cell>
        </row>
        <row r="4461">
          <cell r="V4461">
            <v>0</v>
          </cell>
          <cell r="Z4461">
            <v>0</v>
          </cell>
        </row>
        <row r="4462">
          <cell r="V4462">
            <v>0</v>
          </cell>
          <cell r="Z4462">
            <v>0</v>
          </cell>
        </row>
        <row r="4463">
          <cell r="V4463">
            <v>0</v>
          </cell>
          <cell r="Z4463">
            <v>0</v>
          </cell>
        </row>
        <row r="4464">
          <cell r="V4464">
            <v>0</v>
          </cell>
          <cell r="Z4464">
            <v>0</v>
          </cell>
        </row>
        <row r="4465">
          <cell r="V4465">
            <v>0</v>
          </cell>
          <cell r="Z4465">
            <v>0</v>
          </cell>
        </row>
        <row r="4466">
          <cell r="V4466">
            <v>0</v>
          </cell>
          <cell r="Z4466">
            <v>0</v>
          </cell>
        </row>
        <row r="4467">
          <cell r="V4467">
            <v>0</v>
          </cell>
          <cell r="Z4467">
            <v>0</v>
          </cell>
        </row>
        <row r="4468">
          <cell r="V4468">
            <v>0</v>
          </cell>
          <cell r="Z4468">
            <v>0</v>
          </cell>
        </row>
        <row r="4469">
          <cell r="V4469">
            <v>0</v>
          </cell>
          <cell r="Z4469">
            <v>0</v>
          </cell>
        </row>
        <row r="4470">
          <cell r="V4470">
            <v>0</v>
          </cell>
          <cell r="Z4470">
            <v>0</v>
          </cell>
        </row>
        <row r="4471">
          <cell r="V4471">
            <v>0</v>
          </cell>
          <cell r="Z4471">
            <v>0</v>
          </cell>
        </row>
        <row r="4472">
          <cell r="V4472">
            <v>0</v>
          </cell>
          <cell r="Z4472">
            <v>0</v>
          </cell>
        </row>
        <row r="4473">
          <cell r="V4473">
            <v>0</v>
          </cell>
          <cell r="Z4473">
            <v>0</v>
          </cell>
        </row>
        <row r="4474">
          <cell r="V4474">
            <v>0</v>
          </cell>
          <cell r="Z4474">
            <v>0</v>
          </cell>
        </row>
        <row r="4475">
          <cell r="V4475">
            <v>0</v>
          </cell>
          <cell r="Z4475">
            <v>0</v>
          </cell>
        </row>
        <row r="4476">
          <cell r="V4476">
            <v>0</v>
          </cell>
          <cell r="Z4476">
            <v>0</v>
          </cell>
        </row>
        <row r="4477">
          <cell r="V4477">
            <v>0</v>
          </cell>
          <cell r="Z4477">
            <v>0</v>
          </cell>
        </row>
        <row r="4478">
          <cell r="V4478">
            <v>0</v>
          </cell>
          <cell r="Z4478">
            <v>0</v>
          </cell>
        </row>
        <row r="4479">
          <cell r="V4479">
            <v>0</v>
          </cell>
          <cell r="Z4479">
            <v>0</v>
          </cell>
        </row>
        <row r="4480">
          <cell r="V4480">
            <v>0</v>
          </cell>
          <cell r="Z4480">
            <v>0</v>
          </cell>
        </row>
        <row r="4481">
          <cell r="V4481">
            <v>0</v>
          </cell>
          <cell r="Z4481">
            <v>0</v>
          </cell>
        </row>
        <row r="4482">
          <cell r="V4482">
            <v>0</v>
          </cell>
          <cell r="Z4482">
            <v>0</v>
          </cell>
        </row>
        <row r="4483">
          <cell r="V4483">
            <v>0</v>
          </cell>
          <cell r="Z4483">
            <v>0</v>
          </cell>
        </row>
        <row r="4484">
          <cell r="V4484">
            <v>0</v>
          </cell>
          <cell r="Z4484">
            <v>0</v>
          </cell>
        </row>
        <row r="4485">
          <cell r="V4485">
            <v>0</v>
          </cell>
          <cell r="Z4485">
            <v>0</v>
          </cell>
        </row>
        <row r="4486">
          <cell r="V4486">
            <v>0</v>
          </cell>
          <cell r="Z4486">
            <v>0</v>
          </cell>
        </row>
        <row r="4487">
          <cell r="V4487">
            <v>0</v>
          </cell>
          <cell r="Z4487">
            <v>0</v>
          </cell>
        </row>
        <row r="4488">
          <cell r="V4488">
            <v>0</v>
          </cell>
          <cell r="Z4488">
            <v>0</v>
          </cell>
        </row>
        <row r="4489">
          <cell r="V4489">
            <v>0</v>
          </cell>
          <cell r="Z4489">
            <v>0</v>
          </cell>
        </row>
        <row r="4490">
          <cell r="V4490">
            <v>0</v>
          </cell>
          <cell r="Z4490">
            <v>0</v>
          </cell>
        </row>
        <row r="4491">
          <cell r="V4491">
            <v>0</v>
          </cell>
          <cell r="Z4491">
            <v>0</v>
          </cell>
        </row>
        <row r="4492">
          <cell r="V4492">
            <v>0</v>
          </cell>
          <cell r="Z4492">
            <v>0</v>
          </cell>
        </row>
        <row r="4493">
          <cell r="V4493">
            <v>0</v>
          </cell>
          <cell r="Z4493">
            <v>0</v>
          </cell>
        </row>
        <row r="4494">
          <cell r="V4494">
            <v>0</v>
          </cell>
          <cell r="Z4494">
            <v>0</v>
          </cell>
        </row>
        <row r="4495">
          <cell r="V4495">
            <v>0</v>
          </cell>
          <cell r="Z4495">
            <v>0</v>
          </cell>
        </row>
        <row r="4496">
          <cell r="V4496">
            <v>0</v>
          </cell>
          <cell r="Z4496">
            <v>0</v>
          </cell>
        </row>
        <row r="4497">
          <cell r="V4497">
            <v>0</v>
          </cell>
          <cell r="Z4497">
            <v>0</v>
          </cell>
        </row>
        <row r="4498">
          <cell r="V4498">
            <v>0</v>
          </cell>
          <cell r="Z4498">
            <v>0</v>
          </cell>
        </row>
        <row r="4499">
          <cell r="V4499">
            <v>0</v>
          </cell>
          <cell r="Z4499">
            <v>0</v>
          </cell>
        </row>
        <row r="4500">
          <cell r="V4500">
            <v>0</v>
          </cell>
          <cell r="Z4500">
            <v>0</v>
          </cell>
        </row>
        <row r="4501">
          <cell r="V4501">
            <v>0</v>
          </cell>
          <cell r="Z4501">
            <v>0</v>
          </cell>
        </row>
        <row r="4502">
          <cell r="V4502">
            <v>0</v>
          </cell>
          <cell r="Z4502">
            <v>0</v>
          </cell>
        </row>
        <row r="4503">
          <cell r="V4503">
            <v>0</v>
          </cell>
          <cell r="Z4503">
            <v>0</v>
          </cell>
        </row>
        <row r="4504">
          <cell r="V4504">
            <v>0</v>
          </cell>
          <cell r="Z4504">
            <v>0</v>
          </cell>
        </row>
        <row r="4505">
          <cell r="V4505">
            <v>0</v>
          </cell>
          <cell r="Z4505">
            <v>0</v>
          </cell>
        </row>
        <row r="4506">
          <cell r="V4506">
            <v>0</v>
          </cell>
          <cell r="Z4506">
            <v>0</v>
          </cell>
        </row>
        <row r="4507">
          <cell r="V4507">
            <v>0</v>
          </cell>
          <cell r="Z4507">
            <v>0</v>
          </cell>
        </row>
        <row r="4508">
          <cell r="V4508">
            <v>0</v>
          </cell>
          <cell r="Z4508">
            <v>0</v>
          </cell>
        </row>
        <row r="4509">
          <cell r="V4509">
            <v>0</v>
          </cell>
          <cell r="Z4509">
            <v>0</v>
          </cell>
        </row>
        <row r="4510">
          <cell r="V4510">
            <v>0</v>
          </cell>
          <cell r="Z4510">
            <v>0</v>
          </cell>
        </row>
        <row r="4511">
          <cell r="V4511">
            <v>0</v>
          </cell>
          <cell r="Z4511">
            <v>0</v>
          </cell>
        </row>
        <row r="4512">
          <cell r="V4512">
            <v>0</v>
          </cell>
          <cell r="Z4512">
            <v>0</v>
          </cell>
        </row>
        <row r="4513">
          <cell r="V4513">
            <v>0</v>
          </cell>
          <cell r="Z4513">
            <v>0</v>
          </cell>
        </row>
        <row r="4514">
          <cell r="V4514">
            <v>0</v>
          </cell>
          <cell r="Z4514">
            <v>0</v>
          </cell>
        </row>
        <row r="4515">
          <cell r="V4515">
            <v>0</v>
          </cell>
          <cell r="Z4515">
            <v>0</v>
          </cell>
        </row>
        <row r="4516">
          <cell r="V4516">
            <v>0</v>
          </cell>
          <cell r="Z4516">
            <v>0</v>
          </cell>
        </row>
        <row r="4517">
          <cell r="V4517">
            <v>0</v>
          </cell>
          <cell r="Z4517">
            <v>0</v>
          </cell>
        </row>
        <row r="4518">
          <cell r="V4518">
            <v>0</v>
          </cell>
          <cell r="Z4518">
            <v>0</v>
          </cell>
        </row>
        <row r="4519">
          <cell r="V4519">
            <v>0</v>
          </cell>
          <cell r="Z4519">
            <v>0</v>
          </cell>
        </row>
        <row r="4520">
          <cell r="V4520">
            <v>0</v>
          </cell>
          <cell r="Z4520">
            <v>0</v>
          </cell>
        </row>
        <row r="4521">
          <cell r="V4521">
            <v>0</v>
          </cell>
          <cell r="Z4521">
            <v>0</v>
          </cell>
        </row>
        <row r="4522">
          <cell r="V4522">
            <v>0</v>
          </cell>
          <cell r="Z4522">
            <v>0</v>
          </cell>
        </row>
        <row r="4523">
          <cell r="V4523">
            <v>0</v>
          </cell>
          <cell r="Z4523">
            <v>0</v>
          </cell>
        </row>
        <row r="4524">
          <cell r="V4524">
            <v>0</v>
          </cell>
          <cell r="Z4524">
            <v>0</v>
          </cell>
        </row>
        <row r="4525">
          <cell r="V4525">
            <v>0</v>
          </cell>
          <cell r="Z4525">
            <v>0</v>
          </cell>
        </row>
        <row r="4526">
          <cell r="V4526">
            <v>0</v>
          </cell>
          <cell r="Z4526">
            <v>0</v>
          </cell>
        </row>
        <row r="4527">
          <cell r="V4527">
            <v>0</v>
          </cell>
          <cell r="Z4527">
            <v>0</v>
          </cell>
        </row>
        <row r="4528">
          <cell r="V4528">
            <v>0</v>
          </cell>
          <cell r="Z4528">
            <v>0</v>
          </cell>
        </row>
        <row r="4529">
          <cell r="V4529">
            <v>0</v>
          </cell>
          <cell r="Z4529">
            <v>0</v>
          </cell>
        </row>
        <row r="4530">
          <cell r="V4530">
            <v>0</v>
          </cell>
          <cell r="Z4530">
            <v>0</v>
          </cell>
        </row>
        <row r="4531">
          <cell r="V4531">
            <v>0</v>
          </cell>
          <cell r="Z4531">
            <v>0</v>
          </cell>
        </row>
        <row r="4532">
          <cell r="V4532">
            <v>0</v>
          </cell>
          <cell r="Z4532">
            <v>0</v>
          </cell>
        </row>
        <row r="4533">
          <cell r="V4533">
            <v>0</v>
          </cell>
          <cell r="Z4533">
            <v>0</v>
          </cell>
        </row>
        <row r="4534">
          <cell r="V4534">
            <v>0</v>
          </cell>
          <cell r="Z4534">
            <v>0</v>
          </cell>
        </row>
        <row r="4535">
          <cell r="V4535">
            <v>0</v>
          </cell>
          <cell r="Z4535">
            <v>0</v>
          </cell>
        </row>
        <row r="4536">
          <cell r="V4536">
            <v>0</v>
          </cell>
          <cell r="Z4536">
            <v>0</v>
          </cell>
        </row>
        <row r="4537">
          <cell r="V4537">
            <v>0</v>
          </cell>
          <cell r="Z4537">
            <v>0</v>
          </cell>
        </row>
        <row r="4538">
          <cell r="V4538">
            <v>0</v>
          </cell>
          <cell r="Z4538">
            <v>0</v>
          </cell>
        </row>
        <row r="4539">
          <cell r="V4539">
            <v>0</v>
          </cell>
          <cell r="Z4539">
            <v>0</v>
          </cell>
        </row>
        <row r="4540">
          <cell r="V4540">
            <v>0</v>
          </cell>
          <cell r="Z4540">
            <v>0</v>
          </cell>
        </row>
        <row r="4541">
          <cell r="V4541">
            <v>0</v>
          </cell>
          <cell r="Z4541">
            <v>0</v>
          </cell>
        </row>
        <row r="4542">
          <cell r="V4542">
            <v>0</v>
          </cell>
          <cell r="Z4542">
            <v>0</v>
          </cell>
        </row>
        <row r="4543">
          <cell r="V4543">
            <v>0</v>
          </cell>
          <cell r="Z4543">
            <v>0</v>
          </cell>
        </row>
        <row r="4544">
          <cell r="V4544">
            <v>0</v>
          </cell>
          <cell r="Z4544">
            <v>0</v>
          </cell>
        </row>
        <row r="4545">
          <cell r="V4545">
            <v>0</v>
          </cell>
          <cell r="Z4545">
            <v>0</v>
          </cell>
        </row>
        <row r="4546">
          <cell r="V4546">
            <v>0</v>
          </cell>
          <cell r="Z4546">
            <v>0</v>
          </cell>
        </row>
        <row r="4547">
          <cell r="V4547">
            <v>0</v>
          </cell>
          <cell r="Z4547">
            <v>0</v>
          </cell>
        </row>
        <row r="4548">
          <cell r="V4548">
            <v>0</v>
          </cell>
          <cell r="Z4548">
            <v>0</v>
          </cell>
        </row>
        <row r="4549">
          <cell r="V4549">
            <v>0</v>
          </cell>
          <cell r="Z4549">
            <v>0</v>
          </cell>
        </row>
        <row r="4550">
          <cell r="V4550">
            <v>0</v>
          </cell>
          <cell r="Z4550">
            <v>0</v>
          </cell>
        </row>
        <row r="4551">
          <cell r="V4551">
            <v>0</v>
          </cell>
          <cell r="Z4551">
            <v>0</v>
          </cell>
        </row>
        <row r="4552">
          <cell r="V4552">
            <v>0</v>
          </cell>
          <cell r="Z4552">
            <v>0</v>
          </cell>
        </row>
        <row r="4553">
          <cell r="V4553">
            <v>0</v>
          </cell>
          <cell r="Z4553">
            <v>0</v>
          </cell>
        </row>
        <row r="4554">
          <cell r="V4554">
            <v>0</v>
          </cell>
          <cell r="Z4554">
            <v>0</v>
          </cell>
        </row>
        <row r="4555">
          <cell r="V4555">
            <v>0</v>
          </cell>
          <cell r="Z4555">
            <v>0</v>
          </cell>
        </row>
        <row r="4556">
          <cell r="V4556">
            <v>0</v>
          </cell>
          <cell r="Z4556">
            <v>0</v>
          </cell>
        </row>
        <row r="4557">
          <cell r="V4557">
            <v>0</v>
          </cell>
          <cell r="Z4557">
            <v>0</v>
          </cell>
        </row>
        <row r="4558">
          <cell r="V4558">
            <v>0</v>
          </cell>
          <cell r="Z4558">
            <v>0</v>
          </cell>
        </row>
        <row r="4559">
          <cell r="V4559">
            <v>0</v>
          </cell>
          <cell r="Z4559">
            <v>0</v>
          </cell>
        </row>
        <row r="4560">
          <cell r="V4560">
            <v>0</v>
          </cell>
          <cell r="Z4560">
            <v>0</v>
          </cell>
        </row>
        <row r="4561">
          <cell r="V4561">
            <v>0</v>
          </cell>
          <cell r="Z4561">
            <v>0</v>
          </cell>
        </row>
        <row r="4562">
          <cell r="V4562">
            <v>0</v>
          </cell>
          <cell r="Z4562">
            <v>0</v>
          </cell>
        </row>
        <row r="4563">
          <cell r="V4563">
            <v>0</v>
          </cell>
          <cell r="Z4563">
            <v>0</v>
          </cell>
        </row>
        <row r="4564">
          <cell r="V4564">
            <v>0</v>
          </cell>
          <cell r="Z4564">
            <v>0</v>
          </cell>
        </row>
        <row r="4565">
          <cell r="V4565">
            <v>0</v>
          </cell>
          <cell r="Z4565">
            <v>0</v>
          </cell>
        </row>
        <row r="4566">
          <cell r="V4566">
            <v>0</v>
          </cell>
          <cell r="Z4566">
            <v>0</v>
          </cell>
        </row>
        <row r="4567">
          <cell r="V4567">
            <v>0</v>
          </cell>
          <cell r="Z4567">
            <v>0</v>
          </cell>
        </row>
        <row r="4568">
          <cell r="V4568">
            <v>0</v>
          </cell>
          <cell r="Z4568">
            <v>0</v>
          </cell>
        </row>
        <row r="4569">
          <cell r="V4569">
            <v>0</v>
          </cell>
          <cell r="Z4569">
            <v>0</v>
          </cell>
        </row>
        <row r="4570">
          <cell r="V4570">
            <v>0</v>
          </cell>
          <cell r="Z4570">
            <v>0</v>
          </cell>
        </row>
        <row r="4571">
          <cell r="V4571">
            <v>0</v>
          </cell>
          <cell r="Z4571">
            <v>0</v>
          </cell>
        </row>
        <row r="4572">
          <cell r="V4572">
            <v>0</v>
          </cell>
          <cell r="Z4572">
            <v>0</v>
          </cell>
        </row>
        <row r="4573">
          <cell r="V4573">
            <v>0</v>
          </cell>
          <cell r="Z4573">
            <v>0</v>
          </cell>
        </row>
        <row r="4574">
          <cell r="V4574">
            <v>0</v>
          </cell>
          <cell r="Z4574">
            <v>0</v>
          </cell>
        </row>
        <row r="4575">
          <cell r="V4575">
            <v>0</v>
          </cell>
          <cell r="Z4575">
            <v>0</v>
          </cell>
        </row>
        <row r="4576">
          <cell r="V4576">
            <v>0</v>
          </cell>
          <cell r="Z4576">
            <v>0</v>
          </cell>
        </row>
        <row r="4577">
          <cell r="V4577">
            <v>0</v>
          </cell>
          <cell r="Z4577">
            <v>0</v>
          </cell>
        </row>
        <row r="4578">
          <cell r="V4578">
            <v>0</v>
          </cell>
          <cell r="Z4578">
            <v>0</v>
          </cell>
        </row>
        <row r="4579">
          <cell r="V4579">
            <v>0</v>
          </cell>
          <cell r="Z4579">
            <v>0</v>
          </cell>
        </row>
        <row r="4580">
          <cell r="V4580">
            <v>0</v>
          </cell>
          <cell r="Z4580">
            <v>0</v>
          </cell>
        </row>
        <row r="4581">
          <cell r="V4581">
            <v>0</v>
          </cell>
          <cell r="Z4581">
            <v>0</v>
          </cell>
        </row>
        <row r="4582">
          <cell r="V4582">
            <v>0</v>
          </cell>
          <cell r="Z4582">
            <v>0</v>
          </cell>
        </row>
        <row r="4583">
          <cell r="V4583">
            <v>0</v>
          </cell>
          <cell r="Z4583">
            <v>0</v>
          </cell>
        </row>
        <row r="4584">
          <cell r="V4584">
            <v>0</v>
          </cell>
          <cell r="Z4584">
            <v>0</v>
          </cell>
        </row>
        <row r="4585">
          <cell r="V4585">
            <v>0</v>
          </cell>
          <cell r="Z4585">
            <v>0</v>
          </cell>
        </row>
        <row r="4586">
          <cell r="V4586">
            <v>0</v>
          </cell>
          <cell r="Z4586">
            <v>0</v>
          </cell>
        </row>
        <row r="4587">
          <cell r="V4587">
            <v>0</v>
          </cell>
          <cell r="Z4587">
            <v>0</v>
          </cell>
        </row>
        <row r="4588">
          <cell r="V4588">
            <v>0</v>
          </cell>
          <cell r="Z4588">
            <v>0</v>
          </cell>
        </row>
        <row r="4589">
          <cell r="V4589">
            <v>0</v>
          </cell>
          <cell r="Z4589">
            <v>0</v>
          </cell>
        </row>
        <row r="4590">
          <cell r="V4590">
            <v>0</v>
          </cell>
          <cell r="Z4590">
            <v>0</v>
          </cell>
        </row>
        <row r="4591">
          <cell r="V4591">
            <v>0</v>
          </cell>
          <cell r="Z4591">
            <v>0</v>
          </cell>
        </row>
        <row r="4592">
          <cell r="V4592">
            <v>0</v>
          </cell>
          <cell r="Z4592">
            <v>0</v>
          </cell>
        </row>
        <row r="4593">
          <cell r="V4593">
            <v>0</v>
          </cell>
          <cell r="Z4593">
            <v>0</v>
          </cell>
        </row>
        <row r="4594">
          <cell r="V4594">
            <v>0</v>
          </cell>
          <cell r="Z4594">
            <v>0</v>
          </cell>
        </row>
        <row r="4595">
          <cell r="V4595">
            <v>0</v>
          </cell>
          <cell r="Z4595">
            <v>0</v>
          </cell>
        </row>
        <row r="4596">
          <cell r="V4596">
            <v>0</v>
          </cell>
          <cell r="Z4596">
            <v>0</v>
          </cell>
        </row>
        <row r="4597">
          <cell r="V4597">
            <v>0</v>
          </cell>
          <cell r="Z4597">
            <v>0</v>
          </cell>
        </row>
        <row r="4598">
          <cell r="V4598">
            <v>0</v>
          </cell>
          <cell r="Z4598">
            <v>0</v>
          </cell>
        </row>
        <row r="4599">
          <cell r="V4599">
            <v>0</v>
          </cell>
          <cell r="Z4599">
            <v>0</v>
          </cell>
        </row>
        <row r="4600">
          <cell r="V4600">
            <v>0</v>
          </cell>
          <cell r="Z4600">
            <v>0</v>
          </cell>
        </row>
        <row r="4601">
          <cell r="V4601">
            <v>0</v>
          </cell>
          <cell r="Z4601">
            <v>0</v>
          </cell>
        </row>
        <row r="4602">
          <cell r="V4602">
            <v>0</v>
          </cell>
          <cell r="Z4602">
            <v>0</v>
          </cell>
        </row>
        <row r="4603">
          <cell r="V4603">
            <v>0</v>
          </cell>
          <cell r="Z4603">
            <v>0</v>
          </cell>
        </row>
        <row r="4604">
          <cell r="V4604">
            <v>0</v>
          </cell>
          <cell r="Z4604">
            <v>0</v>
          </cell>
        </row>
        <row r="4605">
          <cell r="V4605">
            <v>0</v>
          </cell>
          <cell r="Z4605">
            <v>0</v>
          </cell>
        </row>
        <row r="4606">
          <cell r="V4606">
            <v>0</v>
          </cell>
          <cell r="Z4606">
            <v>0</v>
          </cell>
        </row>
        <row r="4607">
          <cell r="V4607">
            <v>0</v>
          </cell>
          <cell r="Z4607">
            <v>0</v>
          </cell>
        </row>
        <row r="4608">
          <cell r="V4608">
            <v>0</v>
          </cell>
          <cell r="Z4608">
            <v>0</v>
          </cell>
        </row>
        <row r="4609">
          <cell r="V4609">
            <v>0</v>
          </cell>
          <cell r="Z4609">
            <v>0</v>
          </cell>
        </row>
        <row r="4610">
          <cell r="V4610">
            <v>0</v>
          </cell>
          <cell r="Z4610">
            <v>0</v>
          </cell>
        </row>
        <row r="4611">
          <cell r="V4611">
            <v>0</v>
          </cell>
          <cell r="Z4611">
            <v>0</v>
          </cell>
        </row>
        <row r="4612">
          <cell r="V4612">
            <v>0</v>
          </cell>
          <cell r="Z4612">
            <v>0</v>
          </cell>
        </row>
        <row r="4613">
          <cell r="V4613">
            <v>0</v>
          </cell>
          <cell r="Z4613">
            <v>0</v>
          </cell>
        </row>
        <row r="4614">
          <cell r="V4614">
            <v>0</v>
          </cell>
          <cell r="Z4614">
            <v>0</v>
          </cell>
        </row>
        <row r="4615">
          <cell r="V4615">
            <v>0</v>
          </cell>
          <cell r="Z4615">
            <v>0</v>
          </cell>
        </row>
        <row r="4616">
          <cell r="V4616">
            <v>0</v>
          </cell>
          <cell r="Z4616">
            <v>0</v>
          </cell>
        </row>
        <row r="4617">
          <cell r="V4617">
            <v>0</v>
          </cell>
          <cell r="Z4617">
            <v>0</v>
          </cell>
        </row>
        <row r="4618">
          <cell r="V4618">
            <v>0</v>
          </cell>
          <cell r="Z4618">
            <v>0</v>
          </cell>
        </row>
        <row r="4619">
          <cell r="V4619">
            <v>0</v>
          </cell>
          <cell r="Z4619">
            <v>0</v>
          </cell>
        </row>
        <row r="4620">
          <cell r="V4620">
            <v>0</v>
          </cell>
          <cell r="Z4620">
            <v>0</v>
          </cell>
        </row>
        <row r="4621">
          <cell r="V4621">
            <v>0</v>
          </cell>
          <cell r="Z4621">
            <v>0</v>
          </cell>
        </row>
        <row r="4622">
          <cell r="V4622">
            <v>0</v>
          </cell>
          <cell r="Z4622">
            <v>0</v>
          </cell>
        </row>
        <row r="4623">
          <cell r="V4623">
            <v>0</v>
          </cell>
          <cell r="Z4623">
            <v>0</v>
          </cell>
        </row>
        <row r="4624">
          <cell r="V4624">
            <v>0</v>
          </cell>
          <cell r="Z4624">
            <v>0</v>
          </cell>
        </row>
        <row r="4625">
          <cell r="V4625">
            <v>0</v>
          </cell>
          <cell r="Z4625">
            <v>0</v>
          </cell>
        </row>
        <row r="4626">
          <cell r="V4626">
            <v>0</v>
          </cell>
          <cell r="Z4626">
            <v>0</v>
          </cell>
        </row>
        <row r="4627">
          <cell r="V4627">
            <v>0</v>
          </cell>
          <cell r="Z4627">
            <v>0</v>
          </cell>
        </row>
        <row r="4628">
          <cell r="V4628">
            <v>0</v>
          </cell>
          <cell r="Z4628">
            <v>0</v>
          </cell>
        </row>
        <row r="4629">
          <cell r="V4629">
            <v>0</v>
          </cell>
          <cell r="Z4629">
            <v>0</v>
          </cell>
        </row>
        <row r="4630">
          <cell r="V4630">
            <v>0</v>
          </cell>
          <cell r="Z4630">
            <v>0</v>
          </cell>
        </row>
        <row r="4631">
          <cell r="V4631">
            <v>0</v>
          </cell>
          <cell r="Z4631">
            <v>0</v>
          </cell>
        </row>
        <row r="4632">
          <cell r="V4632">
            <v>0</v>
          </cell>
          <cell r="Z4632">
            <v>0</v>
          </cell>
        </row>
        <row r="4633">
          <cell r="V4633">
            <v>0</v>
          </cell>
          <cell r="Z4633">
            <v>0</v>
          </cell>
        </row>
        <row r="4634">
          <cell r="V4634">
            <v>0</v>
          </cell>
          <cell r="Z4634">
            <v>0</v>
          </cell>
        </row>
        <row r="4635">
          <cell r="V4635">
            <v>0</v>
          </cell>
          <cell r="Z4635">
            <v>0</v>
          </cell>
        </row>
        <row r="4636">
          <cell r="V4636">
            <v>0</v>
          </cell>
          <cell r="Z4636">
            <v>0</v>
          </cell>
        </row>
        <row r="4637">
          <cell r="V4637">
            <v>0</v>
          </cell>
          <cell r="Z4637">
            <v>0</v>
          </cell>
        </row>
        <row r="4638">
          <cell r="V4638">
            <v>0</v>
          </cell>
          <cell r="Z4638">
            <v>0</v>
          </cell>
        </row>
        <row r="4639">
          <cell r="V4639">
            <v>0</v>
          </cell>
          <cell r="Z4639">
            <v>0</v>
          </cell>
        </row>
        <row r="4640">
          <cell r="V4640">
            <v>0</v>
          </cell>
          <cell r="Z4640">
            <v>0</v>
          </cell>
        </row>
        <row r="4641">
          <cell r="V4641">
            <v>0</v>
          </cell>
          <cell r="Z4641">
            <v>0</v>
          </cell>
        </row>
        <row r="4642">
          <cell r="V4642">
            <v>0</v>
          </cell>
          <cell r="Z4642">
            <v>0</v>
          </cell>
        </row>
        <row r="4643">
          <cell r="V4643">
            <v>0</v>
          </cell>
          <cell r="Z4643">
            <v>0</v>
          </cell>
        </row>
        <row r="4644">
          <cell r="V4644">
            <v>0</v>
          </cell>
          <cell r="Z4644">
            <v>0</v>
          </cell>
        </row>
        <row r="4645">
          <cell r="V4645">
            <v>0</v>
          </cell>
          <cell r="Z4645">
            <v>0</v>
          </cell>
        </row>
        <row r="4646">
          <cell r="V4646">
            <v>0</v>
          </cell>
          <cell r="Z4646">
            <v>0</v>
          </cell>
        </row>
        <row r="4647">
          <cell r="V4647">
            <v>0</v>
          </cell>
          <cell r="Z4647">
            <v>0</v>
          </cell>
        </row>
        <row r="4648">
          <cell r="V4648">
            <v>0</v>
          </cell>
          <cell r="Z4648">
            <v>0</v>
          </cell>
        </row>
        <row r="4649">
          <cell r="V4649">
            <v>0</v>
          </cell>
          <cell r="Z4649">
            <v>0</v>
          </cell>
        </row>
        <row r="4650">
          <cell r="V4650">
            <v>0</v>
          </cell>
          <cell r="Z4650">
            <v>0</v>
          </cell>
        </row>
        <row r="4651">
          <cell r="V4651">
            <v>0</v>
          </cell>
          <cell r="Z4651">
            <v>0</v>
          </cell>
        </row>
        <row r="4652">
          <cell r="V4652">
            <v>0</v>
          </cell>
          <cell r="Z4652">
            <v>0</v>
          </cell>
        </row>
        <row r="4653">
          <cell r="V4653">
            <v>0</v>
          </cell>
          <cell r="Z4653">
            <v>0</v>
          </cell>
        </row>
        <row r="4654">
          <cell r="V4654">
            <v>0</v>
          </cell>
          <cell r="Z4654">
            <v>0</v>
          </cell>
        </row>
        <row r="4655">
          <cell r="V4655">
            <v>0</v>
          </cell>
          <cell r="Z4655">
            <v>0</v>
          </cell>
        </row>
        <row r="4656">
          <cell r="V4656">
            <v>0</v>
          </cell>
          <cell r="Z4656">
            <v>0</v>
          </cell>
        </row>
        <row r="4657">
          <cell r="V4657">
            <v>0</v>
          </cell>
          <cell r="Z4657">
            <v>0</v>
          </cell>
        </row>
        <row r="4658">
          <cell r="V4658">
            <v>0</v>
          </cell>
          <cell r="Z4658">
            <v>0</v>
          </cell>
        </row>
        <row r="4659">
          <cell r="V4659">
            <v>0</v>
          </cell>
          <cell r="Z4659">
            <v>0</v>
          </cell>
        </row>
        <row r="4660">
          <cell r="V4660">
            <v>0</v>
          </cell>
          <cell r="Z4660">
            <v>0</v>
          </cell>
        </row>
        <row r="4661">
          <cell r="V4661">
            <v>0</v>
          </cell>
          <cell r="Z4661">
            <v>0</v>
          </cell>
        </row>
        <row r="4662">
          <cell r="V4662">
            <v>0</v>
          </cell>
          <cell r="Z4662">
            <v>0</v>
          </cell>
        </row>
        <row r="4663">
          <cell r="V4663">
            <v>0</v>
          </cell>
          <cell r="Z4663">
            <v>0</v>
          </cell>
        </row>
        <row r="4664">
          <cell r="V4664">
            <v>0</v>
          </cell>
          <cell r="Z4664">
            <v>0</v>
          </cell>
        </row>
        <row r="4665">
          <cell r="V4665">
            <v>0</v>
          </cell>
          <cell r="Z4665">
            <v>0</v>
          </cell>
        </row>
        <row r="4666">
          <cell r="V4666">
            <v>0</v>
          </cell>
          <cell r="Z4666">
            <v>0</v>
          </cell>
        </row>
        <row r="4667">
          <cell r="V4667">
            <v>0</v>
          </cell>
          <cell r="Z4667">
            <v>0</v>
          </cell>
        </row>
        <row r="4668">
          <cell r="V4668">
            <v>0</v>
          </cell>
          <cell r="Z4668">
            <v>0</v>
          </cell>
        </row>
        <row r="4669">
          <cell r="V4669">
            <v>0</v>
          </cell>
          <cell r="Z4669">
            <v>0</v>
          </cell>
        </row>
        <row r="4670">
          <cell r="V4670">
            <v>0</v>
          </cell>
          <cell r="Z4670">
            <v>0</v>
          </cell>
        </row>
        <row r="4671">
          <cell r="V4671">
            <v>0</v>
          </cell>
          <cell r="Z4671">
            <v>0</v>
          </cell>
        </row>
        <row r="4672">
          <cell r="V4672">
            <v>0</v>
          </cell>
          <cell r="Z4672">
            <v>0</v>
          </cell>
        </row>
        <row r="4673">
          <cell r="V4673">
            <v>0</v>
          </cell>
          <cell r="Z4673">
            <v>0</v>
          </cell>
        </row>
        <row r="4674">
          <cell r="V4674">
            <v>0</v>
          </cell>
          <cell r="Z4674">
            <v>0</v>
          </cell>
        </row>
        <row r="4675">
          <cell r="V4675">
            <v>0</v>
          </cell>
          <cell r="Z4675">
            <v>0</v>
          </cell>
        </row>
        <row r="4676">
          <cell r="V4676">
            <v>0</v>
          </cell>
          <cell r="Z4676">
            <v>0</v>
          </cell>
        </row>
        <row r="4677">
          <cell r="V4677">
            <v>0</v>
          </cell>
          <cell r="Z4677">
            <v>0</v>
          </cell>
        </row>
        <row r="4678">
          <cell r="V4678">
            <v>0</v>
          </cell>
          <cell r="Z4678">
            <v>0</v>
          </cell>
        </row>
        <row r="4679">
          <cell r="V4679">
            <v>0</v>
          </cell>
          <cell r="Z4679">
            <v>0</v>
          </cell>
        </row>
        <row r="4680">
          <cell r="V4680">
            <v>0</v>
          </cell>
          <cell r="Z4680">
            <v>0</v>
          </cell>
        </row>
        <row r="4681">
          <cell r="V4681">
            <v>0</v>
          </cell>
          <cell r="Z4681">
            <v>0</v>
          </cell>
        </row>
        <row r="4682">
          <cell r="V4682">
            <v>0</v>
          </cell>
          <cell r="Z4682">
            <v>0</v>
          </cell>
        </row>
        <row r="4683">
          <cell r="V4683">
            <v>0</v>
          </cell>
          <cell r="Z4683">
            <v>0</v>
          </cell>
        </row>
        <row r="4684">
          <cell r="V4684">
            <v>0</v>
          </cell>
          <cell r="Z4684">
            <v>0</v>
          </cell>
        </row>
        <row r="4685">
          <cell r="V4685">
            <v>0</v>
          </cell>
          <cell r="Z4685">
            <v>0</v>
          </cell>
        </row>
        <row r="4686">
          <cell r="V4686">
            <v>0</v>
          </cell>
          <cell r="Z4686">
            <v>0</v>
          </cell>
        </row>
        <row r="4687">
          <cell r="V4687">
            <v>0</v>
          </cell>
          <cell r="Z4687">
            <v>0</v>
          </cell>
        </row>
        <row r="4688">
          <cell r="V4688">
            <v>0</v>
          </cell>
          <cell r="Z4688">
            <v>0</v>
          </cell>
        </row>
        <row r="4689">
          <cell r="V4689">
            <v>0</v>
          </cell>
          <cell r="Z4689">
            <v>0</v>
          </cell>
        </row>
        <row r="4690">
          <cell r="V4690">
            <v>0</v>
          </cell>
          <cell r="Z4690">
            <v>0</v>
          </cell>
        </row>
        <row r="4691">
          <cell r="V4691">
            <v>0</v>
          </cell>
          <cell r="Z4691">
            <v>0</v>
          </cell>
        </row>
        <row r="4692">
          <cell r="V4692">
            <v>0</v>
          </cell>
          <cell r="Z4692">
            <v>0</v>
          </cell>
        </row>
        <row r="4693">
          <cell r="V4693">
            <v>0</v>
          </cell>
          <cell r="Z4693">
            <v>0</v>
          </cell>
        </row>
        <row r="4694">
          <cell r="V4694">
            <v>0</v>
          </cell>
          <cell r="Z4694">
            <v>0</v>
          </cell>
        </row>
        <row r="4695">
          <cell r="V4695">
            <v>0</v>
          </cell>
          <cell r="Z4695">
            <v>0</v>
          </cell>
        </row>
        <row r="4696">
          <cell r="V4696">
            <v>0</v>
          </cell>
          <cell r="Z4696">
            <v>0</v>
          </cell>
        </row>
        <row r="4697">
          <cell r="V4697">
            <v>0</v>
          </cell>
          <cell r="Z4697">
            <v>0</v>
          </cell>
        </row>
        <row r="4698">
          <cell r="V4698">
            <v>0</v>
          </cell>
          <cell r="Z4698">
            <v>0</v>
          </cell>
        </row>
        <row r="4699">
          <cell r="V4699">
            <v>0</v>
          </cell>
          <cell r="Z4699">
            <v>0</v>
          </cell>
        </row>
        <row r="4700">
          <cell r="V4700">
            <v>0</v>
          </cell>
          <cell r="Z4700">
            <v>0</v>
          </cell>
        </row>
        <row r="4701">
          <cell r="V4701">
            <v>0</v>
          </cell>
          <cell r="Z4701">
            <v>0</v>
          </cell>
        </row>
        <row r="4702">
          <cell r="V4702">
            <v>0</v>
          </cell>
          <cell r="Z4702">
            <v>0</v>
          </cell>
        </row>
        <row r="4703">
          <cell r="V4703">
            <v>0</v>
          </cell>
          <cell r="Z4703">
            <v>0</v>
          </cell>
        </row>
        <row r="4704">
          <cell r="V4704">
            <v>0</v>
          </cell>
          <cell r="Z4704">
            <v>0</v>
          </cell>
        </row>
        <row r="4705">
          <cell r="V4705">
            <v>0</v>
          </cell>
          <cell r="Z4705">
            <v>0</v>
          </cell>
        </row>
        <row r="4706">
          <cell r="V4706">
            <v>0</v>
          </cell>
          <cell r="Z4706">
            <v>0</v>
          </cell>
        </row>
        <row r="4707">
          <cell r="V4707">
            <v>0</v>
          </cell>
          <cell r="Z4707">
            <v>0</v>
          </cell>
        </row>
        <row r="4708">
          <cell r="V4708">
            <v>0</v>
          </cell>
          <cell r="Z4708">
            <v>0</v>
          </cell>
        </row>
        <row r="4709">
          <cell r="V4709">
            <v>0</v>
          </cell>
          <cell r="Z4709">
            <v>0</v>
          </cell>
        </row>
        <row r="4710">
          <cell r="V4710">
            <v>0</v>
          </cell>
          <cell r="Z4710">
            <v>0</v>
          </cell>
        </row>
        <row r="4711">
          <cell r="V4711">
            <v>0</v>
          </cell>
          <cell r="Z4711">
            <v>0</v>
          </cell>
        </row>
        <row r="4712">
          <cell r="V4712">
            <v>0</v>
          </cell>
          <cell r="Z4712">
            <v>0</v>
          </cell>
        </row>
        <row r="4713">
          <cell r="V4713">
            <v>0</v>
          </cell>
          <cell r="Z4713">
            <v>0</v>
          </cell>
        </row>
        <row r="4714">
          <cell r="V4714">
            <v>0</v>
          </cell>
          <cell r="Z4714">
            <v>0</v>
          </cell>
        </row>
        <row r="4715">
          <cell r="V4715">
            <v>0</v>
          </cell>
          <cell r="Z4715">
            <v>0</v>
          </cell>
        </row>
        <row r="4716">
          <cell r="V4716">
            <v>0</v>
          </cell>
          <cell r="Z4716">
            <v>0</v>
          </cell>
        </row>
        <row r="4717">
          <cell r="V4717">
            <v>0</v>
          </cell>
          <cell r="Z4717">
            <v>0</v>
          </cell>
        </row>
        <row r="4718">
          <cell r="V4718">
            <v>0</v>
          </cell>
          <cell r="Z4718">
            <v>0</v>
          </cell>
        </row>
        <row r="4719">
          <cell r="V4719">
            <v>0</v>
          </cell>
          <cell r="Z4719">
            <v>0</v>
          </cell>
        </row>
        <row r="4720">
          <cell r="V4720">
            <v>0</v>
          </cell>
          <cell r="Z4720">
            <v>0</v>
          </cell>
        </row>
        <row r="4721">
          <cell r="V4721">
            <v>0</v>
          </cell>
          <cell r="Z4721">
            <v>0</v>
          </cell>
        </row>
        <row r="4722">
          <cell r="V4722">
            <v>0</v>
          </cell>
          <cell r="Z4722">
            <v>0</v>
          </cell>
        </row>
        <row r="4723">
          <cell r="V4723">
            <v>0</v>
          </cell>
          <cell r="Z4723">
            <v>0</v>
          </cell>
        </row>
        <row r="4724">
          <cell r="V4724">
            <v>0</v>
          </cell>
          <cell r="Z4724">
            <v>0</v>
          </cell>
        </row>
        <row r="4725">
          <cell r="V4725">
            <v>0</v>
          </cell>
          <cell r="Z4725">
            <v>0</v>
          </cell>
        </row>
        <row r="4726">
          <cell r="V4726">
            <v>0</v>
          </cell>
          <cell r="Z4726">
            <v>0</v>
          </cell>
        </row>
        <row r="4727">
          <cell r="V4727">
            <v>0</v>
          </cell>
          <cell r="Z4727">
            <v>0</v>
          </cell>
        </row>
        <row r="4728">
          <cell r="V4728">
            <v>0</v>
          </cell>
          <cell r="Z4728">
            <v>0</v>
          </cell>
        </row>
        <row r="4729">
          <cell r="V4729">
            <v>0</v>
          </cell>
          <cell r="Z4729">
            <v>0</v>
          </cell>
        </row>
        <row r="4730">
          <cell r="V4730">
            <v>0</v>
          </cell>
          <cell r="Z4730">
            <v>0</v>
          </cell>
        </row>
        <row r="4731">
          <cell r="V4731">
            <v>0</v>
          </cell>
          <cell r="Z4731">
            <v>0</v>
          </cell>
        </row>
        <row r="4732">
          <cell r="V4732">
            <v>0</v>
          </cell>
          <cell r="Z4732">
            <v>0</v>
          </cell>
        </row>
        <row r="4733">
          <cell r="V4733">
            <v>0</v>
          </cell>
          <cell r="Z4733">
            <v>0</v>
          </cell>
        </row>
        <row r="4734">
          <cell r="V4734">
            <v>0</v>
          </cell>
          <cell r="Z4734">
            <v>0</v>
          </cell>
        </row>
        <row r="4735">
          <cell r="V4735">
            <v>0</v>
          </cell>
          <cell r="Z4735">
            <v>0</v>
          </cell>
        </row>
        <row r="4736">
          <cell r="V4736">
            <v>0</v>
          </cell>
          <cell r="Z4736">
            <v>0</v>
          </cell>
        </row>
        <row r="4737">
          <cell r="V4737">
            <v>0</v>
          </cell>
          <cell r="Z4737">
            <v>0</v>
          </cell>
        </row>
        <row r="4738">
          <cell r="V4738">
            <v>0</v>
          </cell>
          <cell r="Z4738">
            <v>0</v>
          </cell>
        </row>
        <row r="4739">
          <cell r="V4739">
            <v>0</v>
          </cell>
          <cell r="Z4739">
            <v>0</v>
          </cell>
        </row>
        <row r="4740">
          <cell r="V4740">
            <v>0</v>
          </cell>
          <cell r="Z4740">
            <v>0</v>
          </cell>
        </row>
        <row r="4741">
          <cell r="V4741">
            <v>0</v>
          </cell>
          <cell r="Z4741">
            <v>0</v>
          </cell>
        </row>
        <row r="4742">
          <cell r="V4742">
            <v>0</v>
          </cell>
          <cell r="Z4742">
            <v>0</v>
          </cell>
        </row>
        <row r="4743">
          <cell r="V4743">
            <v>0</v>
          </cell>
          <cell r="Z4743">
            <v>0</v>
          </cell>
        </row>
        <row r="4744">
          <cell r="V4744">
            <v>0</v>
          </cell>
          <cell r="Z4744">
            <v>0</v>
          </cell>
        </row>
        <row r="4745">
          <cell r="V4745">
            <v>0</v>
          </cell>
          <cell r="Z4745">
            <v>0</v>
          </cell>
        </row>
        <row r="4746">
          <cell r="V4746">
            <v>0</v>
          </cell>
          <cell r="Z4746">
            <v>0</v>
          </cell>
        </row>
        <row r="4747">
          <cell r="V4747">
            <v>0</v>
          </cell>
          <cell r="Z4747">
            <v>0</v>
          </cell>
        </row>
        <row r="4748">
          <cell r="V4748">
            <v>0</v>
          </cell>
          <cell r="Z4748">
            <v>0</v>
          </cell>
        </row>
        <row r="4749">
          <cell r="V4749">
            <v>0</v>
          </cell>
          <cell r="Z4749">
            <v>0</v>
          </cell>
        </row>
        <row r="4750">
          <cell r="V4750">
            <v>0</v>
          </cell>
          <cell r="Z4750">
            <v>0</v>
          </cell>
        </row>
        <row r="4751">
          <cell r="V4751">
            <v>0</v>
          </cell>
          <cell r="Z4751">
            <v>0</v>
          </cell>
        </row>
        <row r="4752">
          <cell r="V4752">
            <v>0</v>
          </cell>
          <cell r="Z4752">
            <v>0</v>
          </cell>
        </row>
        <row r="4753">
          <cell r="V4753">
            <v>0</v>
          </cell>
          <cell r="Z4753">
            <v>0</v>
          </cell>
        </row>
        <row r="4754">
          <cell r="V4754">
            <v>0</v>
          </cell>
          <cell r="Z4754">
            <v>0</v>
          </cell>
        </row>
        <row r="4755">
          <cell r="V4755">
            <v>0</v>
          </cell>
          <cell r="Z4755">
            <v>0</v>
          </cell>
        </row>
        <row r="4756">
          <cell r="V4756">
            <v>0</v>
          </cell>
          <cell r="Z4756">
            <v>0</v>
          </cell>
        </row>
        <row r="4757">
          <cell r="V4757">
            <v>0</v>
          </cell>
          <cell r="Z4757">
            <v>0</v>
          </cell>
        </row>
        <row r="4758">
          <cell r="V4758">
            <v>0</v>
          </cell>
          <cell r="Z4758">
            <v>0</v>
          </cell>
        </row>
        <row r="4759">
          <cell r="V4759">
            <v>0</v>
          </cell>
          <cell r="Z4759">
            <v>0</v>
          </cell>
        </row>
        <row r="4760">
          <cell r="V4760">
            <v>0</v>
          </cell>
          <cell r="Z4760">
            <v>0</v>
          </cell>
        </row>
        <row r="4761">
          <cell r="V4761">
            <v>0</v>
          </cell>
          <cell r="Z4761">
            <v>0</v>
          </cell>
        </row>
        <row r="4762">
          <cell r="V4762">
            <v>0</v>
          </cell>
          <cell r="Z4762">
            <v>0</v>
          </cell>
        </row>
        <row r="4763">
          <cell r="V4763">
            <v>0</v>
          </cell>
          <cell r="Z4763">
            <v>0</v>
          </cell>
        </row>
        <row r="4764">
          <cell r="V4764">
            <v>0</v>
          </cell>
          <cell r="Z4764">
            <v>0</v>
          </cell>
        </row>
        <row r="4765">
          <cell r="V4765">
            <v>0</v>
          </cell>
          <cell r="Z4765">
            <v>0</v>
          </cell>
        </row>
        <row r="4766">
          <cell r="V4766">
            <v>0</v>
          </cell>
          <cell r="Z4766">
            <v>0</v>
          </cell>
        </row>
        <row r="4767">
          <cell r="V4767">
            <v>0</v>
          </cell>
          <cell r="Z4767">
            <v>0</v>
          </cell>
        </row>
        <row r="4768">
          <cell r="V4768">
            <v>0</v>
          </cell>
          <cell r="Z4768">
            <v>0</v>
          </cell>
        </row>
        <row r="4769">
          <cell r="V4769">
            <v>0</v>
          </cell>
          <cell r="Z4769">
            <v>0</v>
          </cell>
        </row>
        <row r="4770">
          <cell r="V4770">
            <v>0</v>
          </cell>
          <cell r="Z4770">
            <v>0</v>
          </cell>
        </row>
        <row r="4771">
          <cell r="V4771">
            <v>0</v>
          </cell>
          <cell r="Z4771">
            <v>0</v>
          </cell>
        </row>
        <row r="4772">
          <cell r="V4772">
            <v>0</v>
          </cell>
          <cell r="Z4772">
            <v>0</v>
          </cell>
        </row>
        <row r="4773">
          <cell r="V4773">
            <v>0</v>
          </cell>
          <cell r="Z4773">
            <v>0</v>
          </cell>
        </row>
        <row r="4774">
          <cell r="V4774">
            <v>0</v>
          </cell>
          <cell r="Z4774">
            <v>0</v>
          </cell>
        </row>
        <row r="4775">
          <cell r="V4775">
            <v>0</v>
          </cell>
          <cell r="Z4775">
            <v>0</v>
          </cell>
        </row>
        <row r="4776">
          <cell r="V4776">
            <v>0</v>
          </cell>
          <cell r="Z4776">
            <v>0</v>
          </cell>
        </row>
        <row r="4777">
          <cell r="V4777">
            <v>0</v>
          </cell>
          <cell r="Z4777">
            <v>0</v>
          </cell>
        </row>
        <row r="4778">
          <cell r="V4778">
            <v>0</v>
          </cell>
          <cell r="Z4778">
            <v>0</v>
          </cell>
        </row>
        <row r="4779">
          <cell r="V4779">
            <v>0</v>
          </cell>
          <cell r="Z4779">
            <v>0</v>
          </cell>
        </row>
        <row r="4780">
          <cell r="V4780">
            <v>0</v>
          </cell>
          <cell r="Z4780">
            <v>0</v>
          </cell>
        </row>
        <row r="4781">
          <cell r="V4781">
            <v>0</v>
          </cell>
          <cell r="Z4781">
            <v>0</v>
          </cell>
        </row>
        <row r="4782">
          <cell r="V4782">
            <v>0</v>
          </cell>
          <cell r="Z4782">
            <v>0</v>
          </cell>
        </row>
        <row r="4783">
          <cell r="V4783">
            <v>0</v>
          </cell>
          <cell r="Z4783">
            <v>0</v>
          </cell>
        </row>
        <row r="4784">
          <cell r="V4784">
            <v>0</v>
          </cell>
          <cell r="Z4784">
            <v>0</v>
          </cell>
        </row>
        <row r="4785">
          <cell r="V4785">
            <v>0</v>
          </cell>
          <cell r="Z4785">
            <v>0</v>
          </cell>
        </row>
        <row r="4786">
          <cell r="V4786">
            <v>0</v>
          </cell>
          <cell r="Z4786">
            <v>0</v>
          </cell>
        </row>
        <row r="4787">
          <cell r="V4787">
            <v>0</v>
          </cell>
          <cell r="Z4787">
            <v>0</v>
          </cell>
        </row>
        <row r="4788">
          <cell r="V4788">
            <v>0</v>
          </cell>
          <cell r="Z4788">
            <v>0</v>
          </cell>
        </row>
        <row r="4789">
          <cell r="V4789">
            <v>0</v>
          </cell>
          <cell r="Z4789">
            <v>0</v>
          </cell>
        </row>
        <row r="4790">
          <cell r="V4790">
            <v>0</v>
          </cell>
          <cell r="Z4790">
            <v>0</v>
          </cell>
        </row>
        <row r="4791">
          <cell r="V4791">
            <v>0</v>
          </cell>
          <cell r="Z4791">
            <v>0</v>
          </cell>
        </row>
        <row r="4792">
          <cell r="V4792">
            <v>0</v>
          </cell>
          <cell r="Z4792">
            <v>0</v>
          </cell>
        </row>
        <row r="4793">
          <cell r="V4793">
            <v>0</v>
          </cell>
          <cell r="Z4793">
            <v>0</v>
          </cell>
        </row>
        <row r="4794">
          <cell r="V4794">
            <v>0</v>
          </cell>
          <cell r="Z4794">
            <v>0</v>
          </cell>
        </row>
        <row r="4795">
          <cell r="V4795">
            <v>0</v>
          </cell>
          <cell r="Z4795">
            <v>0</v>
          </cell>
        </row>
        <row r="4796">
          <cell r="V4796">
            <v>0</v>
          </cell>
          <cell r="Z4796">
            <v>0</v>
          </cell>
        </row>
        <row r="4797">
          <cell r="V4797">
            <v>0</v>
          </cell>
          <cell r="Z4797">
            <v>0</v>
          </cell>
        </row>
        <row r="4798">
          <cell r="V4798">
            <v>0</v>
          </cell>
          <cell r="Z4798">
            <v>0</v>
          </cell>
        </row>
        <row r="4799">
          <cell r="V4799">
            <v>0</v>
          </cell>
          <cell r="Z4799">
            <v>0</v>
          </cell>
        </row>
        <row r="4800">
          <cell r="V4800">
            <v>0</v>
          </cell>
          <cell r="Z4800">
            <v>0</v>
          </cell>
        </row>
        <row r="4801">
          <cell r="V4801">
            <v>0</v>
          </cell>
          <cell r="Z4801">
            <v>0</v>
          </cell>
        </row>
        <row r="4802">
          <cell r="V4802">
            <v>0</v>
          </cell>
          <cell r="Z4802">
            <v>0</v>
          </cell>
        </row>
        <row r="4803">
          <cell r="V4803">
            <v>0</v>
          </cell>
          <cell r="Z4803">
            <v>0</v>
          </cell>
        </row>
        <row r="4804">
          <cell r="V4804">
            <v>0</v>
          </cell>
          <cell r="Z4804">
            <v>0</v>
          </cell>
        </row>
        <row r="4805">
          <cell r="V4805">
            <v>0</v>
          </cell>
          <cell r="Z4805">
            <v>0</v>
          </cell>
        </row>
        <row r="4806">
          <cell r="V4806">
            <v>0</v>
          </cell>
          <cell r="Z4806">
            <v>0</v>
          </cell>
        </row>
        <row r="4807">
          <cell r="V4807">
            <v>0</v>
          </cell>
          <cell r="Z4807">
            <v>0</v>
          </cell>
        </row>
        <row r="4808">
          <cell r="V4808">
            <v>0</v>
          </cell>
          <cell r="Z4808">
            <v>0</v>
          </cell>
        </row>
        <row r="4809">
          <cell r="V4809">
            <v>0</v>
          </cell>
          <cell r="Z4809">
            <v>0</v>
          </cell>
        </row>
        <row r="4810">
          <cell r="V4810">
            <v>0</v>
          </cell>
          <cell r="Z4810">
            <v>0</v>
          </cell>
        </row>
        <row r="4811">
          <cell r="V4811">
            <v>0</v>
          </cell>
          <cell r="Z4811">
            <v>0</v>
          </cell>
        </row>
        <row r="4812">
          <cell r="V4812">
            <v>0</v>
          </cell>
          <cell r="Z4812">
            <v>0</v>
          </cell>
        </row>
        <row r="4813">
          <cell r="V4813">
            <v>0</v>
          </cell>
          <cell r="Z4813">
            <v>0</v>
          </cell>
        </row>
        <row r="4814">
          <cell r="V4814">
            <v>0</v>
          </cell>
          <cell r="Z4814">
            <v>0</v>
          </cell>
        </row>
        <row r="4815">
          <cell r="V4815">
            <v>0</v>
          </cell>
          <cell r="Z4815">
            <v>0</v>
          </cell>
        </row>
        <row r="4816">
          <cell r="V4816">
            <v>0</v>
          </cell>
          <cell r="Z4816">
            <v>0</v>
          </cell>
        </row>
        <row r="4817">
          <cell r="V4817">
            <v>0</v>
          </cell>
          <cell r="Z4817">
            <v>0</v>
          </cell>
        </row>
        <row r="4818">
          <cell r="V4818">
            <v>0</v>
          </cell>
          <cell r="Z4818">
            <v>0</v>
          </cell>
        </row>
        <row r="4819">
          <cell r="V4819">
            <v>0</v>
          </cell>
          <cell r="Z4819">
            <v>0</v>
          </cell>
        </row>
        <row r="4820">
          <cell r="V4820">
            <v>0</v>
          </cell>
          <cell r="Z4820">
            <v>0</v>
          </cell>
        </row>
        <row r="4821">
          <cell r="V4821">
            <v>0</v>
          </cell>
          <cell r="Z4821">
            <v>0</v>
          </cell>
        </row>
        <row r="4822">
          <cell r="V4822">
            <v>0</v>
          </cell>
          <cell r="Z4822">
            <v>0</v>
          </cell>
        </row>
        <row r="4823">
          <cell r="V4823">
            <v>0</v>
          </cell>
          <cell r="Z4823">
            <v>0</v>
          </cell>
        </row>
        <row r="4824">
          <cell r="V4824">
            <v>0</v>
          </cell>
          <cell r="Z4824">
            <v>0</v>
          </cell>
        </row>
        <row r="4825">
          <cell r="V4825">
            <v>0</v>
          </cell>
          <cell r="Z4825">
            <v>0</v>
          </cell>
        </row>
        <row r="4826">
          <cell r="V4826">
            <v>0</v>
          </cell>
          <cell r="Z4826">
            <v>0</v>
          </cell>
        </row>
        <row r="4827">
          <cell r="V4827">
            <v>0</v>
          </cell>
          <cell r="Z4827">
            <v>0</v>
          </cell>
        </row>
        <row r="4828">
          <cell r="V4828">
            <v>0</v>
          </cell>
          <cell r="Z4828">
            <v>0</v>
          </cell>
        </row>
        <row r="4829">
          <cell r="V4829">
            <v>0</v>
          </cell>
          <cell r="Z4829">
            <v>0</v>
          </cell>
        </row>
        <row r="4830">
          <cell r="V4830">
            <v>0</v>
          </cell>
          <cell r="Z4830">
            <v>0</v>
          </cell>
        </row>
        <row r="4831">
          <cell r="V4831">
            <v>0</v>
          </cell>
          <cell r="Z4831">
            <v>0</v>
          </cell>
        </row>
        <row r="4832">
          <cell r="V4832">
            <v>0</v>
          </cell>
          <cell r="Z4832">
            <v>0</v>
          </cell>
        </row>
        <row r="4833">
          <cell r="V4833">
            <v>0</v>
          </cell>
          <cell r="Z4833">
            <v>0</v>
          </cell>
        </row>
        <row r="4834">
          <cell r="V4834">
            <v>0</v>
          </cell>
          <cell r="Z4834">
            <v>0</v>
          </cell>
        </row>
        <row r="4835">
          <cell r="V4835">
            <v>0</v>
          </cell>
          <cell r="Z4835">
            <v>0</v>
          </cell>
        </row>
        <row r="4836">
          <cell r="V4836">
            <v>0</v>
          </cell>
          <cell r="Z4836">
            <v>0</v>
          </cell>
        </row>
        <row r="4837">
          <cell r="V4837">
            <v>0</v>
          </cell>
          <cell r="Z4837">
            <v>0</v>
          </cell>
        </row>
        <row r="4838">
          <cell r="V4838">
            <v>0</v>
          </cell>
          <cell r="Z4838">
            <v>0</v>
          </cell>
        </row>
        <row r="4839">
          <cell r="V4839">
            <v>0</v>
          </cell>
          <cell r="Z4839">
            <v>0</v>
          </cell>
        </row>
        <row r="4840">
          <cell r="V4840">
            <v>0</v>
          </cell>
          <cell r="Z4840">
            <v>0</v>
          </cell>
        </row>
        <row r="4841">
          <cell r="V4841">
            <v>0</v>
          </cell>
          <cell r="Z4841">
            <v>0</v>
          </cell>
        </row>
        <row r="4842">
          <cell r="V4842">
            <v>0</v>
          </cell>
          <cell r="Z4842">
            <v>0</v>
          </cell>
        </row>
        <row r="4843">
          <cell r="V4843">
            <v>0</v>
          </cell>
          <cell r="Z4843">
            <v>0</v>
          </cell>
        </row>
        <row r="4844">
          <cell r="V4844">
            <v>0</v>
          </cell>
          <cell r="Z4844">
            <v>0</v>
          </cell>
        </row>
        <row r="4845">
          <cell r="V4845">
            <v>0</v>
          </cell>
          <cell r="Z4845">
            <v>0</v>
          </cell>
        </row>
        <row r="4846">
          <cell r="V4846">
            <v>0</v>
          </cell>
          <cell r="Z4846">
            <v>0</v>
          </cell>
        </row>
        <row r="4847">
          <cell r="V4847">
            <v>0</v>
          </cell>
          <cell r="Z4847">
            <v>0</v>
          </cell>
        </row>
        <row r="4848">
          <cell r="V4848">
            <v>0</v>
          </cell>
          <cell r="Z4848">
            <v>0</v>
          </cell>
        </row>
        <row r="4849">
          <cell r="V4849">
            <v>0</v>
          </cell>
          <cell r="Z4849">
            <v>0</v>
          </cell>
        </row>
        <row r="4850">
          <cell r="V4850">
            <v>0</v>
          </cell>
          <cell r="Z4850">
            <v>0</v>
          </cell>
        </row>
        <row r="4851">
          <cell r="V4851">
            <v>0</v>
          </cell>
          <cell r="Z4851">
            <v>0</v>
          </cell>
        </row>
        <row r="4852">
          <cell r="V4852">
            <v>0</v>
          </cell>
          <cell r="Z4852">
            <v>0</v>
          </cell>
        </row>
        <row r="4853">
          <cell r="V4853">
            <v>0</v>
          </cell>
          <cell r="Z4853">
            <v>0</v>
          </cell>
        </row>
        <row r="4854">
          <cell r="V4854">
            <v>0</v>
          </cell>
          <cell r="Z4854">
            <v>0</v>
          </cell>
        </row>
        <row r="4855">
          <cell r="V4855">
            <v>0</v>
          </cell>
          <cell r="Z4855">
            <v>0</v>
          </cell>
        </row>
        <row r="4856">
          <cell r="V4856">
            <v>0</v>
          </cell>
          <cell r="Z4856">
            <v>0</v>
          </cell>
        </row>
        <row r="4857">
          <cell r="V4857">
            <v>0</v>
          </cell>
          <cell r="Z4857">
            <v>0</v>
          </cell>
        </row>
        <row r="4858">
          <cell r="V4858">
            <v>0</v>
          </cell>
          <cell r="Z4858">
            <v>0</v>
          </cell>
        </row>
        <row r="4859">
          <cell r="V4859">
            <v>0</v>
          </cell>
          <cell r="Z4859">
            <v>0</v>
          </cell>
        </row>
        <row r="4860">
          <cell r="V4860">
            <v>0</v>
          </cell>
          <cell r="Z4860">
            <v>0</v>
          </cell>
        </row>
        <row r="4861">
          <cell r="V4861">
            <v>0</v>
          </cell>
          <cell r="Z4861">
            <v>0</v>
          </cell>
        </row>
        <row r="4862">
          <cell r="V4862">
            <v>0</v>
          </cell>
          <cell r="Z4862">
            <v>0</v>
          </cell>
        </row>
        <row r="4863">
          <cell r="V4863">
            <v>0</v>
          </cell>
          <cell r="Z4863">
            <v>0</v>
          </cell>
        </row>
        <row r="4864">
          <cell r="V4864">
            <v>0</v>
          </cell>
          <cell r="Z4864">
            <v>0</v>
          </cell>
        </row>
        <row r="4865">
          <cell r="V4865">
            <v>0</v>
          </cell>
          <cell r="Z4865">
            <v>0</v>
          </cell>
        </row>
        <row r="4866">
          <cell r="V4866">
            <v>0</v>
          </cell>
          <cell r="Z4866">
            <v>0</v>
          </cell>
        </row>
        <row r="4867">
          <cell r="V4867">
            <v>0</v>
          </cell>
          <cell r="Z4867">
            <v>0</v>
          </cell>
        </row>
        <row r="4868">
          <cell r="V4868">
            <v>0</v>
          </cell>
          <cell r="Z4868">
            <v>0</v>
          </cell>
        </row>
        <row r="4869">
          <cell r="V4869">
            <v>0</v>
          </cell>
          <cell r="Z4869">
            <v>0</v>
          </cell>
        </row>
        <row r="4870">
          <cell r="V4870">
            <v>0</v>
          </cell>
          <cell r="Z4870">
            <v>0</v>
          </cell>
        </row>
        <row r="4871">
          <cell r="V4871">
            <v>0</v>
          </cell>
          <cell r="Z4871">
            <v>0</v>
          </cell>
        </row>
        <row r="4872">
          <cell r="V4872">
            <v>0</v>
          </cell>
          <cell r="Z4872">
            <v>0</v>
          </cell>
        </row>
        <row r="4873">
          <cell r="V4873">
            <v>0</v>
          </cell>
          <cell r="Z4873">
            <v>0</v>
          </cell>
        </row>
        <row r="4874">
          <cell r="V4874">
            <v>0</v>
          </cell>
          <cell r="Z4874">
            <v>0</v>
          </cell>
        </row>
        <row r="4875">
          <cell r="V4875">
            <v>0</v>
          </cell>
          <cell r="Z4875">
            <v>0</v>
          </cell>
        </row>
        <row r="4876">
          <cell r="V4876">
            <v>0</v>
          </cell>
          <cell r="Z4876">
            <v>0</v>
          </cell>
        </row>
        <row r="4877">
          <cell r="V4877">
            <v>0</v>
          </cell>
          <cell r="Z4877">
            <v>0</v>
          </cell>
        </row>
        <row r="4878">
          <cell r="V4878">
            <v>0</v>
          </cell>
          <cell r="Z4878">
            <v>0</v>
          </cell>
        </row>
        <row r="4879">
          <cell r="V4879">
            <v>0</v>
          </cell>
          <cell r="Z4879">
            <v>0</v>
          </cell>
        </row>
        <row r="4880">
          <cell r="V4880">
            <v>0</v>
          </cell>
          <cell r="Z4880">
            <v>0</v>
          </cell>
        </row>
        <row r="4881">
          <cell r="V4881">
            <v>0</v>
          </cell>
          <cell r="Z4881">
            <v>0</v>
          </cell>
        </row>
        <row r="4882">
          <cell r="V4882">
            <v>0</v>
          </cell>
          <cell r="Z4882">
            <v>0</v>
          </cell>
        </row>
        <row r="4883">
          <cell r="V4883">
            <v>0</v>
          </cell>
          <cell r="Z4883">
            <v>0</v>
          </cell>
        </row>
        <row r="4884">
          <cell r="V4884">
            <v>0</v>
          </cell>
          <cell r="Z4884">
            <v>0</v>
          </cell>
        </row>
        <row r="4885">
          <cell r="V4885">
            <v>0</v>
          </cell>
          <cell r="Z4885">
            <v>0</v>
          </cell>
        </row>
        <row r="4886">
          <cell r="V4886">
            <v>0</v>
          </cell>
          <cell r="Z4886">
            <v>0</v>
          </cell>
        </row>
        <row r="4887">
          <cell r="V4887">
            <v>0</v>
          </cell>
          <cell r="Z4887">
            <v>0</v>
          </cell>
        </row>
        <row r="4888">
          <cell r="V4888">
            <v>0</v>
          </cell>
          <cell r="Z4888">
            <v>0</v>
          </cell>
        </row>
        <row r="4889">
          <cell r="V4889">
            <v>0</v>
          </cell>
          <cell r="Z4889">
            <v>0</v>
          </cell>
        </row>
        <row r="4890">
          <cell r="V4890">
            <v>0</v>
          </cell>
          <cell r="Z4890">
            <v>0</v>
          </cell>
        </row>
        <row r="4891">
          <cell r="V4891">
            <v>0</v>
          </cell>
          <cell r="Z4891">
            <v>0</v>
          </cell>
        </row>
        <row r="4892">
          <cell r="V4892">
            <v>0</v>
          </cell>
          <cell r="Z4892">
            <v>0</v>
          </cell>
        </row>
        <row r="4893">
          <cell r="V4893">
            <v>0</v>
          </cell>
          <cell r="Z4893">
            <v>0</v>
          </cell>
        </row>
        <row r="4894">
          <cell r="V4894">
            <v>0</v>
          </cell>
          <cell r="Z4894">
            <v>0</v>
          </cell>
        </row>
        <row r="4895">
          <cell r="V4895">
            <v>0</v>
          </cell>
          <cell r="Z4895">
            <v>0</v>
          </cell>
        </row>
        <row r="4896">
          <cell r="V4896">
            <v>0</v>
          </cell>
          <cell r="Z4896">
            <v>0</v>
          </cell>
        </row>
        <row r="4897">
          <cell r="V4897">
            <v>0</v>
          </cell>
          <cell r="Z4897">
            <v>0</v>
          </cell>
        </row>
        <row r="4898">
          <cell r="V4898">
            <v>0</v>
          </cell>
          <cell r="Z4898">
            <v>0</v>
          </cell>
        </row>
        <row r="4899">
          <cell r="V4899">
            <v>0</v>
          </cell>
          <cell r="Z4899">
            <v>0</v>
          </cell>
        </row>
        <row r="4900">
          <cell r="V4900">
            <v>0</v>
          </cell>
          <cell r="Z4900">
            <v>0</v>
          </cell>
        </row>
        <row r="4901">
          <cell r="V4901">
            <v>0</v>
          </cell>
          <cell r="Z4901">
            <v>0</v>
          </cell>
        </row>
        <row r="4902">
          <cell r="V4902">
            <v>0</v>
          </cell>
          <cell r="Z4902">
            <v>0</v>
          </cell>
        </row>
        <row r="4903">
          <cell r="V4903">
            <v>0</v>
          </cell>
          <cell r="Z4903">
            <v>0</v>
          </cell>
        </row>
        <row r="4904">
          <cell r="V4904">
            <v>0</v>
          </cell>
          <cell r="Z4904">
            <v>0</v>
          </cell>
        </row>
        <row r="4905">
          <cell r="V4905">
            <v>0</v>
          </cell>
          <cell r="Z4905">
            <v>0</v>
          </cell>
        </row>
        <row r="4906">
          <cell r="V4906">
            <v>0</v>
          </cell>
          <cell r="Z4906">
            <v>0</v>
          </cell>
        </row>
        <row r="4907">
          <cell r="V4907">
            <v>0</v>
          </cell>
          <cell r="Z4907">
            <v>0</v>
          </cell>
        </row>
        <row r="4908">
          <cell r="V4908">
            <v>0</v>
          </cell>
          <cell r="Z4908">
            <v>0</v>
          </cell>
        </row>
        <row r="4909">
          <cell r="V4909">
            <v>0</v>
          </cell>
          <cell r="Z4909">
            <v>0</v>
          </cell>
        </row>
        <row r="4910">
          <cell r="V4910">
            <v>0</v>
          </cell>
          <cell r="Z4910">
            <v>0</v>
          </cell>
        </row>
        <row r="4911">
          <cell r="V4911">
            <v>0</v>
          </cell>
          <cell r="Z4911">
            <v>0</v>
          </cell>
        </row>
        <row r="4912">
          <cell r="V4912">
            <v>0</v>
          </cell>
          <cell r="Z4912">
            <v>0</v>
          </cell>
        </row>
        <row r="4913">
          <cell r="V4913">
            <v>0</v>
          </cell>
          <cell r="Z4913">
            <v>0</v>
          </cell>
        </row>
        <row r="4914">
          <cell r="V4914">
            <v>0</v>
          </cell>
          <cell r="Z4914">
            <v>0</v>
          </cell>
        </row>
        <row r="4915">
          <cell r="V4915">
            <v>0</v>
          </cell>
          <cell r="Z4915">
            <v>0</v>
          </cell>
        </row>
        <row r="4916">
          <cell r="V4916">
            <v>0</v>
          </cell>
          <cell r="Z4916">
            <v>0</v>
          </cell>
        </row>
        <row r="4917">
          <cell r="V4917">
            <v>0</v>
          </cell>
          <cell r="Z4917">
            <v>0</v>
          </cell>
        </row>
        <row r="4918">
          <cell r="V4918">
            <v>0</v>
          </cell>
          <cell r="Z4918">
            <v>0</v>
          </cell>
        </row>
        <row r="4919">
          <cell r="V4919">
            <v>0</v>
          </cell>
          <cell r="Z4919">
            <v>0</v>
          </cell>
        </row>
        <row r="4920">
          <cell r="V4920">
            <v>0</v>
          </cell>
          <cell r="Z4920">
            <v>0</v>
          </cell>
        </row>
        <row r="4921">
          <cell r="V4921">
            <v>0</v>
          </cell>
          <cell r="Z4921">
            <v>0</v>
          </cell>
        </row>
        <row r="4922">
          <cell r="V4922">
            <v>0</v>
          </cell>
          <cell r="Z4922">
            <v>0</v>
          </cell>
        </row>
        <row r="4923">
          <cell r="V4923">
            <v>0</v>
          </cell>
          <cell r="Z4923">
            <v>0</v>
          </cell>
        </row>
        <row r="4924">
          <cell r="V4924">
            <v>0</v>
          </cell>
          <cell r="Z4924">
            <v>0</v>
          </cell>
        </row>
        <row r="4925">
          <cell r="V4925">
            <v>0</v>
          </cell>
          <cell r="Z4925">
            <v>0</v>
          </cell>
        </row>
        <row r="4926">
          <cell r="V4926">
            <v>0</v>
          </cell>
          <cell r="Z4926">
            <v>0</v>
          </cell>
        </row>
        <row r="4927">
          <cell r="V4927">
            <v>0</v>
          </cell>
          <cell r="Z4927">
            <v>0</v>
          </cell>
        </row>
        <row r="4928">
          <cell r="V4928">
            <v>0</v>
          </cell>
          <cell r="Z4928">
            <v>0</v>
          </cell>
        </row>
        <row r="4929">
          <cell r="V4929">
            <v>0</v>
          </cell>
          <cell r="Z4929">
            <v>0</v>
          </cell>
        </row>
        <row r="4930">
          <cell r="V4930">
            <v>0</v>
          </cell>
          <cell r="Z4930">
            <v>0</v>
          </cell>
        </row>
        <row r="4931">
          <cell r="V4931">
            <v>0</v>
          </cell>
          <cell r="Z4931">
            <v>0</v>
          </cell>
        </row>
        <row r="4932">
          <cell r="V4932">
            <v>0</v>
          </cell>
          <cell r="Z4932">
            <v>0</v>
          </cell>
        </row>
        <row r="4933">
          <cell r="V4933">
            <v>0</v>
          </cell>
          <cell r="Z4933">
            <v>0</v>
          </cell>
        </row>
        <row r="4934">
          <cell r="V4934">
            <v>0</v>
          </cell>
          <cell r="Z4934">
            <v>0</v>
          </cell>
        </row>
        <row r="4935">
          <cell r="V4935">
            <v>0</v>
          </cell>
          <cell r="Z4935">
            <v>0</v>
          </cell>
        </row>
        <row r="4936">
          <cell r="V4936">
            <v>0</v>
          </cell>
          <cell r="Z4936">
            <v>0</v>
          </cell>
        </row>
        <row r="4937">
          <cell r="V4937">
            <v>0</v>
          </cell>
          <cell r="Z4937">
            <v>0</v>
          </cell>
        </row>
        <row r="4938">
          <cell r="V4938">
            <v>0</v>
          </cell>
          <cell r="Z4938">
            <v>0</v>
          </cell>
        </row>
        <row r="4939">
          <cell r="V4939">
            <v>0</v>
          </cell>
          <cell r="Z4939">
            <v>0</v>
          </cell>
        </row>
        <row r="4940">
          <cell r="V4940">
            <v>0</v>
          </cell>
          <cell r="Z4940">
            <v>0</v>
          </cell>
        </row>
        <row r="4941">
          <cell r="V4941">
            <v>0</v>
          </cell>
          <cell r="Z4941">
            <v>0</v>
          </cell>
        </row>
        <row r="4942">
          <cell r="V4942">
            <v>0</v>
          </cell>
          <cell r="Z4942">
            <v>0</v>
          </cell>
        </row>
        <row r="4943">
          <cell r="V4943">
            <v>0</v>
          </cell>
          <cell r="Z4943">
            <v>0</v>
          </cell>
        </row>
        <row r="4944">
          <cell r="V4944">
            <v>0</v>
          </cell>
          <cell r="Z4944">
            <v>0</v>
          </cell>
        </row>
        <row r="4945">
          <cell r="V4945">
            <v>0</v>
          </cell>
          <cell r="Z4945">
            <v>0</v>
          </cell>
        </row>
        <row r="4946">
          <cell r="V4946">
            <v>0</v>
          </cell>
          <cell r="Z4946">
            <v>0</v>
          </cell>
        </row>
        <row r="4947">
          <cell r="V4947">
            <v>0</v>
          </cell>
          <cell r="Z4947">
            <v>0</v>
          </cell>
        </row>
        <row r="4948">
          <cell r="V4948">
            <v>0</v>
          </cell>
          <cell r="Z4948">
            <v>0</v>
          </cell>
        </row>
        <row r="4949">
          <cell r="V4949">
            <v>0</v>
          </cell>
          <cell r="Z4949">
            <v>0</v>
          </cell>
        </row>
        <row r="4950">
          <cell r="V4950">
            <v>0</v>
          </cell>
          <cell r="Z4950">
            <v>0</v>
          </cell>
        </row>
        <row r="4951">
          <cell r="V4951">
            <v>0</v>
          </cell>
          <cell r="Z4951">
            <v>0</v>
          </cell>
        </row>
        <row r="4952">
          <cell r="V4952">
            <v>0</v>
          </cell>
          <cell r="Z4952">
            <v>0</v>
          </cell>
        </row>
        <row r="4953">
          <cell r="V4953">
            <v>0</v>
          </cell>
          <cell r="Z4953">
            <v>0</v>
          </cell>
        </row>
        <row r="4954">
          <cell r="V4954">
            <v>0</v>
          </cell>
          <cell r="Z4954">
            <v>0</v>
          </cell>
        </row>
        <row r="4955">
          <cell r="V4955">
            <v>0</v>
          </cell>
          <cell r="Z4955">
            <v>0</v>
          </cell>
        </row>
        <row r="4956">
          <cell r="V4956">
            <v>0</v>
          </cell>
          <cell r="Z4956">
            <v>0</v>
          </cell>
        </row>
        <row r="4957">
          <cell r="V4957">
            <v>0</v>
          </cell>
          <cell r="Z4957">
            <v>0</v>
          </cell>
        </row>
        <row r="4958">
          <cell r="V4958">
            <v>0</v>
          </cell>
          <cell r="Z4958">
            <v>0</v>
          </cell>
        </row>
        <row r="4959">
          <cell r="V4959">
            <v>0</v>
          </cell>
          <cell r="Z4959">
            <v>0</v>
          </cell>
        </row>
        <row r="4960">
          <cell r="V4960">
            <v>0</v>
          </cell>
          <cell r="Z4960">
            <v>0</v>
          </cell>
        </row>
        <row r="4961">
          <cell r="V4961">
            <v>0</v>
          </cell>
          <cell r="Z4961">
            <v>0</v>
          </cell>
        </row>
        <row r="4962">
          <cell r="V4962">
            <v>0</v>
          </cell>
          <cell r="Z4962">
            <v>0</v>
          </cell>
        </row>
        <row r="4963">
          <cell r="V4963">
            <v>0</v>
          </cell>
          <cell r="Z4963">
            <v>0</v>
          </cell>
        </row>
        <row r="4964">
          <cell r="V4964">
            <v>0</v>
          </cell>
          <cell r="Z4964">
            <v>0</v>
          </cell>
        </row>
        <row r="4965">
          <cell r="V4965">
            <v>0</v>
          </cell>
          <cell r="Z4965">
            <v>0</v>
          </cell>
        </row>
        <row r="4966">
          <cell r="V4966">
            <v>0</v>
          </cell>
          <cell r="Z4966">
            <v>0</v>
          </cell>
        </row>
        <row r="4967">
          <cell r="V4967">
            <v>0</v>
          </cell>
          <cell r="Z4967">
            <v>0</v>
          </cell>
        </row>
        <row r="4968">
          <cell r="V4968">
            <v>0</v>
          </cell>
          <cell r="Z4968">
            <v>0</v>
          </cell>
        </row>
        <row r="4969">
          <cell r="V4969">
            <v>0</v>
          </cell>
          <cell r="Z4969">
            <v>0</v>
          </cell>
        </row>
        <row r="4970">
          <cell r="V4970">
            <v>0</v>
          </cell>
          <cell r="Z4970">
            <v>0</v>
          </cell>
        </row>
        <row r="4971">
          <cell r="V4971">
            <v>0</v>
          </cell>
          <cell r="Z4971">
            <v>0</v>
          </cell>
        </row>
        <row r="4972">
          <cell r="V4972">
            <v>0</v>
          </cell>
          <cell r="Z4972">
            <v>0</v>
          </cell>
        </row>
        <row r="4973">
          <cell r="V4973">
            <v>0</v>
          </cell>
          <cell r="Z4973">
            <v>0</v>
          </cell>
        </row>
        <row r="4974">
          <cell r="V4974">
            <v>0</v>
          </cell>
          <cell r="Z4974">
            <v>0</v>
          </cell>
        </row>
        <row r="4975">
          <cell r="V4975">
            <v>0</v>
          </cell>
          <cell r="Z4975">
            <v>0</v>
          </cell>
        </row>
        <row r="4976">
          <cell r="V4976">
            <v>0</v>
          </cell>
          <cell r="Z4976">
            <v>0</v>
          </cell>
        </row>
        <row r="4977">
          <cell r="V4977">
            <v>0</v>
          </cell>
          <cell r="Z4977">
            <v>0</v>
          </cell>
        </row>
        <row r="4978">
          <cell r="V4978">
            <v>0</v>
          </cell>
          <cell r="Z4978">
            <v>0</v>
          </cell>
        </row>
        <row r="4979">
          <cell r="V4979">
            <v>0</v>
          </cell>
          <cell r="Z4979">
            <v>0</v>
          </cell>
        </row>
        <row r="4980">
          <cell r="V4980">
            <v>0</v>
          </cell>
          <cell r="Z4980">
            <v>0</v>
          </cell>
        </row>
        <row r="4981">
          <cell r="V4981">
            <v>0</v>
          </cell>
          <cell r="Z4981">
            <v>0</v>
          </cell>
        </row>
        <row r="4982">
          <cell r="V4982">
            <v>0</v>
          </cell>
          <cell r="Z4982">
            <v>0</v>
          </cell>
        </row>
        <row r="4983">
          <cell r="V4983">
            <v>0</v>
          </cell>
          <cell r="Z4983">
            <v>0</v>
          </cell>
        </row>
        <row r="4984">
          <cell r="V4984">
            <v>0</v>
          </cell>
          <cell r="Z4984">
            <v>0</v>
          </cell>
        </row>
        <row r="4985">
          <cell r="V4985">
            <v>0</v>
          </cell>
          <cell r="Z4985">
            <v>0</v>
          </cell>
        </row>
        <row r="4986">
          <cell r="V4986">
            <v>0</v>
          </cell>
          <cell r="Z4986">
            <v>0</v>
          </cell>
        </row>
        <row r="4987">
          <cell r="V4987">
            <v>0</v>
          </cell>
          <cell r="Z4987">
            <v>0</v>
          </cell>
        </row>
        <row r="4988">
          <cell r="V4988">
            <v>0</v>
          </cell>
          <cell r="Z4988">
            <v>0</v>
          </cell>
        </row>
        <row r="4989">
          <cell r="V4989">
            <v>0</v>
          </cell>
          <cell r="Z4989">
            <v>0</v>
          </cell>
        </row>
        <row r="4990">
          <cell r="V4990">
            <v>0</v>
          </cell>
          <cell r="Z4990">
            <v>0</v>
          </cell>
        </row>
        <row r="4991">
          <cell r="V4991">
            <v>0</v>
          </cell>
          <cell r="Z4991">
            <v>0</v>
          </cell>
        </row>
        <row r="4992">
          <cell r="V4992">
            <v>0</v>
          </cell>
          <cell r="Z4992">
            <v>0</v>
          </cell>
        </row>
        <row r="4993">
          <cell r="V4993">
            <v>0</v>
          </cell>
          <cell r="Z4993">
            <v>0</v>
          </cell>
        </row>
        <row r="4994">
          <cell r="V4994">
            <v>0</v>
          </cell>
          <cell r="Z4994">
            <v>0</v>
          </cell>
        </row>
        <row r="4995">
          <cell r="V4995">
            <v>0</v>
          </cell>
          <cell r="Z4995">
            <v>0</v>
          </cell>
        </row>
        <row r="4996">
          <cell r="V4996">
            <v>0</v>
          </cell>
          <cell r="Z4996">
            <v>0</v>
          </cell>
        </row>
        <row r="4997">
          <cell r="V4997">
            <v>0</v>
          </cell>
          <cell r="Z4997">
            <v>0</v>
          </cell>
        </row>
        <row r="4998">
          <cell r="V4998">
            <v>0</v>
          </cell>
          <cell r="Z4998">
            <v>0</v>
          </cell>
        </row>
        <row r="4999">
          <cell r="V4999">
            <v>0</v>
          </cell>
          <cell r="Z4999">
            <v>0</v>
          </cell>
        </row>
        <row r="5000">
          <cell r="V5000">
            <v>0</v>
          </cell>
          <cell r="Z5000">
            <v>0</v>
          </cell>
        </row>
        <row r="5001">
          <cell r="V5001">
            <v>0</v>
          </cell>
          <cell r="Z5001">
            <v>0</v>
          </cell>
        </row>
        <row r="5002">
          <cell r="V5002">
            <v>0</v>
          </cell>
          <cell r="Z5002">
            <v>0</v>
          </cell>
        </row>
        <row r="5003">
          <cell r="V5003">
            <v>0</v>
          </cell>
          <cell r="Z5003">
            <v>0</v>
          </cell>
        </row>
        <row r="5004">
          <cell r="V5004">
            <v>0</v>
          </cell>
          <cell r="Z5004">
            <v>0</v>
          </cell>
        </row>
        <row r="5005">
          <cell r="V5005">
            <v>0</v>
          </cell>
          <cell r="Z5005">
            <v>0</v>
          </cell>
        </row>
        <row r="5006">
          <cell r="V5006">
            <v>0</v>
          </cell>
          <cell r="Z5006">
            <v>0</v>
          </cell>
        </row>
        <row r="5007">
          <cell r="V5007">
            <v>0</v>
          </cell>
          <cell r="Z5007">
            <v>0</v>
          </cell>
        </row>
        <row r="5008">
          <cell r="V5008">
            <v>0</v>
          </cell>
          <cell r="Z5008">
            <v>0</v>
          </cell>
        </row>
        <row r="5009">
          <cell r="V5009">
            <v>0</v>
          </cell>
          <cell r="Z5009">
            <v>0</v>
          </cell>
        </row>
        <row r="5010">
          <cell r="V5010">
            <v>0</v>
          </cell>
          <cell r="Z5010">
            <v>0</v>
          </cell>
        </row>
        <row r="5011">
          <cell r="V5011">
            <v>0</v>
          </cell>
          <cell r="Z5011">
            <v>0</v>
          </cell>
        </row>
        <row r="5012">
          <cell r="V5012">
            <v>0</v>
          </cell>
          <cell r="Z5012">
            <v>0</v>
          </cell>
        </row>
        <row r="5013">
          <cell r="V5013">
            <v>0</v>
          </cell>
          <cell r="Z5013">
            <v>0</v>
          </cell>
        </row>
        <row r="5014">
          <cell r="V5014">
            <v>0</v>
          </cell>
          <cell r="Z5014">
            <v>0</v>
          </cell>
        </row>
        <row r="5015">
          <cell r="V5015">
            <v>0</v>
          </cell>
          <cell r="Z5015">
            <v>0</v>
          </cell>
        </row>
        <row r="5016">
          <cell r="V5016">
            <v>0</v>
          </cell>
          <cell r="Z5016">
            <v>0</v>
          </cell>
        </row>
        <row r="5017">
          <cell r="V5017">
            <v>0</v>
          </cell>
          <cell r="Z5017">
            <v>0</v>
          </cell>
        </row>
        <row r="5018">
          <cell r="V5018">
            <v>0</v>
          </cell>
          <cell r="Z5018">
            <v>0</v>
          </cell>
        </row>
        <row r="5019">
          <cell r="V5019">
            <v>0</v>
          </cell>
          <cell r="Z5019">
            <v>0</v>
          </cell>
        </row>
        <row r="5020">
          <cell r="V5020">
            <v>0</v>
          </cell>
          <cell r="Z5020">
            <v>0</v>
          </cell>
        </row>
        <row r="5021">
          <cell r="V5021">
            <v>0</v>
          </cell>
          <cell r="Z5021">
            <v>0</v>
          </cell>
        </row>
        <row r="5022">
          <cell r="V5022">
            <v>0</v>
          </cell>
          <cell r="Z5022">
            <v>0</v>
          </cell>
        </row>
        <row r="5023">
          <cell r="V5023">
            <v>0</v>
          </cell>
          <cell r="Z5023">
            <v>0</v>
          </cell>
        </row>
        <row r="5024">
          <cell r="V5024">
            <v>0</v>
          </cell>
          <cell r="Z5024">
            <v>0</v>
          </cell>
        </row>
        <row r="5025">
          <cell r="V5025">
            <v>0</v>
          </cell>
          <cell r="Z5025">
            <v>0</v>
          </cell>
        </row>
        <row r="5026">
          <cell r="V5026">
            <v>0</v>
          </cell>
          <cell r="Z5026">
            <v>0</v>
          </cell>
        </row>
        <row r="5027">
          <cell r="V5027">
            <v>0</v>
          </cell>
          <cell r="Z5027">
            <v>0</v>
          </cell>
        </row>
        <row r="5028">
          <cell r="V5028">
            <v>0</v>
          </cell>
          <cell r="Z5028">
            <v>0</v>
          </cell>
        </row>
        <row r="5029">
          <cell r="V5029">
            <v>0</v>
          </cell>
          <cell r="Z5029">
            <v>0</v>
          </cell>
        </row>
        <row r="5030">
          <cell r="V5030">
            <v>0</v>
          </cell>
          <cell r="Z5030">
            <v>0</v>
          </cell>
        </row>
        <row r="5031">
          <cell r="V5031">
            <v>0</v>
          </cell>
          <cell r="Z5031">
            <v>0</v>
          </cell>
        </row>
        <row r="5032">
          <cell r="V5032">
            <v>0</v>
          </cell>
          <cell r="Z5032">
            <v>0</v>
          </cell>
        </row>
        <row r="5033">
          <cell r="V5033">
            <v>0</v>
          </cell>
          <cell r="Z5033">
            <v>0</v>
          </cell>
        </row>
        <row r="5034">
          <cell r="V5034">
            <v>0</v>
          </cell>
          <cell r="Z5034">
            <v>0</v>
          </cell>
        </row>
        <row r="5035">
          <cell r="V5035">
            <v>0</v>
          </cell>
          <cell r="Z5035">
            <v>0</v>
          </cell>
        </row>
        <row r="5036">
          <cell r="V5036">
            <v>0</v>
          </cell>
          <cell r="Z5036">
            <v>0</v>
          </cell>
        </row>
        <row r="5037">
          <cell r="V5037">
            <v>0</v>
          </cell>
          <cell r="Z5037">
            <v>0</v>
          </cell>
        </row>
        <row r="5038">
          <cell r="V5038">
            <v>0</v>
          </cell>
          <cell r="Z5038">
            <v>0</v>
          </cell>
        </row>
        <row r="5039">
          <cell r="V5039">
            <v>0</v>
          </cell>
          <cell r="Z5039">
            <v>0</v>
          </cell>
        </row>
        <row r="5040">
          <cell r="V5040">
            <v>0</v>
          </cell>
          <cell r="Z5040">
            <v>0</v>
          </cell>
        </row>
        <row r="5041">
          <cell r="V5041">
            <v>0</v>
          </cell>
          <cell r="Z5041">
            <v>0</v>
          </cell>
        </row>
        <row r="5042">
          <cell r="V5042">
            <v>0</v>
          </cell>
          <cell r="Z5042">
            <v>0</v>
          </cell>
        </row>
        <row r="5043">
          <cell r="V5043">
            <v>0</v>
          </cell>
          <cell r="Z5043">
            <v>0</v>
          </cell>
        </row>
        <row r="5044">
          <cell r="V5044">
            <v>0</v>
          </cell>
          <cell r="Z5044">
            <v>0</v>
          </cell>
        </row>
        <row r="5045">
          <cell r="V5045">
            <v>0</v>
          </cell>
          <cell r="Z5045">
            <v>0</v>
          </cell>
        </row>
        <row r="5046">
          <cell r="V5046">
            <v>0</v>
          </cell>
          <cell r="Z5046">
            <v>0</v>
          </cell>
        </row>
        <row r="5047">
          <cell r="V5047">
            <v>0</v>
          </cell>
          <cell r="Z5047">
            <v>0</v>
          </cell>
        </row>
        <row r="5048">
          <cell r="V5048">
            <v>0</v>
          </cell>
          <cell r="Z5048">
            <v>0</v>
          </cell>
        </row>
        <row r="5049">
          <cell r="V5049">
            <v>0</v>
          </cell>
          <cell r="Z5049">
            <v>0</v>
          </cell>
        </row>
        <row r="5050">
          <cell r="V5050">
            <v>0</v>
          </cell>
          <cell r="Z5050">
            <v>0</v>
          </cell>
        </row>
        <row r="5051">
          <cell r="V5051">
            <v>0</v>
          </cell>
          <cell r="Z5051">
            <v>0</v>
          </cell>
        </row>
        <row r="5052">
          <cell r="V5052">
            <v>0</v>
          </cell>
          <cell r="Z5052">
            <v>0</v>
          </cell>
        </row>
        <row r="5053">
          <cell r="V5053">
            <v>0</v>
          </cell>
          <cell r="Z5053">
            <v>0</v>
          </cell>
        </row>
        <row r="5054">
          <cell r="V5054">
            <v>0</v>
          </cell>
          <cell r="Z5054">
            <v>0</v>
          </cell>
        </row>
        <row r="5055">
          <cell r="V5055">
            <v>0</v>
          </cell>
          <cell r="Z5055">
            <v>0</v>
          </cell>
        </row>
        <row r="5056">
          <cell r="V5056">
            <v>0</v>
          </cell>
          <cell r="Z5056">
            <v>0</v>
          </cell>
        </row>
        <row r="5057">
          <cell r="V5057">
            <v>0</v>
          </cell>
          <cell r="Z5057">
            <v>0</v>
          </cell>
        </row>
        <row r="5058">
          <cell r="V5058">
            <v>0</v>
          </cell>
          <cell r="Z5058">
            <v>0</v>
          </cell>
        </row>
        <row r="5059">
          <cell r="V5059">
            <v>0</v>
          </cell>
          <cell r="Z5059">
            <v>0</v>
          </cell>
        </row>
        <row r="5060">
          <cell r="V5060">
            <v>0</v>
          </cell>
          <cell r="Z5060">
            <v>0</v>
          </cell>
        </row>
        <row r="5061">
          <cell r="V5061">
            <v>0</v>
          </cell>
          <cell r="Z5061">
            <v>0</v>
          </cell>
        </row>
        <row r="5062">
          <cell r="V5062">
            <v>0</v>
          </cell>
          <cell r="Z5062">
            <v>0</v>
          </cell>
        </row>
        <row r="5063">
          <cell r="V5063">
            <v>0</v>
          </cell>
          <cell r="Z5063">
            <v>0</v>
          </cell>
        </row>
        <row r="5064">
          <cell r="V5064">
            <v>0</v>
          </cell>
          <cell r="Z5064">
            <v>0</v>
          </cell>
        </row>
        <row r="5065">
          <cell r="V5065">
            <v>0</v>
          </cell>
          <cell r="Z5065">
            <v>0</v>
          </cell>
        </row>
        <row r="5066">
          <cell r="V5066">
            <v>0</v>
          </cell>
          <cell r="Z5066">
            <v>0</v>
          </cell>
        </row>
        <row r="5067">
          <cell r="V5067">
            <v>0</v>
          </cell>
          <cell r="Z5067">
            <v>0</v>
          </cell>
        </row>
        <row r="5068">
          <cell r="V5068">
            <v>0</v>
          </cell>
          <cell r="Z5068">
            <v>0</v>
          </cell>
        </row>
        <row r="5069">
          <cell r="V5069">
            <v>0</v>
          </cell>
          <cell r="Z5069">
            <v>0</v>
          </cell>
        </row>
        <row r="5070">
          <cell r="V5070">
            <v>0</v>
          </cell>
          <cell r="Z5070">
            <v>0</v>
          </cell>
        </row>
        <row r="5071">
          <cell r="V5071">
            <v>0</v>
          </cell>
          <cell r="Z5071">
            <v>0</v>
          </cell>
        </row>
        <row r="5072">
          <cell r="V5072">
            <v>0</v>
          </cell>
          <cell r="Z5072">
            <v>0</v>
          </cell>
        </row>
        <row r="5073">
          <cell r="V5073">
            <v>0</v>
          </cell>
          <cell r="Z5073">
            <v>0</v>
          </cell>
        </row>
        <row r="5074">
          <cell r="V5074">
            <v>0</v>
          </cell>
          <cell r="Z5074">
            <v>0</v>
          </cell>
        </row>
        <row r="5075">
          <cell r="V5075">
            <v>0</v>
          </cell>
          <cell r="Z5075">
            <v>0</v>
          </cell>
        </row>
        <row r="5076">
          <cell r="V5076">
            <v>0</v>
          </cell>
          <cell r="Z5076">
            <v>0</v>
          </cell>
        </row>
        <row r="5077">
          <cell r="V5077">
            <v>0</v>
          </cell>
          <cell r="Z5077">
            <v>0</v>
          </cell>
        </row>
        <row r="5078">
          <cell r="V5078">
            <v>0</v>
          </cell>
          <cell r="Z5078">
            <v>0</v>
          </cell>
        </row>
        <row r="5079">
          <cell r="V5079">
            <v>0</v>
          </cell>
          <cell r="Z5079">
            <v>0</v>
          </cell>
        </row>
        <row r="5080">
          <cell r="V5080">
            <v>0</v>
          </cell>
          <cell r="Z5080">
            <v>0</v>
          </cell>
        </row>
        <row r="5081">
          <cell r="V5081">
            <v>0</v>
          </cell>
          <cell r="Z5081">
            <v>0</v>
          </cell>
        </row>
        <row r="5082">
          <cell r="V5082">
            <v>0</v>
          </cell>
          <cell r="Z5082">
            <v>0</v>
          </cell>
        </row>
        <row r="5083">
          <cell r="V5083">
            <v>0</v>
          </cell>
          <cell r="Z5083">
            <v>0</v>
          </cell>
        </row>
        <row r="5084">
          <cell r="V5084">
            <v>0</v>
          </cell>
          <cell r="Z5084">
            <v>0</v>
          </cell>
        </row>
        <row r="5085">
          <cell r="V5085">
            <v>0</v>
          </cell>
          <cell r="Z5085">
            <v>0</v>
          </cell>
        </row>
        <row r="5086">
          <cell r="V5086">
            <v>0</v>
          </cell>
          <cell r="Z5086">
            <v>0</v>
          </cell>
        </row>
        <row r="5087">
          <cell r="V5087">
            <v>0</v>
          </cell>
          <cell r="Z5087">
            <v>0</v>
          </cell>
        </row>
        <row r="5088">
          <cell r="V5088">
            <v>0</v>
          </cell>
          <cell r="Z5088">
            <v>0</v>
          </cell>
        </row>
        <row r="5089">
          <cell r="V5089">
            <v>0</v>
          </cell>
          <cell r="Z5089">
            <v>0</v>
          </cell>
        </row>
        <row r="5090">
          <cell r="V5090">
            <v>0</v>
          </cell>
          <cell r="Z5090">
            <v>0</v>
          </cell>
        </row>
        <row r="5091">
          <cell r="V5091">
            <v>0</v>
          </cell>
          <cell r="Z5091">
            <v>0</v>
          </cell>
        </row>
        <row r="5092">
          <cell r="V5092">
            <v>0</v>
          </cell>
          <cell r="Z5092">
            <v>0</v>
          </cell>
        </row>
        <row r="5093">
          <cell r="V5093">
            <v>0</v>
          </cell>
          <cell r="Z5093">
            <v>0</v>
          </cell>
        </row>
        <row r="5094">
          <cell r="V5094">
            <v>0</v>
          </cell>
          <cell r="Z5094">
            <v>0</v>
          </cell>
        </row>
        <row r="5095">
          <cell r="V5095">
            <v>0</v>
          </cell>
          <cell r="Z5095">
            <v>0</v>
          </cell>
        </row>
        <row r="5096">
          <cell r="V5096">
            <v>0</v>
          </cell>
          <cell r="Z5096">
            <v>0</v>
          </cell>
        </row>
        <row r="5097">
          <cell r="V5097">
            <v>0</v>
          </cell>
          <cell r="Z5097">
            <v>0</v>
          </cell>
        </row>
        <row r="5098">
          <cell r="V5098">
            <v>0</v>
          </cell>
          <cell r="Z5098">
            <v>0</v>
          </cell>
        </row>
        <row r="5099">
          <cell r="V5099">
            <v>0</v>
          </cell>
          <cell r="Z5099">
            <v>0</v>
          </cell>
        </row>
        <row r="5100">
          <cell r="V5100">
            <v>0</v>
          </cell>
          <cell r="Z5100">
            <v>0</v>
          </cell>
        </row>
        <row r="5101">
          <cell r="V5101">
            <v>0</v>
          </cell>
          <cell r="Z5101">
            <v>0</v>
          </cell>
        </row>
        <row r="5102">
          <cell r="V5102">
            <v>0</v>
          </cell>
          <cell r="Z5102">
            <v>0</v>
          </cell>
        </row>
        <row r="5103">
          <cell r="V5103">
            <v>0</v>
          </cell>
          <cell r="Z5103">
            <v>0</v>
          </cell>
        </row>
        <row r="5104">
          <cell r="V5104">
            <v>0</v>
          </cell>
          <cell r="Z5104">
            <v>0</v>
          </cell>
        </row>
        <row r="5105">
          <cell r="V5105">
            <v>0</v>
          </cell>
          <cell r="Z5105">
            <v>0</v>
          </cell>
        </row>
        <row r="5106">
          <cell r="V5106">
            <v>0</v>
          </cell>
          <cell r="Z5106">
            <v>0</v>
          </cell>
        </row>
        <row r="5107">
          <cell r="V5107">
            <v>0</v>
          </cell>
          <cell r="Z5107">
            <v>0</v>
          </cell>
        </row>
        <row r="5108">
          <cell r="V5108">
            <v>0</v>
          </cell>
          <cell r="Z5108">
            <v>0</v>
          </cell>
        </row>
        <row r="5109">
          <cell r="V5109">
            <v>0</v>
          </cell>
          <cell r="Z5109">
            <v>0</v>
          </cell>
        </row>
        <row r="5110">
          <cell r="V5110">
            <v>0</v>
          </cell>
          <cell r="Z5110">
            <v>0</v>
          </cell>
        </row>
        <row r="5111">
          <cell r="V5111">
            <v>0</v>
          </cell>
          <cell r="Z5111">
            <v>0</v>
          </cell>
        </row>
        <row r="5112">
          <cell r="V5112">
            <v>0</v>
          </cell>
          <cell r="Z5112">
            <v>0</v>
          </cell>
        </row>
        <row r="5113">
          <cell r="V5113">
            <v>0</v>
          </cell>
          <cell r="Z5113">
            <v>0</v>
          </cell>
        </row>
        <row r="5114">
          <cell r="V5114">
            <v>0</v>
          </cell>
          <cell r="Z5114">
            <v>0</v>
          </cell>
        </row>
        <row r="5115">
          <cell r="V5115">
            <v>0</v>
          </cell>
          <cell r="Z5115">
            <v>0</v>
          </cell>
        </row>
        <row r="5116">
          <cell r="V5116">
            <v>0</v>
          </cell>
          <cell r="Z5116">
            <v>0</v>
          </cell>
        </row>
        <row r="5117">
          <cell r="V5117">
            <v>0</v>
          </cell>
          <cell r="Z5117">
            <v>0</v>
          </cell>
        </row>
        <row r="5118">
          <cell r="V5118">
            <v>0</v>
          </cell>
          <cell r="Z5118">
            <v>0</v>
          </cell>
        </row>
        <row r="5119">
          <cell r="V5119">
            <v>0</v>
          </cell>
          <cell r="Z5119">
            <v>0</v>
          </cell>
        </row>
        <row r="5120">
          <cell r="V5120">
            <v>0</v>
          </cell>
          <cell r="Z5120">
            <v>0</v>
          </cell>
        </row>
        <row r="5121">
          <cell r="V5121">
            <v>0</v>
          </cell>
          <cell r="Z5121">
            <v>0</v>
          </cell>
        </row>
        <row r="5122">
          <cell r="V5122">
            <v>0</v>
          </cell>
          <cell r="Z5122">
            <v>0</v>
          </cell>
        </row>
        <row r="5123">
          <cell r="V5123">
            <v>0</v>
          </cell>
          <cell r="Z5123">
            <v>0</v>
          </cell>
        </row>
        <row r="5124">
          <cell r="V5124">
            <v>0</v>
          </cell>
          <cell r="Z5124">
            <v>0</v>
          </cell>
        </row>
        <row r="5125">
          <cell r="V5125">
            <v>0</v>
          </cell>
          <cell r="Z5125">
            <v>0</v>
          </cell>
        </row>
        <row r="5126">
          <cell r="V5126">
            <v>0</v>
          </cell>
          <cell r="Z5126">
            <v>0</v>
          </cell>
        </row>
        <row r="5127">
          <cell r="V5127">
            <v>0</v>
          </cell>
          <cell r="Z5127">
            <v>0</v>
          </cell>
        </row>
        <row r="5128">
          <cell r="V5128">
            <v>0</v>
          </cell>
          <cell r="Z5128">
            <v>0</v>
          </cell>
        </row>
        <row r="5129">
          <cell r="V5129">
            <v>0</v>
          </cell>
          <cell r="Z5129">
            <v>0</v>
          </cell>
        </row>
        <row r="5130">
          <cell r="V5130">
            <v>0</v>
          </cell>
          <cell r="Z5130">
            <v>0</v>
          </cell>
        </row>
        <row r="5131">
          <cell r="V5131">
            <v>0</v>
          </cell>
          <cell r="Z5131">
            <v>0</v>
          </cell>
        </row>
        <row r="5132">
          <cell r="V5132">
            <v>0</v>
          </cell>
          <cell r="Z5132">
            <v>0</v>
          </cell>
        </row>
        <row r="5133">
          <cell r="V5133">
            <v>0</v>
          </cell>
          <cell r="Z5133">
            <v>0</v>
          </cell>
        </row>
        <row r="5134">
          <cell r="V5134">
            <v>0</v>
          </cell>
          <cell r="Z5134">
            <v>0</v>
          </cell>
        </row>
        <row r="5135">
          <cell r="V5135">
            <v>0</v>
          </cell>
          <cell r="Z5135">
            <v>0</v>
          </cell>
        </row>
        <row r="5136">
          <cell r="V5136">
            <v>0</v>
          </cell>
          <cell r="Z5136">
            <v>0</v>
          </cell>
        </row>
        <row r="5137">
          <cell r="V5137">
            <v>0</v>
          </cell>
          <cell r="Z5137">
            <v>0</v>
          </cell>
        </row>
        <row r="5138">
          <cell r="V5138">
            <v>0</v>
          </cell>
          <cell r="Z5138">
            <v>0</v>
          </cell>
        </row>
        <row r="5139">
          <cell r="V5139">
            <v>0</v>
          </cell>
          <cell r="Z5139">
            <v>0</v>
          </cell>
        </row>
        <row r="5140">
          <cell r="V5140">
            <v>0</v>
          </cell>
          <cell r="Z5140">
            <v>0</v>
          </cell>
        </row>
        <row r="5141">
          <cell r="V5141">
            <v>0</v>
          </cell>
          <cell r="Z5141">
            <v>0</v>
          </cell>
        </row>
        <row r="5142">
          <cell r="V5142">
            <v>0</v>
          </cell>
          <cell r="Z5142">
            <v>0</v>
          </cell>
        </row>
        <row r="5143">
          <cell r="V5143">
            <v>0</v>
          </cell>
          <cell r="Z5143">
            <v>0</v>
          </cell>
        </row>
        <row r="5144">
          <cell r="V5144">
            <v>0</v>
          </cell>
          <cell r="Z5144">
            <v>0</v>
          </cell>
        </row>
        <row r="5145">
          <cell r="V5145">
            <v>0</v>
          </cell>
          <cell r="Z5145">
            <v>0</v>
          </cell>
        </row>
        <row r="5146">
          <cell r="V5146">
            <v>0</v>
          </cell>
          <cell r="Z5146">
            <v>0</v>
          </cell>
        </row>
        <row r="5147">
          <cell r="V5147">
            <v>0</v>
          </cell>
          <cell r="Z5147">
            <v>0</v>
          </cell>
        </row>
        <row r="5148">
          <cell r="V5148">
            <v>0</v>
          </cell>
          <cell r="Z5148">
            <v>0</v>
          </cell>
        </row>
        <row r="5149">
          <cell r="V5149">
            <v>0</v>
          </cell>
          <cell r="Z5149">
            <v>0</v>
          </cell>
        </row>
        <row r="5150">
          <cell r="V5150">
            <v>0</v>
          </cell>
          <cell r="Z5150">
            <v>0</v>
          </cell>
        </row>
        <row r="5151">
          <cell r="V5151">
            <v>0</v>
          </cell>
          <cell r="Z5151">
            <v>0</v>
          </cell>
        </row>
        <row r="5152">
          <cell r="V5152">
            <v>0</v>
          </cell>
          <cell r="Z5152">
            <v>0</v>
          </cell>
        </row>
        <row r="5153">
          <cell r="V5153">
            <v>0</v>
          </cell>
          <cell r="Z5153">
            <v>0</v>
          </cell>
        </row>
        <row r="5154">
          <cell r="V5154">
            <v>0</v>
          </cell>
          <cell r="Z5154">
            <v>0</v>
          </cell>
        </row>
        <row r="5155">
          <cell r="V5155">
            <v>0</v>
          </cell>
          <cell r="Z5155">
            <v>0</v>
          </cell>
        </row>
        <row r="5156">
          <cell r="V5156">
            <v>0</v>
          </cell>
          <cell r="Z5156">
            <v>0</v>
          </cell>
        </row>
        <row r="5157">
          <cell r="V5157">
            <v>0</v>
          </cell>
          <cell r="Z5157">
            <v>0</v>
          </cell>
        </row>
        <row r="5158">
          <cell r="V5158">
            <v>0</v>
          </cell>
          <cell r="Z5158">
            <v>0</v>
          </cell>
        </row>
        <row r="5159">
          <cell r="V5159">
            <v>0</v>
          </cell>
          <cell r="Z5159">
            <v>0</v>
          </cell>
        </row>
        <row r="5160">
          <cell r="V5160">
            <v>0</v>
          </cell>
          <cell r="Z5160">
            <v>0</v>
          </cell>
        </row>
        <row r="5161">
          <cell r="V5161">
            <v>0</v>
          </cell>
          <cell r="Z5161">
            <v>0</v>
          </cell>
        </row>
        <row r="5162">
          <cell r="V5162">
            <v>0</v>
          </cell>
          <cell r="Z5162">
            <v>0</v>
          </cell>
        </row>
        <row r="5163">
          <cell r="V5163">
            <v>0</v>
          </cell>
          <cell r="Z5163">
            <v>0</v>
          </cell>
        </row>
        <row r="5164">
          <cell r="V5164">
            <v>0</v>
          </cell>
          <cell r="Z5164">
            <v>0</v>
          </cell>
        </row>
        <row r="5165">
          <cell r="V5165">
            <v>0</v>
          </cell>
          <cell r="Z5165">
            <v>0</v>
          </cell>
        </row>
        <row r="5166">
          <cell r="V5166">
            <v>0</v>
          </cell>
          <cell r="Z5166">
            <v>0</v>
          </cell>
        </row>
        <row r="5167">
          <cell r="V5167">
            <v>0</v>
          </cell>
          <cell r="Z5167">
            <v>0</v>
          </cell>
        </row>
        <row r="5168">
          <cell r="V5168">
            <v>0</v>
          </cell>
          <cell r="Z5168">
            <v>0</v>
          </cell>
        </row>
        <row r="5169">
          <cell r="V5169">
            <v>0</v>
          </cell>
          <cell r="Z5169">
            <v>0</v>
          </cell>
        </row>
        <row r="5170">
          <cell r="V5170">
            <v>0</v>
          </cell>
          <cell r="Z5170">
            <v>0</v>
          </cell>
        </row>
        <row r="5171">
          <cell r="V5171">
            <v>0</v>
          </cell>
          <cell r="Z5171">
            <v>0</v>
          </cell>
        </row>
        <row r="5172">
          <cell r="V5172">
            <v>0</v>
          </cell>
          <cell r="Z5172">
            <v>0</v>
          </cell>
        </row>
        <row r="5173">
          <cell r="V5173">
            <v>0</v>
          </cell>
          <cell r="Z5173">
            <v>0</v>
          </cell>
        </row>
        <row r="5174">
          <cell r="V5174">
            <v>0</v>
          </cell>
          <cell r="Z5174">
            <v>0</v>
          </cell>
        </row>
        <row r="5175">
          <cell r="V5175">
            <v>0</v>
          </cell>
          <cell r="Z5175">
            <v>0</v>
          </cell>
        </row>
        <row r="5176">
          <cell r="V5176">
            <v>0</v>
          </cell>
          <cell r="Z5176">
            <v>0</v>
          </cell>
        </row>
        <row r="5177">
          <cell r="V5177">
            <v>0</v>
          </cell>
          <cell r="Z5177">
            <v>0</v>
          </cell>
        </row>
        <row r="5178">
          <cell r="V5178">
            <v>0</v>
          </cell>
          <cell r="Z5178">
            <v>0</v>
          </cell>
        </row>
        <row r="5179">
          <cell r="V5179">
            <v>0</v>
          </cell>
          <cell r="Z5179">
            <v>0</v>
          </cell>
        </row>
        <row r="5180">
          <cell r="V5180">
            <v>0</v>
          </cell>
          <cell r="Z5180">
            <v>0</v>
          </cell>
        </row>
        <row r="5181">
          <cell r="V5181">
            <v>0</v>
          </cell>
          <cell r="Z5181">
            <v>0</v>
          </cell>
        </row>
        <row r="5182">
          <cell r="V5182">
            <v>0</v>
          </cell>
          <cell r="Z5182">
            <v>0</v>
          </cell>
        </row>
        <row r="5183">
          <cell r="V5183">
            <v>0</v>
          </cell>
          <cell r="Z5183">
            <v>0</v>
          </cell>
        </row>
        <row r="5184">
          <cell r="V5184">
            <v>0</v>
          </cell>
          <cell r="Z5184">
            <v>0</v>
          </cell>
        </row>
        <row r="5185">
          <cell r="V5185">
            <v>0</v>
          </cell>
          <cell r="Z5185">
            <v>0</v>
          </cell>
        </row>
        <row r="5186">
          <cell r="V5186">
            <v>0</v>
          </cell>
          <cell r="Z5186">
            <v>0</v>
          </cell>
        </row>
        <row r="5187">
          <cell r="V5187">
            <v>0</v>
          </cell>
          <cell r="Z5187">
            <v>0</v>
          </cell>
        </row>
        <row r="5188">
          <cell r="V5188">
            <v>0</v>
          </cell>
          <cell r="Z5188">
            <v>0</v>
          </cell>
        </row>
        <row r="5189">
          <cell r="V5189">
            <v>0</v>
          </cell>
          <cell r="Z5189">
            <v>0</v>
          </cell>
        </row>
        <row r="5190">
          <cell r="V5190">
            <v>0</v>
          </cell>
          <cell r="Z5190">
            <v>0</v>
          </cell>
        </row>
        <row r="5191">
          <cell r="V5191">
            <v>0</v>
          </cell>
          <cell r="Z5191">
            <v>0</v>
          </cell>
        </row>
        <row r="5192">
          <cell r="V5192">
            <v>0</v>
          </cell>
          <cell r="Z5192">
            <v>0</v>
          </cell>
        </row>
        <row r="5193">
          <cell r="V5193">
            <v>0</v>
          </cell>
          <cell r="Z5193">
            <v>0</v>
          </cell>
        </row>
        <row r="5194">
          <cell r="V5194">
            <v>0</v>
          </cell>
          <cell r="Z5194">
            <v>0</v>
          </cell>
        </row>
        <row r="5195">
          <cell r="V5195">
            <v>0</v>
          </cell>
          <cell r="Z5195">
            <v>0</v>
          </cell>
        </row>
        <row r="5196">
          <cell r="V5196">
            <v>0</v>
          </cell>
          <cell r="Z5196">
            <v>0</v>
          </cell>
        </row>
        <row r="5197">
          <cell r="V5197">
            <v>0</v>
          </cell>
          <cell r="Z5197">
            <v>0</v>
          </cell>
        </row>
        <row r="5198">
          <cell r="V5198">
            <v>0</v>
          </cell>
          <cell r="Z5198">
            <v>0</v>
          </cell>
        </row>
        <row r="5199">
          <cell r="V5199">
            <v>0</v>
          </cell>
          <cell r="Z5199">
            <v>0</v>
          </cell>
        </row>
        <row r="5200">
          <cell r="V5200">
            <v>0</v>
          </cell>
          <cell r="Z5200">
            <v>0</v>
          </cell>
        </row>
        <row r="5201">
          <cell r="V5201">
            <v>0</v>
          </cell>
          <cell r="Z5201">
            <v>0</v>
          </cell>
        </row>
        <row r="5202">
          <cell r="V5202">
            <v>0</v>
          </cell>
          <cell r="Z5202">
            <v>0</v>
          </cell>
        </row>
        <row r="5203">
          <cell r="V5203">
            <v>0</v>
          </cell>
          <cell r="Z5203">
            <v>0</v>
          </cell>
        </row>
        <row r="5204">
          <cell r="V5204">
            <v>0</v>
          </cell>
          <cell r="Z5204">
            <v>0</v>
          </cell>
        </row>
        <row r="5205">
          <cell r="V5205">
            <v>0</v>
          </cell>
          <cell r="Z5205">
            <v>0</v>
          </cell>
        </row>
        <row r="5206">
          <cell r="V5206">
            <v>0</v>
          </cell>
          <cell r="Z5206">
            <v>0</v>
          </cell>
        </row>
        <row r="5207">
          <cell r="V5207">
            <v>0</v>
          </cell>
          <cell r="Z5207">
            <v>0</v>
          </cell>
        </row>
        <row r="5208">
          <cell r="V5208">
            <v>0</v>
          </cell>
          <cell r="Z5208">
            <v>0</v>
          </cell>
        </row>
        <row r="5209">
          <cell r="V5209">
            <v>0</v>
          </cell>
          <cell r="Z5209">
            <v>0</v>
          </cell>
        </row>
        <row r="5210">
          <cell r="V5210">
            <v>0</v>
          </cell>
          <cell r="Z5210">
            <v>0</v>
          </cell>
        </row>
        <row r="5211">
          <cell r="V5211">
            <v>0</v>
          </cell>
          <cell r="Z5211">
            <v>0</v>
          </cell>
        </row>
        <row r="5212">
          <cell r="V5212">
            <v>0</v>
          </cell>
          <cell r="Z5212">
            <v>0</v>
          </cell>
        </row>
        <row r="5213">
          <cell r="V5213">
            <v>0</v>
          </cell>
          <cell r="Z5213">
            <v>0</v>
          </cell>
        </row>
        <row r="5214">
          <cell r="V5214">
            <v>0</v>
          </cell>
          <cell r="Z5214">
            <v>0</v>
          </cell>
        </row>
        <row r="5215">
          <cell r="V5215">
            <v>0</v>
          </cell>
          <cell r="Z5215">
            <v>0</v>
          </cell>
        </row>
        <row r="5216">
          <cell r="V5216">
            <v>0</v>
          </cell>
          <cell r="Z5216">
            <v>0</v>
          </cell>
        </row>
        <row r="5217">
          <cell r="V5217">
            <v>0</v>
          </cell>
          <cell r="Z5217">
            <v>0</v>
          </cell>
        </row>
        <row r="5218">
          <cell r="V5218">
            <v>0</v>
          </cell>
          <cell r="Z5218">
            <v>0</v>
          </cell>
        </row>
        <row r="5219">
          <cell r="V5219">
            <v>0</v>
          </cell>
          <cell r="Z5219">
            <v>0</v>
          </cell>
        </row>
        <row r="5220">
          <cell r="V5220">
            <v>0</v>
          </cell>
          <cell r="Z5220">
            <v>0</v>
          </cell>
        </row>
        <row r="5221">
          <cell r="V5221">
            <v>0</v>
          </cell>
          <cell r="Z5221">
            <v>0</v>
          </cell>
        </row>
        <row r="5222">
          <cell r="V5222">
            <v>0</v>
          </cell>
          <cell r="Z5222">
            <v>0</v>
          </cell>
        </row>
        <row r="5223">
          <cell r="V5223">
            <v>0</v>
          </cell>
          <cell r="Z5223">
            <v>0</v>
          </cell>
        </row>
        <row r="5224">
          <cell r="V5224">
            <v>0</v>
          </cell>
          <cell r="Z5224">
            <v>0</v>
          </cell>
        </row>
        <row r="5225">
          <cell r="V5225">
            <v>0</v>
          </cell>
          <cell r="Z5225">
            <v>0</v>
          </cell>
        </row>
        <row r="5226">
          <cell r="V5226">
            <v>0</v>
          </cell>
          <cell r="Z5226">
            <v>0</v>
          </cell>
        </row>
        <row r="5227">
          <cell r="V5227">
            <v>0</v>
          </cell>
          <cell r="Z5227">
            <v>0</v>
          </cell>
        </row>
        <row r="5228">
          <cell r="V5228">
            <v>0</v>
          </cell>
          <cell r="Z5228">
            <v>0</v>
          </cell>
        </row>
        <row r="5229">
          <cell r="V5229">
            <v>0</v>
          </cell>
          <cell r="Z5229">
            <v>0</v>
          </cell>
        </row>
        <row r="5230">
          <cell r="V5230">
            <v>0</v>
          </cell>
          <cell r="Z5230">
            <v>0</v>
          </cell>
        </row>
        <row r="5231">
          <cell r="V5231">
            <v>0</v>
          </cell>
          <cell r="Z5231">
            <v>0</v>
          </cell>
        </row>
        <row r="5232">
          <cell r="V5232">
            <v>0</v>
          </cell>
          <cell r="Z5232">
            <v>0</v>
          </cell>
        </row>
        <row r="5233">
          <cell r="V5233">
            <v>0</v>
          </cell>
          <cell r="Z5233">
            <v>0</v>
          </cell>
        </row>
        <row r="5234">
          <cell r="V5234">
            <v>0</v>
          </cell>
          <cell r="Z5234">
            <v>0</v>
          </cell>
        </row>
        <row r="5235">
          <cell r="V5235">
            <v>0</v>
          </cell>
          <cell r="Z5235">
            <v>0</v>
          </cell>
        </row>
        <row r="5236">
          <cell r="V5236">
            <v>0</v>
          </cell>
          <cell r="Z5236">
            <v>0</v>
          </cell>
        </row>
        <row r="5237">
          <cell r="V5237">
            <v>0</v>
          </cell>
          <cell r="Z5237">
            <v>0</v>
          </cell>
        </row>
        <row r="5238">
          <cell r="V5238">
            <v>0</v>
          </cell>
          <cell r="Z5238">
            <v>0</v>
          </cell>
        </row>
        <row r="5239">
          <cell r="V5239">
            <v>0</v>
          </cell>
          <cell r="Z5239">
            <v>0</v>
          </cell>
        </row>
        <row r="5240">
          <cell r="V5240">
            <v>0</v>
          </cell>
          <cell r="Z5240">
            <v>0</v>
          </cell>
        </row>
        <row r="5241">
          <cell r="V5241">
            <v>0</v>
          </cell>
          <cell r="Z5241">
            <v>0</v>
          </cell>
        </row>
        <row r="5242">
          <cell r="V5242">
            <v>0</v>
          </cell>
          <cell r="Z5242">
            <v>0</v>
          </cell>
        </row>
        <row r="5243">
          <cell r="V5243">
            <v>0</v>
          </cell>
          <cell r="Z5243">
            <v>0</v>
          </cell>
        </row>
        <row r="5244">
          <cell r="V5244">
            <v>0</v>
          </cell>
          <cell r="Z5244">
            <v>0</v>
          </cell>
        </row>
        <row r="5245">
          <cell r="V5245">
            <v>0</v>
          </cell>
          <cell r="Z5245">
            <v>0</v>
          </cell>
        </row>
        <row r="5246">
          <cell r="V5246">
            <v>0</v>
          </cell>
          <cell r="Z5246">
            <v>0</v>
          </cell>
        </row>
        <row r="5247">
          <cell r="V5247">
            <v>0</v>
          </cell>
          <cell r="Z5247">
            <v>0</v>
          </cell>
        </row>
        <row r="5248">
          <cell r="V5248">
            <v>0</v>
          </cell>
          <cell r="Z5248">
            <v>0</v>
          </cell>
        </row>
        <row r="5249">
          <cell r="V5249">
            <v>0</v>
          </cell>
          <cell r="Z5249">
            <v>0</v>
          </cell>
        </row>
        <row r="5250">
          <cell r="V5250">
            <v>0</v>
          </cell>
          <cell r="Z5250">
            <v>0</v>
          </cell>
        </row>
        <row r="5251">
          <cell r="V5251">
            <v>0</v>
          </cell>
          <cell r="Z5251">
            <v>0</v>
          </cell>
        </row>
        <row r="5252">
          <cell r="V5252">
            <v>0</v>
          </cell>
          <cell r="Z5252">
            <v>0</v>
          </cell>
        </row>
        <row r="5253">
          <cell r="V5253">
            <v>0</v>
          </cell>
          <cell r="Z5253">
            <v>0</v>
          </cell>
        </row>
        <row r="5254">
          <cell r="V5254">
            <v>0</v>
          </cell>
          <cell r="Z5254">
            <v>0</v>
          </cell>
        </row>
        <row r="5255">
          <cell r="V5255">
            <v>0</v>
          </cell>
          <cell r="Z5255">
            <v>0</v>
          </cell>
        </row>
        <row r="5256">
          <cell r="V5256">
            <v>0</v>
          </cell>
          <cell r="Z5256">
            <v>0</v>
          </cell>
        </row>
        <row r="5257">
          <cell r="V5257">
            <v>0</v>
          </cell>
          <cell r="Z5257">
            <v>0</v>
          </cell>
        </row>
        <row r="5258">
          <cell r="V5258">
            <v>0</v>
          </cell>
          <cell r="Z5258">
            <v>0</v>
          </cell>
        </row>
        <row r="5259">
          <cell r="V5259">
            <v>0</v>
          </cell>
          <cell r="Z5259">
            <v>0</v>
          </cell>
        </row>
        <row r="5260">
          <cell r="V5260">
            <v>0</v>
          </cell>
          <cell r="Z5260">
            <v>0</v>
          </cell>
        </row>
        <row r="5261">
          <cell r="V5261">
            <v>0</v>
          </cell>
          <cell r="Z5261">
            <v>0</v>
          </cell>
        </row>
        <row r="5262">
          <cell r="V5262">
            <v>0</v>
          </cell>
          <cell r="Z5262">
            <v>0</v>
          </cell>
        </row>
        <row r="5263">
          <cell r="V5263">
            <v>0</v>
          </cell>
          <cell r="Z5263">
            <v>0</v>
          </cell>
        </row>
        <row r="5264">
          <cell r="V5264">
            <v>0</v>
          </cell>
          <cell r="Z5264">
            <v>0</v>
          </cell>
        </row>
        <row r="5265">
          <cell r="V5265">
            <v>0</v>
          </cell>
          <cell r="Z5265">
            <v>0</v>
          </cell>
        </row>
        <row r="5266">
          <cell r="V5266">
            <v>0</v>
          </cell>
          <cell r="Z5266">
            <v>0</v>
          </cell>
        </row>
        <row r="5267">
          <cell r="V5267">
            <v>0</v>
          </cell>
          <cell r="Z5267">
            <v>0</v>
          </cell>
        </row>
        <row r="5268">
          <cell r="V5268">
            <v>0</v>
          </cell>
          <cell r="Z5268">
            <v>0</v>
          </cell>
        </row>
        <row r="5269">
          <cell r="V5269">
            <v>0</v>
          </cell>
          <cell r="Z5269">
            <v>0</v>
          </cell>
        </row>
        <row r="5270">
          <cell r="V5270">
            <v>0</v>
          </cell>
          <cell r="Z5270">
            <v>0</v>
          </cell>
        </row>
        <row r="5271">
          <cell r="V5271">
            <v>0</v>
          </cell>
          <cell r="Z5271">
            <v>0</v>
          </cell>
        </row>
        <row r="5272">
          <cell r="V5272">
            <v>0</v>
          </cell>
          <cell r="Z5272">
            <v>0</v>
          </cell>
        </row>
        <row r="5273">
          <cell r="V5273">
            <v>0</v>
          </cell>
          <cell r="Z5273">
            <v>0</v>
          </cell>
        </row>
        <row r="5274">
          <cell r="V5274">
            <v>0</v>
          </cell>
          <cell r="Z5274">
            <v>0</v>
          </cell>
        </row>
        <row r="5275">
          <cell r="V5275">
            <v>0</v>
          </cell>
          <cell r="Z5275">
            <v>0</v>
          </cell>
        </row>
        <row r="5276">
          <cell r="V5276">
            <v>0</v>
          </cell>
          <cell r="Z5276">
            <v>0</v>
          </cell>
        </row>
        <row r="5277">
          <cell r="V5277">
            <v>0</v>
          </cell>
          <cell r="Z5277">
            <v>0</v>
          </cell>
        </row>
        <row r="5278">
          <cell r="V5278">
            <v>0</v>
          </cell>
          <cell r="Z5278">
            <v>0</v>
          </cell>
        </row>
        <row r="5279">
          <cell r="V5279">
            <v>0</v>
          </cell>
          <cell r="Z5279">
            <v>0</v>
          </cell>
        </row>
        <row r="5280">
          <cell r="V5280">
            <v>0</v>
          </cell>
          <cell r="Z5280">
            <v>0</v>
          </cell>
        </row>
        <row r="5281">
          <cell r="V5281">
            <v>0</v>
          </cell>
          <cell r="Z5281">
            <v>0</v>
          </cell>
        </row>
        <row r="5282">
          <cell r="V5282">
            <v>0</v>
          </cell>
          <cell r="Z5282">
            <v>0</v>
          </cell>
        </row>
        <row r="5283">
          <cell r="V5283">
            <v>0</v>
          </cell>
          <cell r="Z5283">
            <v>0</v>
          </cell>
        </row>
        <row r="5284">
          <cell r="V5284">
            <v>0</v>
          </cell>
          <cell r="Z5284">
            <v>0</v>
          </cell>
        </row>
        <row r="5285">
          <cell r="V5285">
            <v>0</v>
          </cell>
          <cell r="Z5285">
            <v>0</v>
          </cell>
        </row>
        <row r="5286">
          <cell r="V5286">
            <v>0</v>
          </cell>
          <cell r="Z5286">
            <v>0</v>
          </cell>
        </row>
        <row r="5287">
          <cell r="V5287">
            <v>0</v>
          </cell>
          <cell r="Z5287">
            <v>0</v>
          </cell>
        </row>
        <row r="5288">
          <cell r="V5288">
            <v>0</v>
          </cell>
          <cell r="Z5288">
            <v>0</v>
          </cell>
        </row>
        <row r="5289">
          <cell r="V5289">
            <v>0</v>
          </cell>
          <cell r="Z5289">
            <v>0</v>
          </cell>
        </row>
        <row r="5290">
          <cell r="V5290">
            <v>0</v>
          </cell>
          <cell r="Z5290">
            <v>0</v>
          </cell>
        </row>
        <row r="5291">
          <cell r="V5291">
            <v>0</v>
          </cell>
          <cell r="Z5291">
            <v>0</v>
          </cell>
        </row>
        <row r="5292">
          <cell r="V5292">
            <v>0</v>
          </cell>
          <cell r="Z5292">
            <v>0</v>
          </cell>
        </row>
        <row r="5293">
          <cell r="V5293">
            <v>0</v>
          </cell>
          <cell r="Z5293">
            <v>0</v>
          </cell>
        </row>
        <row r="5294">
          <cell r="V5294">
            <v>0</v>
          </cell>
          <cell r="Z5294">
            <v>0</v>
          </cell>
        </row>
        <row r="5295">
          <cell r="V5295">
            <v>0</v>
          </cell>
          <cell r="Z5295">
            <v>0</v>
          </cell>
        </row>
        <row r="5296">
          <cell r="V5296">
            <v>0</v>
          </cell>
          <cell r="Z5296">
            <v>0</v>
          </cell>
        </row>
        <row r="5297">
          <cell r="V5297">
            <v>0</v>
          </cell>
          <cell r="Z5297">
            <v>0</v>
          </cell>
        </row>
        <row r="5298">
          <cell r="V5298">
            <v>0</v>
          </cell>
          <cell r="Z5298">
            <v>0</v>
          </cell>
        </row>
        <row r="5299">
          <cell r="V5299">
            <v>0</v>
          </cell>
          <cell r="Z5299">
            <v>0</v>
          </cell>
        </row>
        <row r="5300">
          <cell r="V5300">
            <v>0</v>
          </cell>
          <cell r="Z5300">
            <v>0</v>
          </cell>
        </row>
        <row r="5301">
          <cell r="V5301">
            <v>0</v>
          </cell>
          <cell r="Z5301">
            <v>0</v>
          </cell>
        </row>
        <row r="5302">
          <cell r="V5302">
            <v>0</v>
          </cell>
          <cell r="Z5302">
            <v>0</v>
          </cell>
        </row>
        <row r="5303">
          <cell r="V5303">
            <v>0</v>
          </cell>
          <cell r="Z5303">
            <v>0</v>
          </cell>
        </row>
        <row r="5304">
          <cell r="V5304">
            <v>0</v>
          </cell>
          <cell r="Z5304">
            <v>0</v>
          </cell>
        </row>
        <row r="5305">
          <cell r="V5305">
            <v>0</v>
          </cell>
          <cell r="Z5305">
            <v>0</v>
          </cell>
        </row>
        <row r="5306">
          <cell r="V5306">
            <v>0</v>
          </cell>
          <cell r="Z5306">
            <v>0</v>
          </cell>
        </row>
        <row r="5307">
          <cell r="V5307">
            <v>0</v>
          </cell>
          <cell r="Z5307">
            <v>0</v>
          </cell>
        </row>
        <row r="5308">
          <cell r="V5308">
            <v>0</v>
          </cell>
          <cell r="Z5308">
            <v>0</v>
          </cell>
        </row>
        <row r="5309">
          <cell r="V5309">
            <v>0</v>
          </cell>
          <cell r="Z5309">
            <v>0</v>
          </cell>
        </row>
        <row r="5310">
          <cell r="V5310">
            <v>0</v>
          </cell>
          <cell r="Z5310">
            <v>0</v>
          </cell>
        </row>
        <row r="5311">
          <cell r="V5311">
            <v>0</v>
          </cell>
          <cell r="Z5311">
            <v>0</v>
          </cell>
        </row>
        <row r="5312">
          <cell r="V5312">
            <v>0</v>
          </cell>
          <cell r="Z5312">
            <v>0</v>
          </cell>
        </row>
        <row r="5313">
          <cell r="V5313">
            <v>0</v>
          </cell>
          <cell r="Z5313">
            <v>0</v>
          </cell>
        </row>
        <row r="5314">
          <cell r="V5314">
            <v>0</v>
          </cell>
          <cell r="Z5314">
            <v>0</v>
          </cell>
        </row>
        <row r="5315">
          <cell r="V5315">
            <v>0</v>
          </cell>
          <cell r="Z5315">
            <v>0</v>
          </cell>
        </row>
        <row r="5316">
          <cell r="V5316">
            <v>0</v>
          </cell>
          <cell r="Z5316">
            <v>0</v>
          </cell>
        </row>
        <row r="5317">
          <cell r="V5317">
            <v>0</v>
          </cell>
          <cell r="Z5317">
            <v>0</v>
          </cell>
        </row>
        <row r="5318">
          <cell r="V5318">
            <v>0</v>
          </cell>
          <cell r="Z5318">
            <v>0</v>
          </cell>
        </row>
        <row r="5319">
          <cell r="V5319">
            <v>0</v>
          </cell>
          <cell r="Z5319">
            <v>0</v>
          </cell>
        </row>
        <row r="5320">
          <cell r="V5320">
            <v>0</v>
          </cell>
          <cell r="Z5320">
            <v>0</v>
          </cell>
        </row>
        <row r="5321">
          <cell r="V5321">
            <v>0</v>
          </cell>
          <cell r="Z5321">
            <v>0</v>
          </cell>
        </row>
        <row r="5322">
          <cell r="V5322">
            <v>0</v>
          </cell>
          <cell r="Z5322">
            <v>0</v>
          </cell>
        </row>
        <row r="5323">
          <cell r="V5323">
            <v>0</v>
          </cell>
          <cell r="Z5323">
            <v>0</v>
          </cell>
        </row>
        <row r="5324">
          <cell r="V5324">
            <v>0</v>
          </cell>
          <cell r="Z5324">
            <v>0</v>
          </cell>
        </row>
        <row r="5325">
          <cell r="V5325">
            <v>0</v>
          </cell>
          <cell r="Z5325">
            <v>0</v>
          </cell>
        </row>
        <row r="5326">
          <cell r="V5326">
            <v>0</v>
          </cell>
          <cell r="Z5326">
            <v>0</v>
          </cell>
        </row>
        <row r="5327">
          <cell r="V5327">
            <v>0</v>
          </cell>
          <cell r="Z5327">
            <v>0</v>
          </cell>
        </row>
        <row r="5328">
          <cell r="V5328">
            <v>0</v>
          </cell>
          <cell r="Z5328">
            <v>0</v>
          </cell>
        </row>
        <row r="5329">
          <cell r="V5329">
            <v>0</v>
          </cell>
          <cell r="Z5329">
            <v>0</v>
          </cell>
        </row>
        <row r="5330">
          <cell r="V5330">
            <v>0</v>
          </cell>
          <cell r="Z5330">
            <v>0</v>
          </cell>
        </row>
        <row r="5331">
          <cell r="V5331">
            <v>0</v>
          </cell>
          <cell r="Z5331">
            <v>0</v>
          </cell>
        </row>
        <row r="5332">
          <cell r="V5332">
            <v>0</v>
          </cell>
          <cell r="Z5332">
            <v>0</v>
          </cell>
        </row>
        <row r="5333">
          <cell r="V5333">
            <v>0</v>
          </cell>
          <cell r="Z5333">
            <v>0</v>
          </cell>
        </row>
        <row r="5334">
          <cell r="V5334">
            <v>0</v>
          </cell>
          <cell r="Z5334">
            <v>0</v>
          </cell>
        </row>
        <row r="5335">
          <cell r="V5335">
            <v>0</v>
          </cell>
          <cell r="Z5335">
            <v>0</v>
          </cell>
        </row>
        <row r="5336">
          <cell r="V5336">
            <v>0</v>
          </cell>
          <cell r="Z5336">
            <v>0</v>
          </cell>
        </row>
        <row r="5337">
          <cell r="V5337">
            <v>0</v>
          </cell>
          <cell r="Z5337">
            <v>0</v>
          </cell>
        </row>
        <row r="5338">
          <cell r="V5338">
            <v>0</v>
          </cell>
          <cell r="Z5338">
            <v>0</v>
          </cell>
        </row>
        <row r="5339">
          <cell r="V5339">
            <v>0</v>
          </cell>
          <cell r="Z5339">
            <v>0</v>
          </cell>
        </row>
        <row r="5340">
          <cell r="V5340">
            <v>0</v>
          </cell>
          <cell r="Z5340">
            <v>0</v>
          </cell>
        </row>
        <row r="5341">
          <cell r="V5341">
            <v>0</v>
          </cell>
          <cell r="Z5341">
            <v>0</v>
          </cell>
        </row>
        <row r="5342">
          <cell r="V5342">
            <v>0</v>
          </cell>
          <cell r="Z5342">
            <v>0</v>
          </cell>
        </row>
        <row r="5343">
          <cell r="V5343">
            <v>0</v>
          </cell>
          <cell r="Z5343">
            <v>0</v>
          </cell>
        </row>
        <row r="5344">
          <cell r="V5344">
            <v>0</v>
          </cell>
          <cell r="Z5344">
            <v>0</v>
          </cell>
        </row>
        <row r="5345">
          <cell r="V5345">
            <v>0</v>
          </cell>
          <cell r="Z5345">
            <v>0</v>
          </cell>
        </row>
        <row r="5346">
          <cell r="V5346">
            <v>0</v>
          </cell>
          <cell r="Z5346">
            <v>0</v>
          </cell>
        </row>
        <row r="5347">
          <cell r="V5347">
            <v>0</v>
          </cell>
          <cell r="Z5347">
            <v>0</v>
          </cell>
        </row>
        <row r="5348">
          <cell r="V5348">
            <v>0</v>
          </cell>
          <cell r="Z5348">
            <v>0</v>
          </cell>
        </row>
        <row r="5349">
          <cell r="V5349">
            <v>0</v>
          </cell>
          <cell r="Z5349">
            <v>0</v>
          </cell>
        </row>
        <row r="5350">
          <cell r="V5350">
            <v>0</v>
          </cell>
          <cell r="Z5350">
            <v>0</v>
          </cell>
        </row>
        <row r="5351">
          <cell r="V5351">
            <v>0</v>
          </cell>
          <cell r="Z5351">
            <v>0</v>
          </cell>
        </row>
        <row r="5352">
          <cell r="V5352">
            <v>0</v>
          </cell>
          <cell r="Z5352">
            <v>0</v>
          </cell>
        </row>
        <row r="5353">
          <cell r="V5353">
            <v>0</v>
          </cell>
          <cell r="Z5353">
            <v>0</v>
          </cell>
        </row>
        <row r="5354">
          <cell r="V5354">
            <v>0</v>
          </cell>
          <cell r="Z5354">
            <v>0</v>
          </cell>
        </row>
        <row r="5355">
          <cell r="V5355">
            <v>0</v>
          </cell>
          <cell r="Z5355">
            <v>0</v>
          </cell>
        </row>
        <row r="5356">
          <cell r="V5356">
            <v>0</v>
          </cell>
          <cell r="Z5356">
            <v>0</v>
          </cell>
        </row>
        <row r="5357">
          <cell r="V5357">
            <v>0</v>
          </cell>
          <cell r="Z5357">
            <v>0</v>
          </cell>
        </row>
        <row r="5358">
          <cell r="V5358">
            <v>0</v>
          </cell>
          <cell r="Z5358">
            <v>0</v>
          </cell>
        </row>
        <row r="5359">
          <cell r="V5359">
            <v>0</v>
          </cell>
          <cell r="Z5359">
            <v>0</v>
          </cell>
        </row>
        <row r="5360">
          <cell r="V5360">
            <v>0</v>
          </cell>
          <cell r="Z5360">
            <v>0</v>
          </cell>
        </row>
        <row r="5361">
          <cell r="V5361">
            <v>0</v>
          </cell>
          <cell r="Z5361">
            <v>0</v>
          </cell>
        </row>
        <row r="5362">
          <cell r="V5362">
            <v>0</v>
          </cell>
          <cell r="Z5362">
            <v>0</v>
          </cell>
        </row>
        <row r="5363">
          <cell r="V5363">
            <v>0</v>
          </cell>
          <cell r="Z5363">
            <v>0</v>
          </cell>
        </row>
        <row r="5364">
          <cell r="V5364">
            <v>0</v>
          </cell>
          <cell r="Z5364">
            <v>0</v>
          </cell>
        </row>
        <row r="5365">
          <cell r="V5365">
            <v>0</v>
          </cell>
          <cell r="Z5365">
            <v>0</v>
          </cell>
        </row>
        <row r="5366">
          <cell r="V5366">
            <v>0</v>
          </cell>
          <cell r="Z5366">
            <v>0</v>
          </cell>
        </row>
        <row r="5367">
          <cell r="V5367">
            <v>0</v>
          </cell>
          <cell r="Z5367">
            <v>0</v>
          </cell>
        </row>
        <row r="5368">
          <cell r="V5368">
            <v>0</v>
          </cell>
          <cell r="Z5368">
            <v>0</v>
          </cell>
        </row>
        <row r="5369">
          <cell r="V5369">
            <v>0</v>
          </cell>
          <cell r="Z5369">
            <v>0</v>
          </cell>
        </row>
        <row r="5370">
          <cell r="V5370">
            <v>0</v>
          </cell>
          <cell r="Z5370">
            <v>0</v>
          </cell>
        </row>
        <row r="5371">
          <cell r="V5371">
            <v>0</v>
          </cell>
          <cell r="Z5371">
            <v>0</v>
          </cell>
        </row>
        <row r="5372">
          <cell r="V5372">
            <v>0</v>
          </cell>
          <cell r="Z5372">
            <v>0</v>
          </cell>
        </row>
        <row r="5373">
          <cell r="V5373">
            <v>0</v>
          </cell>
          <cell r="Z5373">
            <v>0</v>
          </cell>
        </row>
        <row r="5374">
          <cell r="V5374">
            <v>0</v>
          </cell>
          <cell r="Z5374">
            <v>0</v>
          </cell>
        </row>
        <row r="5375">
          <cell r="V5375">
            <v>0</v>
          </cell>
          <cell r="Z5375">
            <v>0</v>
          </cell>
        </row>
        <row r="5376">
          <cell r="V5376">
            <v>0</v>
          </cell>
          <cell r="Z5376">
            <v>0</v>
          </cell>
        </row>
        <row r="5377">
          <cell r="V5377">
            <v>0</v>
          </cell>
          <cell r="Z5377">
            <v>0</v>
          </cell>
        </row>
        <row r="5378">
          <cell r="V5378">
            <v>0</v>
          </cell>
          <cell r="Z5378">
            <v>0</v>
          </cell>
        </row>
        <row r="5379">
          <cell r="V5379">
            <v>0</v>
          </cell>
          <cell r="Z5379">
            <v>0</v>
          </cell>
        </row>
        <row r="5380">
          <cell r="V5380">
            <v>0</v>
          </cell>
          <cell r="Z5380">
            <v>0</v>
          </cell>
        </row>
        <row r="5381">
          <cell r="V5381">
            <v>0</v>
          </cell>
          <cell r="Z5381">
            <v>0</v>
          </cell>
        </row>
        <row r="5382">
          <cell r="V5382">
            <v>0</v>
          </cell>
          <cell r="Z5382">
            <v>0</v>
          </cell>
        </row>
        <row r="5383">
          <cell r="V5383">
            <v>0</v>
          </cell>
          <cell r="Z5383">
            <v>0</v>
          </cell>
        </row>
        <row r="5384">
          <cell r="V5384">
            <v>0</v>
          </cell>
          <cell r="Z5384">
            <v>0</v>
          </cell>
        </row>
        <row r="5385">
          <cell r="V5385">
            <v>0</v>
          </cell>
          <cell r="Z5385">
            <v>0</v>
          </cell>
        </row>
        <row r="5386">
          <cell r="V5386">
            <v>0</v>
          </cell>
          <cell r="Z5386">
            <v>0</v>
          </cell>
        </row>
        <row r="5387">
          <cell r="V5387">
            <v>0</v>
          </cell>
          <cell r="Z5387">
            <v>0</v>
          </cell>
        </row>
        <row r="5388">
          <cell r="V5388">
            <v>0</v>
          </cell>
          <cell r="Z5388">
            <v>0</v>
          </cell>
        </row>
        <row r="5389">
          <cell r="V5389">
            <v>0</v>
          </cell>
          <cell r="Z5389">
            <v>0</v>
          </cell>
        </row>
        <row r="5390">
          <cell r="V5390">
            <v>0</v>
          </cell>
          <cell r="Z5390">
            <v>0</v>
          </cell>
        </row>
        <row r="5391">
          <cell r="V5391">
            <v>0</v>
          </cell>
          <cell r="Z5391">
            <v>0</v>
          </cell>
        </row>
        <row r="5392">
          <cell r="V5392">
            <v>0</v>
          </cell>
          <cell r="Z5392">
            <v>0</v>
          </cell>
        </row>
        <row r="5393">
          <cell r="V5393">
            <v>0</v>
          </cell>
          <cell r="Z5393">
            <v>0</v>
          </cell>
        </row>
        <row r="5394">
          <cell r="V5394">
            <v>0</v>
          </cell>
          <cell r="Z5394">
            <v>0</v>
          </cell>
        </row>
        <row r="5395">
          <cell r="V5395">
            <v>0</v>
          </cell>
          <cell r="Z5395">
            <v>0</v>
          </cell>
        </row>
        <row r="5396">
          <cell r="V5396">
            <v>0</v>
          </cell>
          <cell r="Z5396">
            <v>0</v>
          </cell>
        </row>
        <row r="5397">
          <cell r="V5397">
            <v>0</v>
          </cell>
          <cell r="Z5397">
            <v>0</v>
          </cell>
        </row>
        <row r="5398">
          <cell r="V5398">
            <v>0</v>
          </cell>
          <cell r="Z5398">
            <v>0</v>
          </cell>
        </row>
        <row r="5399">
          <cell r="V5399">
            <v>0</v>
          </cell>
          <cell r="Z5399">
            <v>0</v>
          </cell>
        </row>
        <row r="5400">
          <cell r="V5400">
            <v>0</v>
          </cell>
          <cell r="Z5400">
            <v>0</v>
          </cell>
        </row>
        <row r="5401">
          <cell r="V5401">
            <v>0</v>
          </cell>
          <cell r="Z5401">
            <v>0</v>
          </cell>
        </row>
        <row r="5402">
          <cell r="V5402">
            <v>0</v>
          </cell>
          <cell r="Z5402">
            <v>0</v>
          </cell>
        </row>
        <row r="5403">
          <cell r="V5403">
            <v>0</v>
          </cell>
          <cell r="Z5403">
            <v>0</v>
          </cell>
        </row>
        <row r="5404">
          <cell r="V5404">
            <v>0</v>
          </cell>
          <cell r="Z5404">
            <v>0</v>
          </cell>
        </row>
        <row r="5405">
          <cell r="V5405">
            <v>0</v>
          </cell>
          <cell r="Z5405">
            <v>0</v>
          </cell>
        </row>
        <row r="5406">
          <cell r="V5406">
            <v>0</v>
          </cell>
          <cell r="Z5406">
            <v>0</v>
          </cell>
        </row>
        <row r="5407">
          <cell r="V5407">
            <v>0</v>
          </cell>
          <cell r="Z5407">
            <v>0</v>
          </cell>
        </row>
        <row r="5408">
          <cell r="V5408">
            <v>0</v>
          </cell>
          <cell r="Z5408">
            <v>0</v>
          </cell>
        </row>
        <row r="5409">
          <cell r="V5409">
            <v>0</v>
          </cell>
          <cell r="Z5409">
            <v>0</v>
          </cell>
        </row>
        <row r="5410">
          <cell r="V5410">
            <v>0</v>
          </cell>
          <cell r="Z5410">
            <v>0</v>
          </cell>
        </row>
        <row r="5411">
          <cell r="V5411">
            <v>0</v>
          </cell>
          <cell r="Z5411">
            <v>0</v>
          </cell>
        </row>
        <row r="5412">
          <cell r="V5412">
            <v>0</v>
          </cell>
          <cell r="Z5412">
            <v>0</v>
          </cell>
        </row>
        <row r="5413">
          <cell r="V5413">
            <v>0</v>
          </cell>
          <cell r="Z5413">
            <v>0</v>
          </cell>
        </row>
        <row r="5414">
          <cell r="V5414">
            <v>0</v>
          </cell>
          <cell r="Z5414">
            <v>0</v>
          </cell>
        </row>
        <row r="5415">
          <cell r="V5415">
            <v>0</v>
          </cell>
          <cell r="Z5415">
            <v>0</v>
          </cell>
        </row>
        <row r="5416">
          <cell r="V5416">
            <v>0</v>
          </cell>
          <cell r="Z5416">
            <v>0</v>
          </cell>
        </row>
        <row r="5417">
          <cell r="V5417">
            <v>0</v>
          </cell>
          <cell r="Z5417">
            <v>0</v>
          </cell>
        </row>
        <row r="5418">
          <cell r="V5418">
            <v>0</v>
          </cell>
          <cell r="Z5418">
            <v>0</v>
          </cell>
        </row>
        <row r="5419">
          <cell r="V5419">
            <v>0</v>
          </cell>
          <cell r="Z5419">
            <v>0</v>
          </cell>
        </row>
        <row r="5420">
          <cell r="V5420">
            <v>0</v>
          </cell>
          <cell r="Z5420">
            <v>0</v>
          </cell>
        </row>
        <row r="5421">
          <cell r="V5421">
            <v>0</v>
          </cell>
          <cell r="Z5421">
            <v>0</v>
          </cell>
        </row>
        <row r="5422">
          <cell r="V5422">
            <v>0</v>
          </cell>
          <cell r="Z5422">
            <v>0</v>
          </cell>
        </row>
        <row r="5423">
          <cell r="V5423">
            <v>0</v>
          </cell>
          <cell r="Z5423">
            <v>0</v>
          </cell>
        </row>
        <row r="5424">
          <cell r="V5424">
            <v>0</v>
          </cell>
          <cell r="Z5424">
            <v>0</v>
          </cell>
        </row>
        <row r="5425">
          <cell r="V5425">
            <v>0</v>
          </cell>
          <cell r="Z5425">
            <v>0</v>
          </cell>
        </row>
        <row r="5426">
          <cell r="V5426">
            <v>0</v>
          </cell>
          <cell r="Z5426">
            <v>0</v>
          </cell>
        </row>
        <row r="5427">
          <cell r="V5427">
            <v>0</v>
          </cell>
          <cell r="Z5427">
            <v>0</v>
          </cell>
        </row>
        <row r="5428">
          <cell r="V5428">
            <v>0</v>
          </cell>
          <cell r="Z5428">
            <v>0</v>
          </cell>
        </row>
        <row r="5429">
          <cell r="V5429">
            <v>0</v>
          </cell>
          <cell r="Z5429">
            <v>0</v>
          </cell>
        </row>
        <row r="5430">
          <cell r="V5430">
            <v>0</v>
          </cell>
          <cell r="Z5430">
            <v>0</v>
          </cell>
        </row>
        <row r="5431">
          <cell r="V5431">
            <v>0</v>
          </cell>
          <cell r="Z5431">
            <v>0</v>
          </cell>
        </row>
        <row r="5432">
          <cell r="V5432">
            <v>0</v>
          </cell>
          <cell r="Z5432">
            <v>0</v>
          </cell>
        </row>
        <row r="5433">
          <cell r="V5433">
            <v>0</v>
          </cell>
          <cell r="Z5433">
            <v>0</v>
          </cell>
        </row>
        <row r="5434">
          <cell r="V5434">
            <v>0</v>
          </cell>
          <cell r="Z5434">
            <v>0</v>
          </cell>
        </row>
        <row r="5435">
          <cell r="V5435">
            <v>0</v>
          </cell>
          <cell r="Z5435">
            <v>0</v>
          </cell>
        </row>
        <row r="5436">
          <cell r="V5436">
            <v>0</v>
          </cell>
          <cell r="Z5436">
            <v>0</v>
          </cell>
        </row>
        <row r="5437">
          <cell r="V5437">
            <v>0</v>
          </cell>
          <cell r="Z5437">
            <v>0</v>
          </cell>
        </row>
        <row r="5438">
          <cell r="V5438">
            <v>0</v>
          </cell>
          <cell r="Z5438">
            <v>0</v>
          </cell>
        </row>
        <row r="5439">
          <cell r="V5439">
            <v>0</v>
          </cell>
          <cell r="Z5439">
            <v>0</v>
          </cell>
        </row>
        <row r="5440">
          <cell r="V5440">
            <v>0</v>
          </cell>
          <cell r="Z5440">
            <v>0</v>
          </cell>
        </row>
        <row r="5441">
          <cell r="V5441">
            <v>0</v>
          </cell>
          <cell r="Z5441">
            <v>0</v>
          </cell>
        </row>
        <row r="5442">
          <cell r="V5442">
            <v>0</v>
          </cell>
          <cell r="Z5442">
            <v>0</v>
          </cell>
        </row>
        <row r="5443">
          <cell r="V5443">
            <v>0</v>
          </cell>
          <cell r="Z5443">
            <v>0</v>
          </cell>
        </row>
        <row r="5444">
          <cell r="V5444">
            <v>0</v>
          </cell>
          <cell r="Z5444">
            <v>0</v>
          </cell>
        </row>
        <row r="5445">
          <cell r="V5445">
            <v>0</v>
          </cell>
          <cell r="Z5445">
            <v>0</v>
          </cell>
        </row>
        <row r="5446">
          <cell r="V5446">
            <v>0</v>
          </cell>
          <cell r="Z5446">
            <v>0</v>
          </cell>
        </row>
        <row r="5447">
          <cell r="V5447">
            <v>0</v>
          </cell>
          <cell r="Z5447">
            <v>0</v>
          </cell>
        </row>
        <row r="5448">
          <cell r="V5448">
            <v>0</v>
          </cell>
          <cell r="Z5448">
            <v>0</v>
          </cell>
        </row>
        <row r="5449">
          <cell r="V5449">
            <v>0</v>
          </cell>
          <cell r="Z5449">
            <v>0</v>
          </cell>
        </row>
        <row r="5450">
          <cell r="V5450">
            <v>0</v>
          </cell>
          <cell r="Z5450">
            <v>0</v>
          </cell>
        </row>
        <row r="5451">
          <cell r="V5451">
            <v>0</v>
          </cell>
          <cell r="Z5451">
            <v>0</v>
          </cell>
        </row>
        <row r="5452">
          <cell r="V5452">
            <v>0</v>
          </cell>
          <cell r="Z5452">
            <v>0</v>
          </cell>
        </row>
        <row r="5453">
          <cell r="V5453">
            <v>0</v>
          </cell>
          <cell r="Z5453">
            <v>0</v>
          </cell>
        </row>
        <row r="5454">
          <cell r="V5454">
            <v>0</v>
          </cell>
          <cell r="Z5454">
            <v>0</v>
          </cell>
        </row>
        <row r="5455">
          <cell r="V5455">
            <v>0</v>
          </cell>
          <cell r="Z5455">
            <v>0</v>
          </cell>
        </row>
        <row r="5456">
          <cell r="V5456">
            <v>0</v>
          </cell>
          <cell r="Z5456">
            <v>0</v>
          </cell>
        </row>
        <row r="5457">
          <cell r="V5457">
            <v>0</v>
          </cell>
          <cell r="Z5457">
            <v>0</v>
          </cell>
        </row>
        <row r="5458">
          <cell r="V5458">
            <v>0</v>
          </cell>
          <cell r="Z5458">
            <v>0</v>
          </cell>
        </row>
        <row r="5459">
          <cell r="V5459">
            <v>0</v>
          </cell>
          <cell r="Z5459">
            <v>0</v>
          </cell>
        </row>
        <row r="5460">
          <cell r="V5460">
            <v>0</v>
          </cell>
          <cell r="Z5460">
            <v>0</v>
          </cell>
        </row>
        <row r="5461">
          <cell r="V5461">
            <v>0</v>
          </cell>
          <cell r="Z5461">
            <v>0</v>
          </cell>
        </row>
        <row r="5462">
          <cell r="V5462">
            <v>0</v>
          </cell>
          <cell r="Z5462">
            <v>0</v>
          </cell>
        </row>
        <row r="5463">
          <cell r="V5463">
            <v>0</v>
          </cell>
          <cell r="Z5463">
            <v>0</v>
          </cell>
        </row>
        <row r="5464">
          <cell r="V5464">
            <v>0</v>
          </cell>
          <cell r="Z5464">
            <v>0</v>
          </cell>
        </row>
        <row r="5465">
          <cell r="V5465">
            <v>0</v>
          </cell>
          <cell r="Z5465">
            <v>0</v>
          </cell>
        </row>
        <row r="5466">
          <cell r="V5466">
            <v>0</v>
          </cell>
          <cell r="Z5466">
            <v>0</v>
          </cell>
        </row>
        <row r="5467">
          <cell r="V5467">
            <v>0</v>
          </cell>
          <cell r="Z5467">
            <v>0</v>
          </cell>
        </row>
        <row r="5468">
          <cell r="V5468">
            <v>0</v>
          </cell>
          <cell r="Z5468">
            <v>0</v>
          </cell>
        </row>
        <row r="5469">
          <cell r="V5469">
            <v>0</v>
          </cell>
          <cell r="Z5469">
            <v>0</v>
          </cell>
        </row>
        <row r="5470">
          <cell r="V5470">
            <v>0</v>
          </cell>
          <cell r="Z5470">
            <v>0</v>
          </cell>
        </row>
        <row r="5471">
          <cell r="V5471">
            <v>0</v>
          </cell>
          <cell r="Z5471">
            <v>0</v>
          </cell>
        </row>
        <row r="5472">
          <cell r="V5472">
            <v>0</v>
          </cell>
          <cell r="Z5472">
            <v>0</v>
          </cell>
        </row>
        <row r="5473">
          <cell r="V5473">
            <v>0</v>
          </cell>
          <cell r="Z5473">
            <v>0</v>
          </cell>
        </row>
        <row r="5474">
          <cell r="V5474">
            <v>0</v>
          </cell>
          <cell r="Z5474">
            <v>0</v>
          </cell>
        </row>
        <row r="5475">
          <cell r="V5475">
            <v>0</v>
          </cell>
          <cell r="Z5475">
            <v>0</v>
          </cell>
        </row>
        <row r="5476">
          <cell r="V5476">
            <v>0</v>
          </cell>
          <cell r="Z5476">
            <v>0</v>
          </cell>
        </row>
        <row r="5477">
          <cell r="V5477">
            <v>0</v>
          </cell>
          <cell r="Z5477">
            <v>0</v>
          </cell>
        </row>
        <row r="5478">
          <cell r="V5478">
            <v>0</v>
          </cell>
          <cell r="Z5478">
            <v>0</v>
          </cell>
        </row>
        <row r="5479">
          <cell r="V5479">
            <v>0</v>
          </cell>
          <cell r="Z5479">
            <v>0</v>
          </cell>
        </row>
        <row r="5480">
          <cell r="V5480">
            <v>0</v>
          </cell>
          <cell r="Z5480">
            <v>0</v>
          </cell>
        </row>
        <row r="5481">
          <cell r="V5481">
            <v>0</v>
          </cell>
          <cell r="Z5481">
            <v>0</v>
          </cell>
        </row>
        <row r="5482">
          <cell r="V5482">
            <v>0</v>
          </cell>
          <cell r="Z5482">
            <v>0</v>
          </cell>
        </row>
        <row r="5483">
          <cell r="V5483">
            <v>0</v>
          </cell>
          <cell r="Z5483">
            <v>0</v>
          </cell>
        </row>
        <row r="5484">
          <cell r="V5484">
            <v>0</v>
          </cell>
          <cell r="Z5484">
            <v>0</v>
          </cell>
        </row>
        <row r="5485">
          <cell r="V5485">
            <v>0</v>
          </cell>
          <cell r="Z5485">
            <v>0</v>
          </cell>
        </row>
        <row r="5486">
          <cell r="V5486">
            <v>0</v>
          </cell>
          <cell r="Z5486">
            <v>0</v>
          </cell>
        </row>
        <row r="5487">
          <cell r="V5487">
            <v>0</v>
          </cell>
          <cell r="Z5487">
            <v>0</v>
          </cell>
        </row>
        <row r="5488">
          <cell r="V5488">
            <v>0</v>
          </cell>
          <cell r="Z5488">
            <v>0</v>
          </cell>
        </row>
        <row r="5489">
          <cell r="V5489">
            <v>0</v>
          </cell>
          <cell r="Z5489">
            <v>0</v>
          </cell>
        </row>
        <row r="5490">
          <cell r="V5490">
            <v>0</v>
          </cell>
          <cell r="Z5490">
            <v>0</v>
          </cell>
        </row>
        <row r="5491">
          <cell r="V5491">
            <v>0</v>
          </cell>
          <cell r="Z5491">
            <v>0</v>
          </cell>
        </row>
        <row r="5492">
          <cell r="V5492">
            <v>0</v>
          </cell>
          <cell r="Z5492">
            <v>0</v>
          </cell>
        </row>
        <row r="5493">
          <cell r="V5493">
            <v>0</v>
          </cell>
          <cell r="Z5493">
            <v>0</v>
          </cell>
        </row>
        <row r="5494">
          <cell r="V5494">
            <v>0</v>
          </cell>
          <cell r="Z5494">
            <v>0</v>
          </cell>
        </row>
        <row r="5495">
          <cell r="V5495">
            <v>0</v>
          </cell>
          <cell r="Z5495">
            <v>0</v>
          </cell>
        </row>
        <row r="5496">
          <cell r="V5496">
            <v>0</v>
          </cell>
          <cell r="Z5496">
            <v>0</v>
          </cell>
        </row>
        <row r="5497">
          <cell r="V5497">
            <v>0</v>
          </cell>
          <cell r="Z5497">
            <v>0</v>
          </cell>
        </row>
        <row r="5498">
          <cell r="V5498">
            <v>0</v>
          </cell>
          <cell r="Z5498">
            <v>0</v>
          </cell>
        </row>
        <row r="5499">
          <cell r="V5499">
            <v>0</v>
          </cell>
          <cell r="Z5499">
            <v>0</v>
          </cell>
        </row>
        <row r="5500">
          <cell r="V5500">
            <v>0</v>
          </cell>
          <cell r="Z5500">
            <v>0</v>
          </cell>
        </row>
        <row r="5501">
          <cell r="V5501">
            <v>0</v>
          </cell>
          <cell r="Z5501">
            <v>0</v>
          </cell>
        </row>
        <row r="5502">
          <cell r="V5502">
            <v>0</v>
          </cell>
          <cell r="Z5502">
            <v>0</v>
          </cell>
        </row>
        <row r="5503">
          <cell r="V5503">
            <v>0</v>
          </cell>
          <cell r="Z5503">
            <v>0</v>
          </cell>
        </row>
        <row r="5504">
          <cell r="V5504">
            <v>0</v>
          </cell>
          <cell r="Z5504">
            <v>0</v>
          </cell>
        </row>
        <row r="5505">
          <cell r="V5505">
            <v>0</v>
          </cell>
          <cell r="Z5505">
            <v>0</v>
          </cell>
        </row>
        <row r="5506">
          <cell r="V5506">
            <v>0</v>
          </cell>
          <cell r="Z5506">
            <v>0</v>
          </cell>
        </row>
        <row r="5507">
          <cell r="V5507">
            <v>0</v>
          </cell>
          <cell r="Z5507">
            <v>0</v>
          </cell>
        </row>
        <row r="5508">
          <cell r="V5508">
            <v>0</v>
          </cell>
          <cell r="Z5508">
            <v>0</v>
          </cell>
        </row>
        <row r="5509">
          <cell r="V5509">
            <v>0</v>
          </cell>
          <cell r="Z5509">
            <v>0</v>
          </cell>
        </row>
        <row r="5510">
          <cell r="V5510">
            <v>0</v>
          </cell>
          <cell r="Z5510">
            <v>0</v>
          </cell>
        </row>
        <row r="5511">
          <cell r="V5511">
            <v>0</v>
          </cell>
          <cell r="Z5511">
            <v>0</v>
          </cell>
        </row>
        <row r="5512">
          <cell r="V5512">
            <v>0</v>
          </cell>
          <cell r="Z5512">
            <v>0</v>
          </cell>
        </row>
        <row r="5513">
          <cell r="V5513">
            <v>0</v>
          </cell>
          <cell r="Z5513">
            <v>0</v>
          </cell>
        </row>
        <row r="5514">
          <cell r="V5514">
            <v>0</v>
          </cell>
          <cell r="Z5514">
            <v>0</v>
          </cell>
        </row>
        <row r="5515">
          <cell r="V5515">
            <v>0</v>
          </cell>
          <cell r="Z5515">
            <v>0</v>
          </cell>
        </row>
        <row r="5516">
          <cell r="V5516">
            <v>0</v>
          </cell>
          <cell r="Z5516">
            <v>0</v>
          </cell>
        </row>
        <row r="5517">
          <cell r="V5517">
            <v>0</v>
          </cell>
          <cell r="Z5517">
            <v>0</v>
          </cell>
        </row>
        <row r="5518">
          <cell r="V5518">
            <v>0</v>
          </cell>
          <cell r="Z5518">
            <v>0</v>
          </cell>
        </row>
        <row r="5519">
          <cell r="V5519">
            <v>0</v>
          </cell>
          <cell r="Z5519">
            <v>0</v>
          </cell>
        </row>
        <row r="5520">
          <cell r="V5520">
            <v>0</v>
          </cell>
          <cell r="Z5520">
            <v>0</v>
          </cell>
        </row>
        <row r="5521">
          <cell r="V5521">
            <v>0</v>
          </cell>
          <cell r="Z5521">
            <v>0</v>
          </cell>
        </row>
        <row r="5522">
          <cell r="V5522">
            <v>0</v>
          </cell>
          <cell r="Z5522">
            <v>0</v>
          </cell>
        </row>
        <row r="5523">
          <cell r="V5523">
            <v>0</v>
          </cell>
          <cell r="Z5523">
            <v>0</v>
          </cell>
        </row>
        <row r="5524">
          <cell r="V5524">
            <v>0</v>
          </cell>
          <cell r="Z5524">
            <v>0</v>
          </cell>
        </row>
        <row r="5525">
          <cell r="V5525">
            <v>0</v>
          </cell>
          <cell r="Z5525">
            <v>0</v>
          </cell>
        </row>
        <row r="5526">
          <cell r="V5526">
            <v>0</v>
          </cell>
          <cell r="Z5526">
            <v>0</v>
          </cell>
        </row>
        <row r="5527">
          <cell r="V5527">
            <v>0</v>
          </cell>
          <cell r="Z5527">
            <v>0</v>
          </cell>
        </row>
        <row r="5528">
          <cell r="V5528">
            <v>0</v>
          </cell>
          <cell r="Z5528">
            <v>0</v>
          </cell>
        </row>
        <row r="5529">
          <cell r="V5529">
            <v>0</v>
          </cell>
          <cell r="Z5529">
            <v>0</v>
          </cell>
        </row>
        <row r="5530">
          <cell r="V5530">
            <v>0</v>
          </cell>
          <cell r="Z5530">
            <v>0</v>
          </cell>
        </row>
        <row r="5531">
          <cell r="V5531">
            <v>0</v>
          </cell>
          <cell r="Z5531">
            <v>0</v>
          </cell>
        </row>
        <row r="5532">
          <cell r="V5532">
            <v>0</v>
          </cell>
          <cell r="Z5532">
            <v>0</v>
          </cell>
        </row>
        <row r="5533">
          <cell r="V5533">
            <v>0</v>
          </cell>
          <cell r="Z5533">
            <v>0</v>
          </cell>
        </row>
        <row r="5534">
          <cell r="V5534">
            <v>0</v>
          </cell>
          <cell r="Z5534">
            <v>0</v>
          </cell>
        </row>
        <row r="5535">
          <cell r="V5535">
            <v>0</v>
          </cell>
          <cell r="Z5535">
            <v>0</v>
          </cell>
        </row>
        <row r="5536">
          <cell r="V5536">
            <v>0</v>
          </cell>
          <cell r="Z5536">
            <v>0</v>
          </cell>
        </row>
        <row r="5537">
          <cell r="V5537">
            <v>0</v>
          </cell>
          <cell r="Z5537">
            <v>0</v>
          </cell>
        </row>
        <row r="5538">
          <cell r="V5538">
            <v>0</v>
          </cell>
          <cell r="Z5538">
            <v>0</v>
          </cell>
        </row>
        <row r="5539">
          <cell r="V5539">
            <v>0</v>
          </cell>
          <cell r="Z5539">
            <v>0</v>
          </cell>
        </row>
        <row r="5540">
          <cell r="V5540">
            <v>0</v>
          </cell>
          <cell r="Z5540">
            <v>0</v>
          </cell>
        </row>
        <row r="5541">
          <cell r="V5541">
            <v>0</v>
          </cell>
          <cell r="Z5541">
            <v>0</v>
          </cell>
        </row>
        <row r="5542">
          <cell r="V5542">
            <v>0</v>
          </cell>
          <cell r="Z5542">
            <v>0</v>
          </cell>
        </row>
        <row r="5543">
          <cell r="V5543">
            <v>0</v>
          </cell>
          <cell r="Z5543">
            <v>0</v>
          </cell>
        </row>
        <row r="5544">
          <cell r="V5544">
            <v>0</v>
          </cell>
          <cell r="Z5544">
            <v>0</v>
          </cell>
        </row>
        <row r="5545">
          <cell r="V5545">
            <v>0</v>
          </cell>
          <cell r="Z5545">
            <v>0</v>
          </cell>
        </row>
        <row r="5546">
          <cell r="V5546">
            <v>0</v>
          </cell>
          <cell r="Z5546">
            <v>0</v>
          </cell>
        </row>
        <row r="5547">
          <cell r="V5547">
            <v>0</v>
          </cell>
          <cell r="Z5547">
            <v>0</v>
          </cell>
        </row>
        <row r="5548">
          <cell r="V5548">
            <v>0</v>
          </cell>
          <cell r="Z5548">
            <v>0</v>
          </cell>
        </row>
        <row r="5549">
          <cell r="V5549">
            <v>0</v>
          </cell>
          <cell r="Z5549">
            <v>0</v>
          </cell>
        </row>
        <row r="5550">
          <cell r="V5550">
            <v>0</v>
          </cell>
          <cell r="Z5550">
            <v>0</v>
          </cell>
        </row>
        <row r="5551">
          <cell r="V5551">
            <v>0</v>
          </cell>
          <cell r="Z5551">
            <v>0</v>
          </cell>
        </row>
        <row r="5552">
          <cell r="V5552">
            <v>0</v>
          </cell>
          <cell r="Z5552">
            <v>0</v>
          </cell>
        </row>
        <row r="5553">
          <cell r="V5553">
            <v>0</v>
          </cell>
          <cell r="Z5553">
            <v>0</v>
          </cell>
        </row>
        <row r="5554">
          <cell r="V5554">
            <v>0</v>
          </cell>
          <cell r="Z5554">
            <v>0</v>
          </cell>
        </row>
        <row r="5555">
          <cell r="V5555">
            <v>0</v>
          </cell>
          <cell r="Z5555">
            <v>0</v>
          </cell>
        </row>
        <row r="5556">
          <cell r="V5556">
            <v>0</v>
          </cell>
          <cell r="Z5556">
            <v>0</v>
          </cell>
        </row>
        <row r="5557">
          <cell r="V5557">
            <v>0</v>
          </cell>
          <cell r="Z5557">
            <v>0</v>
          </cell>
        </row>
        <row r="5558">
          <cell r="V5558">
            <v>0</v>
          </cell>
          <cell r="Z5558">
            <v>0</v>
          </cell>
        </row>
        <row r="5559">
          <cell r="V5559">
            <v>0</v>
          </cell>
          <cell r="Z5559">
            <v>0</v>
          </cell>
        </row>
        <row r="5560">
          <cell r="V5560">
            <v>0</v>
          </cell>
          <cell r="Z5560">
            <v>0</v>
          </cell>
        </row>
        <row r="5561">
          <cell r="V5561">
            <v>0</v>
          </cell>
          <cell r="Z5561">
            <v>0</v>
          </cell>
        </row>
        <row r="5562">
          <cell r="V5562">
            <v>0</v>
          </cell>
          <cell r="Z5562">
            <v>0</v>
          </cell>
        </row>
        <row r="5563">
          <cell r="V5563">
            <v>0</v>
          </cell>
          <cell r="Z5563">
            <v>0</v>
          </cell>
        </row>
        <row r="5564">
          <cell r="V5564">
            <v>0</v>
          </cell>
          <cell r="Z5564">
            <v>0</v>
          </cell>
        </row>
        <row r="5565">
          <cell r="V5565">
            <v>0</v>
          </cell>
          <cell r="Z5565">
            <v>0</v>
          </cell>
        </row>
        <row r="5566">
          <cell r="V5566">
            <v>0</v>
          </cell>
          <cell r="Z5566">
            <v>0</v>
          </cell>
        </row>
        <row r="5567">
          <cell r="V5567">
            <v>0</v>
          </cell>
          <cell r="Z5567">
            <v>0</v>
          </cell>
        </row>
        <row r="5568">
          <cell r="V5568">
            <v>0</v>
          </cell>
          <cell r="Z5568">
            <v>0</v>
          </cell>
        </row>
        <row r="5569">
          <cell r="V5569">
            <v>0</v>
          </cell>
          <cell r="Z5569">
            <v>0</v>
          </cell>
        </row>
        <row r="5570">
          <cell r="V5570">
            <v>0</v>
          </cell>
          <cell r="Z5570">
            <v>0</v>
          </cell>
        </row>
        <row r="5571">
          <cell r="V5571">
            <v>0</v>
          </cell>
          <cell r="Z5571">
            <v>0</v>
          </cell>
        </row>
        <row r="5572">
          <cell r="V5572">
            <v>0</v>
          </cell>
          <cell r="Z5572">
            <v>0</v>
          </cell>
        </row>
        <row r="5573">
          <cell r="V5573">
            <v>0</v>
          </cell>
          <cell r="Z5573">
            <v>0</v>
          </cell>
        </row>
        <row r="5574">
          <cell r="V5574">
            <v>0</v>
          </cell>
          <cell r="Z5574">
            <v>0</v>
          </cell>
        </row>
        <row r="5575">
          <cell r="V5575">
            <v>0</v>
          </cell>
          <cell r="Z5575">
            <v>0</v>
          </cell>
        </row>
        <row r="5576">
          <cell r="V5576">
            <v>0</v>
          </cell>
          <cell r="Z5576">
            <v>0</v>
          </cell>
        </row>
        <row r="5577">
          <cell r="V5577">
            <v>0</v>
          </cell>
          <cell r="Z5577">
            <v>0</v>
          </cell>
        </row>
        <row r="5578">
          <cell r="V5578">
            <v>0</v>
          </cell>
          <cell r="Z5578">
            <v>0</v>
          </cell>
        </row>
        <row r="5579">
          <cell r="V5579">
            <v>0</v>
          </cell>
          <cell r="Z5579">
            <v>0</v>
          </cell>
        </row>
        <row r="5580">
          <cell r="V5580">
            <v>0</v>
          </cell>
          <cell r="Z5580">
            <v>0</v>
          </cell>
        </row>
        <row r="5581">
          <cell r="V5581">
            <v>0</v>
          </cell>
          <cell r="Z5581">
            <v>0</v>
          </cell>
        </row>
        <row r="5582">
          <cell r="V5582">
            <v>0</v>
          </cell>
          <cell r="Z5582">
            <v>0</v>
          </cell>
        </row>
        <row r="5583">
          <cell r="V5583">
            <v>0</v>
          </cell>
          <cell r="Z5583">
            <v>0</v>
          </cell>
        </row>
        <row r="5584">
          <cell r="V5584">
            <v>0</v>
          </cell>
          <cell r="Z5584">
            <v>0</v>
          </cell>
        </row>
        <row r="5585">
          <cell r="V5585">
            <v>0</v>
          </cell>
          <cell r="Z5585">
            <v>0</v>
          </cell>
        </row>
        <row r="5586">
          <cell r="V5586">
            <v>0</v>
          </cell>
          <cell r="Z5586">
            <v>0</v>
          </cell>
        </row>
        <row r="5587">
          <cell r="V5587">
            <v>0</v>
          </cell>
          <cell r="Z5587">
            <v>0</v>
          </cell>
        </row>
        <row r="5588">
          <cell r="V5588">
            <v>0</v>
          </cell>
          <cell r="Z5588">
            <v>0</v>
          </cell>
        </row>
        <row r="5589">
          <cell r="V5589">
            <v>0</v>
          </cell>
          <cell r="Z5589">
            <v>0</v>
          </cell>
        </row>
        <row r="5590">
          <cell r="V5590">
            <v>0</v>
          </cell>
          <cell r="Z5590">
            <v>0</v>
          </cell>
        </row>
        <row r="5591">
          <cell r="V5591">
            <v>0</v>
          </cell>
          <cell r="Z5591">
            <v>0</v>
          </cell>
        </row>
        <row r="5592">
          <cell r="V5592">
            <v>0</v>
          </cell>
          <cell r="Z5592">
            <v>0</v>
          </cell>
        </row>
        <row r="5593">
          <cell r="V5593">
            <v>0</v>
          </cell>
          <cell r="Z5593">
            <v>0</v>
          </cell>
        </row>
        <row r="5594">
          <cell r="V5594">
            <v>0</v>
          </cell>
          <cell r="Z5594">
            <v>0</v>
          </cell>
        </row>
        <row r="5595">
          <cell r="V5595">
            <v>0</v>
          </cell>
          <cell r="Z5595">
            <v>0</v>
          </cell>
        </row>
        <row r="5596">
          <cell r="V5596">
            <v>0</v>
          </cell>
          <cell r="Z5596">
            <v>0</v>
          </cell>
        </row>
        <row r="5597">
          <cell r="V5597">
            <v>0</v>
          </cell>
          <cell r="Z5597">
            <v>0</v>
          </cell>
        </row>
        <row r="5598">
          <cell r="V5598">
            <v>0</v>
          </cell>
          <cell r="Z5598">
            <v>0</v>
          </cell>
        </row>
        <row r="5599">
          <cell r="V5599">
            <v>0</v>
          </cell>
          <cell r="Z5599">
            <v>0</v>
          </cell>
        </row>
        <row r="5600">
          <cell r="V5600">
            <v>0</v>
          </cell>
          <cell r="Z5600">
            <v>0</v>
          </cell>
        </row>
        <row r="5601">
          <cell r="V5601">
            <v>0</v>
          </cell>
          <cell r="Z5601">
            <v>0</v>
          </cell>
        </row>
        <row r="5602">
          <cell r="V5602">
            <v>0</v>
          </cell>
          <cell r="Z5602">
            <v>0</v>
          </cell>
        </row>
        <row r="5603">
          <cell r="V5603">
            <v>0</v>
          </cell>
          <cell r="Z5603">
            <v>0</v>
          </cell>
        </row>
        <row r="5604">
          <cell r="V5604">
            <v>0</v>
          </cell>
          <cell r="Z5604">
            <v>0</v>
          </cell>
        </row>
        <row r="5605">
          <cell r="V5605">
            <v>0</v>
          </cell>
          <cell r="Z5605">
            <v>0</v>
          </cell>
        </row>
        <row r="5606">
          <cell r="V5606">
            <v>0</v>
          </cell>
          <cell r="Z5606">
            <v>0</v>
          </cell>
        </row>
        <row r="5607">
          <cell r="V5607">
            <v>0</v>
          </cell>
          <cell r="Z5607">
            <v>0</v>
          </cell>
        </row>
        <row r="5608">
          <cell r="V5608">
            <v>0</v>
          </cell>
          <cell r="Z5608">
            <v>0</v>
          </cell>
        </row>
        <row r="5609">
          <cell r="V5609">
            <v>0</v>
          </cell>
          <cell r="Z5609">
            <v>0</v>
          </cell>
        </row>
        <row r="5610">
          <cell r="V5610">
            <v>0</v>
          </cell>
          <cell r="Z5610">
            <v>0</v>
          </cell>
        </row>
        <row r="5611">
          <cell r="V5611">
            <v>0</v>
          </cell>
          <cell r="Z5611">
            <v>0</v>
          </cell>
        </row>
        <row r="5612">
          <cell r="V5612">
            <v>0</v>
          </cell>
          <cell r="Z5612">
            <v>0</v>
          </cell>
        </row>
        <row r="5613">
          <cell r="V5613">
            <v>0</v>
          </cell>
          <cell r="Z5613">
            <v>0</v>
          </cell>
        </row>
        <row r="5614">
          <cell r="V5614">
            <v>0</v>
          </cell>
          <cell r="Z5614">
            <v>0</v>
          </cell>
        </row>
        <row r="5615">
          <cell r="V5615">
            <v>0</v>
          </cell>
          <cell r="Z5615">
            <v>0</v>
          </cell>
        </row>
        <row r="5616">
          <cell r="V5616">
            <v>0</v>
          </cell>
          <cell r="Z5616">
            <v>0</v>
          </cell>
        </row>
        <row r="5617">
          <cell r="V5617">
            <v>0</v>
          </cell>
          <cell r="Z5617">
            <v>0</v>
          </cell>
        </row>
        <row r="5618">
          <cell r="V5618">
            <v>0</v>
          </cell>
          <cell r="Z5618">
            <v>0</v>
          </cell>
        </row>
        <row r="5619">
          <cell r="V5619">
            <v>0</v>
          </cell>
          <cell r="Z5619">
            <v>0</v>
          </cell>
        </row>
        <row r="5620">
          <cell r="V5620">
            <v>0</v>
          </cell>
          <cell r="Z5620">
            <v>0</v>
          </cell>
        </row>
        <row r="5621">
          <cell r="V5621">
            <v>0</v>
          </cell>
          <cell r="Z5621">
            <v>0</v>
          </cell>
        </row>
        <row r="5622">
          <cell r="V5622">
            <v>0</v>
          </cell>
          <cell r="Z5622">
            <v>0</v>
          </cell>
        </row>
        <row r="5623">
          <cell r="V5623">
            <v>0</v>
          </cell>
          <cell r="Z5623">
            <v>0</v>
          </cell>
        </row>
        <row r="5624">
          <cell r="V5624">
            <v>0</v>
          </cell>
          <cell r="Z5624">
            <v>0</v>
          </cell>
        </row>
        <row r="5625">
          <cell r="V5625">
            <v>0</v>
          </cell>
          <cell r="Z5625">
            <v>0</v>
          </cell>
        </row>
        <row r="5626">
          <cell r="V5626">
            <v>0</v>
          </cell>
          <cell r="Z5626">
            <v>0</v>
          </cell>
        </row>
        <row r="5627">
          <cell r="V5627">
            <v>0</v>
          </cell>
          <cell r="Z5627">
            <v>0</v>
          </cell>
        </row>
        <row r="5628">
          <cell r="V5628">
            <v>0</v>
          </cell>
          <cell r="Z5628">
            <v>0</v>
          </cell>
        </row>
        <row r="5629">
          <cell r="V5629">
            <v>0</v>
          </cell>
          <cell r="Z5629">
            <v>0</v>
          </cell>
        </row>
        <row r="5630">
          <cell r="V5630">
            <v>0</v>
          </cell>
          <cell r="Z5630">
            <v>0</v>
          </cell>
        </row>
        <row r="5631">
          <cell r="V5631">
            <v>0</v>
          </cell>
          <cell r="Z5631">
            <v>0</v>
          </cell>
        </row>
        <row r="5632">
          <cell r="V5632">
            <v>0</v>
          </cell>
          <cell r="Z5632">
            <v>0</v>
          </cell>
        </row>
        <row r="5633">
          <cell r="V5633">
            <v>0</v>
          </cell>
          <cell r="Z5633">
            <v>0</v>
          </cell>
        </row>
        <row r="5634">
          <cell r="V5634">
            <v>0</v>
          </cell>
          <cell r="Z5634">
            <v>0</v>
          </cell>
        </row>
        <row r="5635">
          <cell r="V5635">
            <v>0</v>
          </cell>
          <cell r="Z5635">
            <v>0</v>
          </cell>
        </row>
        <row r="5636">
          <cell r="V5636">
            <v>0</v>
          </cell>
          <cell r="Z5636">
            <v>0</v>
          </cell>
        </row>
        <row r="5637">
          <cell r="V5637">
            <v>0</v>
          </cell>
          <cell r="Z5637">
            <v>0</v>
          </cell>
        </row>
        <row r="5638">
          <cell r="V5638">
            <v>0</v>
          </cell>
          <cell r="Z5638">
            <v>0</v>
          </cell>
        </row>
        <row r="5639">
          <cell r="V5639">
            <v>0</v>
          </cell>
          <cell r="Z5639">
            <v>0</v>
          </cell>
        </row>
        <row r="5640">
          <cell r="V5640">
            <v>0</v>
          </cell>
          <cell r="Z5640">
            <v>0</v>
          </cell>
        </row>
        <row r="5641">
          <cell r="V5641">
            <v>0</v>
          </cell>
          <cell r="Z5641">
            <v>0</v>
          </cell>
        </row>
        <row r="5642">
          <cell r="V5642">
            <v>0</v>
          </cell>
          <cell r="Z5642">
            <v>0</v>
          </cell>
        </row>
        <row r="5643">
          <cell r="V5643">
            <v>0</v>
          </cell>
          <cell r="Z5643">
            <v>0</v>
          </cell>
        </row>
        <row r="5644">
          <cell r="V5644">
            <v>0</v>
          </cell>
          <cell r="Z5644">
            <v>0</v>
          </cell>
        </row>
        <row r="5645">
          <cell r="V5645">
            <v>0</v>
          </cell>
          <cell r="Z5645">
            <v>0</v>
          </cell>
        </row>
        <row r="5646">
          <cell r="V5646">
            <v>0</v>
          </cell>
          <cell r="Z5646">
            <v>0</v>
          </cell>
        </row>
        <row r="5647">
          <cell r="V5647">
            <v>0</v>
          </cell>
          <cell r="Z5647">
            <v>0</v>
          </cell>
        </row>
        <row r="5648">
          <cell r="V5648">
            <v>0</v>
          </cell>
          <cell r="Z5648">
            <v>0</v>
          </cell>
        </row>
        <row r="5649">
          <cell r="V5649">
            <v>0</v>
          </cell>
          <cell r="Z5649">
            <v>0</v>
          </cell>
        </row>
        <row r="5650">
          <cell r="V5650">
            <v>0</v>
          </cell>
          <cell r="Z5650">
            <v>0</v>
          </cell>
        </row>
        <row r="5651">
          <cell r="V5651">
            <v>0</v>
          </cell>
          <cell r="Z5651">
            <v>0</v>
          </cell>
        </row>
        <row r="5652">
          <cell r="V5652">
            <v>0</v>
          </cell>
          <cell r="Z5652">
            <v>0</v>
          </cell>
        </row>
        <row r="5653">
          <cell r="V5653">
            <v>0</v>
          </cell>
          <cell r="Z5653">
            <v>0</v>
          </cell>
        </row>
        <row r="5654">
          <cell r="V5654">
            <v>0</v>
          </cell>
          <cell r="Z5654">
            <v>0</v>
          </cell>
        </row>
        <row r="5655">
          <cell r="V5655">
            <v>0</v>
          </cell>
          <cell r="Z5655">
            <v>0</v>
          </cell>
        </row>
        <row r="5656">
          <cell r="V5656">
            <v>0</v>
          </cell>
          <cell r="Z5656">
            <v>0</v>
          </cell>
        </row>
        <row r="5657">
          <cell r="V5657">
            <v>0</v>
          </cell>
          <cell r="Z5657">
            <v>0</v>
          </cell>
        </row>
        <row r="5658">
          <cell r="V5658">
            <v>0</v>
          </cell>
          <cell r="Z5658">
            <v>0</v>
          </cell>
        </row>
        <row r="5659">
          <cell r="V5659">
            <v>0</v>
          </cell>
          <cell r="Z5659">
            <v>0</v>
          </cell>
        </row>
        <row r="5660">
          <cell r="V5660">
            <v>0</v>
          </cell>
          <cell r="Z5660">
            <v>0</v>
          </cell>
        </row>
        <row r="5661">
          <cell r="V5661">
            <v>0</v>
          </cell>
          <cell r="Z5661">
            <v>0</v>
          </cell>
        </row>
        <row r="5662">
          <cell r="V5662">
            <v>0</v>
          </cell>
          <cell r="Z5662">
            <v>0</v>
          </cell>
        </row>
        <row r="5663">
          <cell r="V5663">
            <v>0</v>
          </cell>
          <cell r="Z5663">
            <v>0</v>
          </cell>
        </row>
        <row r="5664">
          <cell r="V5664">
            <v>0</v>
          </cell>
          <cell r="Z5664">
            <v>0</v>
          </cell>
        </row>
        <row r="5665">
          <cell r="V5665">
            <v>0</v>
          </cell>
          <cell r="Z5665">
            <v>0</v>
          </cell>
        </row>
        <row r="5666">
          <cell r="V5666">
            <v>0</v>
          </cell>
          <cell r="Z5666">
            <v>0</v>
          </cell>
        </row>
        <row r="5667">
          <cell r="V5667">
            <v>0</v>
          </cell>
          <cell r="Z5667">
            <v>0</v>
          </cell>
        </row>
        <row r="5668">
          <cell r="V5668">
            <v>0</v>
          </cell>
          <cell r="Z5668">
            <v>0</v>
          </cell>
        </row>
        <row r="5669">
          <cell r="V5669">
            <v>0</v>
          </cell>
          <cell r="Z5669">
            <v>0</v>
          </cell>
        </row>
        <row r="5670">
          <cell r="V5670">
            <v>0</v>
          </cell>
          <cell r="Z5670">
            <v>0</v>
          </cell>
        </row>
        <row r="5671">
          <cell r="V5671">
            <v>0</v>
          </cell>
          <cell r="Z5671">
            <v>0</v>
          </cell>
        </row>
        <row r="5672">
          <cell r="V5672">
            <v>0</v>
          </cell>
          <cell r="Z5672">
            <v>0</v>
          </cell>
        </row>
        <row r="5673">
          <cell r="V5673">
            <v>0</v>
          </cell>
          <cell r="Z5673">
            <v>0</v>
          </cell>
        </row>
        <row r="5674">
          <cell r="V5674">
            <v>0</v>
          </cell>
          <cell r="Z5674">
            <v>0</v>
          </cell>
        </row>
        <row r="5675">
          <cell r="V5675">
            <v>0</v>
          </cell>
          <cell r="Z5675">
            <v>0</v>
          </cell>
        </row>
        <row r="5676">
          <cell r="V5676">
            <v>0</v>
          </cell>
          <cell r="Z5676">
            <v>0</v>
          </cell>
        </row>
        <row r="5677">
          <cell r="V5677">
            <v>0</v>
          </cell>
          <cell r="Z5677">
            <v>0</v>
          </cell>
        </row>
        <row r="5678">
          <cell r="V5678">
            <v>0</v>
          </cell>
          <cell r="Z5678">
            <v>0</v>
          </cell>
        </row>
        <row r="5679">
          <cell r="V5679">
            <v>0</v>
          </cell>
          <cell r="Z5679">
            <v>0</v>
          </cell>
        </row>
        <row r="5680">
          <cell r="V5680">
            <v>0</v>
          </cell>
          <cell r="Z5680">
            <v>0</v>
          </cell>
        </row>
        <row r="5681">
          <cell r="V5681">
            <v>0</v>
          </cell>
          <cell r="Z5681">
            <v>0</v>
          </cell>
        </row>
        <row r="5682">
          <cell r="V5682">
            <v>0</v>
          </cell>
          <cell r="Z5682">
            <v>0</v>
          </cell>
        </row>
        <row r="5683">
          <cell r="V5683">
            <v>0</v>
          </cell>
          <cell r="Z5683">
            <v>0</v>
          </cell>
        </row>
        <row r="5684">
          <cell r="V5684">
            <v>0</v>
          </cell>
          <cell r="Z5684">
            <v>0</v>
          </cell>
        </row>
        <row r="5685">
          <cell r="V5685">
            <v>0</v>
          </cell>
          <cell r="Z5685">
            <v>0</v>
          </cell>
        </row>
        <row r="5686">
          <cell r="V5686">
            <v>0</v>
          </cell>
          <cell r="Z5686">
            <v>0</v>
          </cell>
        </row>
        <row r="5687">
          <cell r="V5687">
            <v>0</v>
          </cell>
          <cell r="Z5687">
            <v>0</v>
          </cell>
        </row>
        <row r="5688">
          <cell r="V5688">
            <v>0</v>
          </cell>
          <cell r="Z5688">
            <v>0</v>
          </cell>
        </row>
        <row r="5689">
          <cell r="V5689">
            <v>0</v>
          </cell>
          <cell r="Z5689">
            <v>0</v>
          </cell>
        </row>
        <row r="5690">
          <cell r="V5690">
            <v>0</v>
          </cell>
          <cell r="Z5690">
            <v>0</v>
          </cell>
        </row>
        <row r="5691">
          <cell r="V5691">
            <v>0</v>
          </cell>
          <cell r="Z5691">
            <v>0</v>
          </cell>
        </row>
        <row r="5692">
          <cell r="V5692">
            <v>0</v>
          </cell>
          <cell r="Z5692">
            <v>0</v>
          </cell>
        </row>
        <row r="5693">
          <cell r="V5693">
            <v>0</v>
          </cell>
          <cell r="Z5693">
            <v>0</v>
          </cell>
        </row>
        <row r="5694">
          <cell r="V5694">
            <v>0</v>
          </cell>
          <cell r="Z5694">
            <v>0</v>
          </cell>
        </row>
        <row r="5695">
          <cell r="V5695">
            <v>0</v>
          </cell>
          <cell r="Z5695">
            <v>0</v>
          </cell>
        </row>
        <row r="5696">
          <cell r="V5696">
            <v>0</v>
          </cell>
          <cell r="Z5696">
            <v>0</v>
          </cell>
        </row>
        <row r="5697">
          <cell r="V5697">
            <v>0</v>
          </cell>
          <cell r="Z5697">
            <v>0</v>
          </cell>
        </row>
        <row r="5698">
          <cell r="V5698">
            <v>0</v>
          </cell>
          <cell r="Z5698">
            <v>0</v>
          </cell>
        </row>
        <row r="5699">
          <cell r="V5699">
            <v>0</v>
          </cell>
          <cell r="Z5699">
            <v>0</v>
          </cell>
        </row>
        <row r="5700">
          <cell r="V5700">
            <v>0</v>
          </cell>
          <cell r="Z5700">
            <v>0</v>
          </cell>
        </row>
        <row r="5701">
          <cell r="V5701">
            <v>0</v>
          </cell>
          <cell r="Z5701">
            <v>0</v>
          </cell>
        </row>
        <row r="5702">
          <cell r="V5702">
            <v>0</v>
          </cell>
          <cell r="Z5702">
            <v>0</v>
          </cell>
        </row>
        <row r="5703">
          <cell r="V5703">
            <v>0</v>
          </cell>
          <cell r="Z5703">
            <v>0</v>
          </cell>
        </row>
        <row r="5704">
          <cell r="V5704">
            <v>0</v>
          </cell>
          <cell r="Z5704">
            <v>0</v>
          </cell>
        </row>
        <row r="5705">
          <cell r="V5705">
            <v>0</v>
          </cell>
          <cell r="Z5705">
            <v>0</v>
          </cell>
        </row>
        <row r="5706">
          <cell r="V5706">
            <v>0</v>
          </cell>
          <cell r="Z5706">
            <v>0</v>
          </cell>
        </row>
        <row r="5707">
          <cell r="V5707">
            <v>0</v>
          </cell>
          <cell r="Z5707">
            <v>0</v>
          </cell>
        </row>
        <row r="5708">
          <cell r="V5708">
            <v>0</v>
          </cell>
          <cell r="Z5708">
            <v>0</v>
          </cell>
        </row>
        <row r="5709">
          <cell r="V5709">
            <v>0</v>
          </cell>
          <cell r="Z5709">
            <v>0</v>
          </cell>
        </row>
        <row r="5710">
          <cell r="V5710">
            <v>0</v>
          </cell>
          <cell r="Z5710">
            <v>0</v>
          </cell>
        </row>
        <row r="5711">
          <cell r="V5711">
            <v>0</v>
          </cell>
          <cell r="Z5711">
            <v>0</v>
          </cell>
        </row>
        <row r="5712">
          <cell r="V5712">
            <v>0</v>
          </cell>
          <cell r="Z5712">
            <v>0</v>
          </cell>
        </row>
        <row r="5713">
          <cell r="V5713">
            <v>0</v>
          </cell>
          <cell r="Z5713">
            <v>0</v>
          </cell>
        </row>
        <row r="5714">
          <cell r="V5714">
            <v>0</v>
          </cell>
          <cell r="Z5714">
            <v>0</v>
          </cell>
        </row>
        <row r="5715">
          <cell r="V5715">
            <v>0</v>
          </cell>
          <cell r="Z5715">
            <v>0</v>
          </cell>
        </row>
        <row r="5716">
          <cell r="V5716">
            <v>0</v>
          </cell>
          <cell r="Z5716">
            <v>0</v>
          </cell>
        </row>
        <row r="5717">
          <cell r="V5717">
            <v>0</v>
          </cell>
          <cell r="Z5717">
            <v>0</v>
          </cell>
        </row>
        <row r="5718">
          <cell r="V5718">
            <v>0</v>
          </cell>
          <cell r="Z5718">
            <v>0</v>
          </cell>
        </row>
        <row r="5719">
          <cell r="V5719">
            <v>0</v>
          </cell>
          <cell r="Z5719">
            <v>0</v>
          </cell>
        </row>
        <row r="5720">
          <cell r="V5720">
            <v>0</v>
          </cell>
          <cell r="Z5720">
            <v>0</v>
          </cell>
        </row>
        <row r="5721">
          <cell r="V5721">
            <v>0</v>
          </cell>
          <cell r="Z5721">
            <v>0</v>
          </cell>
        </row>
        <row r="5722">
          <cell r="V5722">
            <v>0</v>
          </cell>
          <cell r="Z5722">
            <v>0</v>
          </cell>
        </row>
        <row r="5723">
          <cell r="V5723">
            <v>0</v>
          </cell>
          <cell r="Z5723">
            <v>0</v>
          </cell>
        </row>
        <row r="5724">
          <cell r="V5724">
            <v>0</v>
          </cell>
          <cell r="Z5724">
            <v>0</v>
          </cell>
        </row>
        <row r="5725">
          <cell r="V5725">
            <v>0</v>
          </cell>
          <cell r="Z5725">
            <v>0</v>
          </cell>
        </row>
        <row r="5726">
          <cell r="V5726">
            <v>0</v>
          </cell>
          <cell r="Z5726">
            <v>0</v>
          </cell>
        </row>
        <row r="5727">
          <cell r="V5727">
            <v>0</v>
          </cell>
          <cell r="Z5727">
            <v>0</v>
          </cell>
        </row>
        <row r="5728">
          <cell r="V5728">
            <v>0</v>
          </cell>
          <cell r="Z5728">
            <v>0</v>
          </cell>
        </row>
        <row r="5729">
          <cell r="V5729">
            <v>0</v>
          </cell>
          <cell r="Z5729">
            <v>0</v>
          </cell>
        </row>
        <row r="5730">
          <cell r="V5730">
            <v>0</v>
          </cell>
          <cell r="Z5730">
            <v>0</v>
          </cell>
        </row>
        <row r="5731">
          <cell r="V5731">
            <v>0</v>
          </cell>
          <cell r="Z5731">
            <v>0</v>
          </cell>
        </row>
        <row r="5732">
          <cell r="V5732">
            <v>0</v>
          </cell>
          <cell r="Z5732">
            <v>0</v>
          </cell>
        </row>
        <row r="5733">
          <cell r="V5733">
            <v>0</v>
          </cell>
          <cell r="Z5733">
            <v>0</v>
          </cell>
        </row>
        <row r="5734">
          <cell r="V5734">
            <v>0</v>
          </cell>
          <cell r="Z5734">
            <v>0</v>
          </cell>
        </row>
        <row r="5735">
          <cell r="V5735">
            <v>0</v>
          </cell>
          <cell r="Z5735">
            <v>0</v>
          </cell>
        </row>
        <row r="5736">
          <cell r="V5736">
            <v>0</v>
          </cell>
          <cell r="Z5736">
            <v>0</v>
          </cell>
        </row>
        <row r="5737">
          <cell r="V5737">
            <v>0</v>
          </cell>
          <cell r="Z5737">
            <v>0</v>
          </cell>
        </row>
        <row r="5738">
          <cell r="V5738">
            <v>0</v>
          </cell>
          <cell r="Z5738">
            <v>0</v>
          </cell>
        </row>
        <row r="5739">
          <cell r="V5739">
            <v>0</v>
          </cell>
          <cell r="Z5739">
            <v>0</v>
          </cell>
        </row>
        <row r="5740">
          <cell r="V5740">
            <v>0</v>
          </cell>
          <cell r="Z5740">
            <v>0</v>
          </cell>
        </row>
        <row r="5741">
          <cell r="V5741">
            <v>0</v>
          </cell>
          <cell r="Z5741">
            <v>0</v>
          </cell>
        </row>
        <row r="5742">
          <cell r="V5742">
            <v>0</v>
          </cell>
          <cell r="Z5742">
            <v>0</v>
          </cell>
        </row>
        <row r="5743">
          <cell r="V5743">
            <v>0</v>
          </cell>
          <cell r="Z5743">
            <v>0</v>
          </cell>
        </row>
        <row r="5744">
          <cell r="V5744">
            <v>0</v>
          </cell>
          <cell r="Z5744">
            <v>0</v>
          </cell>
        </row>
        <row r="5745">
          <cell r="V5745">
            <v>0</v>
          </cell>
          <cell r="Z5745">
            <v>0</v>
          </cell>
        </row>
        <row r="5746">
          <cell r="V5746">
            <v>0</v>
          </cell>
          <cell r="Z5746">
            <v>0</v>
          </cell>
        </row>
        <row r="5747">
          <cell r="V5747">
            <v>0</v>
          </cell>
          <cell r="Z5747">
            <v>0</v>
          </cell>
        </row>
        <row r="5748">
          <cell r="V5748">
            <v>0</v>
          </cell>
          <cell r="Z5748">
            <v>0</v>
          </cell>
        </row>
        <row r="5749">
          <cell r="V5749">
            <v>0</v>
          </cell>
          <cell r="Z5749">
            <v>0</v>
          </cell>
        </row>
        <row r="5750">
          <cell r="V5750">
            <v>0</v>
          </cell>
          <cell r="Z5750">
            <v>0</v>
          </cell>
        </row>
        <row r="5751">
          <cell r="V5751">
            <v>0</v>
          </cell>
          <cell r="Z5751">
            <v>0</v>
          </cell>
        </row>
        <row r="5752">
          <cell r="V5752">
            <v>0</v>
          </cell>
          <cell r="Z5752">
            <v>0</v>
          </cell>
        </row>
        <row r="5753">
          <cell r="V5753">
            <v>0</v>
          </cell>
          <cell r="Z5753">
            <v>0</v>
          </cell>
        </row>
        <row r="5754">
          <cell r="V5754">
            <v>0</v>
          </cell>
          <cell r="Z5754">
            <v>0</v>
          </cell>
        </row>
        <row r="5755">
          <cell r="V5755">
            <v>0</v>
          </cell>
          <cell r="Z5755">
            <v>0</v>
          </cell>
        </row>
        <row r="5756">
          <cell r="V5756">
            <v>0</v>
          </cell>
          <cell r="Z5756">
            <v>0</v>
          </cell>
        </row>
        <row r="5757">
          <cell r="V5757">
            <v>0</v>
          </cell>
          <cell r="Z5757">
            <v>0</v>
          </cell>
        </row>
        <row r="5758">
          <cell r="V5758">
            <v>0</v>
          </cell>
          <cell r="Z5758">
            <v>0</v>
          </cell>
        </row>
        <row r="5759">
          <cell r="V5759">
            <v>0</v>
          </cell>
          <cell r="Z5759">
            <v>0</v>
          </cell>
        </row>
        <row r="5760">
          <cell r="V5760">
            <v>0</v>
          </cell>
          <cell r="Z5760">
            <v>0</v>
          </cell>
        </row>
        <row r="5761">
          <cell r="V5761">
            <v>0</v>
          </cell>
          <cell r="Z5761">
            <v>0</v>
          </cell>
        </row>
        <row r="5762">
          <cell r="V5762">
            <v>0</v>
          </cell>
          <cell r="Z5762">
            <v>0</v>
          </cell>
        </row>
        <row r="5763">
          <cell r="V5763">
            <v>0</v>
          </cell>
          <cell r="Z5763">
            <v>0</v>
          </cell>
        </row>
        <row r="5764">
          <cell r="V5764">
            <v>0</v>
          </cell>
          <cell r="Z5764">
            <v>0</v>
          </cell>
        </row>
        <row r="5765">
          <cell r="V5765">
            <v>0</v>
          </cell>
          <cell r="Z5765">
            <v>0</v>
          </cell>
        </row>
        <row r="5766">
          <cell r="V5766">
            <v>0</v>
          </cell>
          <cell r="Z5766">
            <v>0</v>
          </cell>
        </row>
        <row r="5767">
          <cell r="V5767">
            <v>0</v>
          </cell>
          <cell r="Z5767">
            <v>0</v>
          </cell>
        </row>
        <row r="5768">
          <cell r="V5768">
            <v>0</v>
          </cell>
          <cell r="Z5768">
            <v>0</v>
          </cell>
        </row>
        <row r="5769">
          <cell r="V5769">
            <v>0</v>
          </cell>
          <cell r="Z5769">
            <v>0</v>
          </cell>
        </row>
        <row r="5770">
          <cell r="V5770">
            <v>0</v>
          </cell>
          <cell r="Z5770">
            <v>0</v>
          </cell>
        </row>
        <row r="5771">
          <cell r="V5771">
            <v>0</v>
          </cell>
          <cell r="Z5771">
            <v>0</v>
          </cell>
        </row>
        <row r="5772">
          <cell r="V5772">
            <v>0</v>
          </cell>
          <cell r="Z5772">
            <v>0</v>
          </cell>
        </row>
        <row r="5773">
          <cell r="V5773">
            <v>0</v>
          </cell>
          <cell r="Z5773">
            <v>0</v>
          </cell>
        </row>
        <row r="5774">
          <cell r="V5774">
            <v>0</v>
          </cell>
          <cell r="Z5774">
            <v>0</v>
          </cell>
        </row>
        <row r="5775">
          <cell r="V5775">
            <v>0</v>
          </cell>
          <cell r="Z5775">
            <v>0</v>
          </cell>
        </row>
        <row r="5776">
          <cell r="V5776">
            <v>0</v>
          </cell>
          <cell r="Z5776">
            <v>0</v>
          </cell>
        </row>
        <row r="5777">
          <cell r="V5777">
            <v>0</v>
          </cell>
          <cell r="Z5777">
            <v>0</v>
          </cell>
        </row>
        <row r="5778">
          <cell r="V5778">
            <v>0</v>
          </cell>
          <cell r="Z5778">
            <v>0</v>
          </cell>
        </row>
        <row r="5779">
          <cell r="V5779">
            <v>0</v>
          </cell>
          <cell r="Z5779">
            <v>0</v>
          </cell>
        </row>
        <row r="5780">
          <cell r="V5780">
            <v>0</v>
          </cell>
          <cell r="Z5780">
            <v>0</v>
          </cell>
        </row>
        <row r="5781">
          <cell r="V5781">
            <v>0</v>
          </cell>
          <cell r="Z5781">
            <v>0</v>
          </cell>
        </row>
        <row r="5782">
          <cell r="V5782">
            <v>0</v>
          </cell>
          <cell r="Z5782">
            <v>0</v>
          </cell>
        </row>
        <row r="5783">
          <cell r="V5783">
            <v>0</v>
          </cell>
          <cell r="Z5783">
            <v>0</v>
          </cell>
        </row>
        <row r="5784">
          <cell r="V5784">
            <v>0</v>
          </cell>
          <cell r="Z5784">
            <v>0</v>
          </cell>
        </row>
        <row r="5785">
          <cell r="V5785">
            <v>0</v>
          </cell>
          <cell r="Z5785">
            <v>0</v>
          </cell>
        </row>
        <row r="5786">
          <cell r="V5786">
            <v>0</v>
          </cell>
          <cell r="Z5786">
            <v>0</v>
          </cell>
        </row>
        <row r="5787">
          <cell r="V5787">
            <v>0</v>
          </cell>
          <cell r="Z5787">
            <v>0</v>
          </cell>
        </row>
        <row r="5788">
          <cell r="V5788">
            <v>0</v>
          </cell>
          <cell r="Z5788">
            <v>0</v>
          </cell>
        </row>
        <row r="5789">
          <cell r="V5789">
            <v>0</v>
          </cell>
          <cell r="Z5789">
            <v>0</v>
          </cell>
        </row>
        <row r="5790">
          <cell r="V5790">
            <v>0</v>
          </cell>
          <cell r="Z5790">
            <v>0</v>
          </cell>
        </row>
        <row r="5791">
          <cell r="V5791">
            <v>0</v>
          </cell>
          <cell r="Z5791">
            <v>0</v>
          </cell>
        </row>
        <row r="5792">
          <cell r="V5792">
            <v>0</v>
          </cell>
          <cell r="Z5792">
            <v>0</v>
          </cell>
        </row>
        <row r="5793">
          <cell r="V5793">
            <v>0</v>
          </cell>
          <cell r="Z5793">
            <v>0</v>
          </cell>
        </row>
        <row r="5794">
          <cell r="V5794">
            <v>0</v>
          </cell>
          <cell r="Z5794">
            <v>0</v>
          </cell>
        </row>
        <row r="5795">
          <cell r="V5795">
            <v>0</v>
          </cell>
          <cell r="Z5795">
            <v>0</v>
          </cell>
        </row>
        <row r="5796">
          <cell r="V5796">
            <v>0</v>
          </cell>
          <cell r="Z5796">
            <v>0</v>
          </cell>
        </row>
        <row r="5797">
          <cell r="V5797">
            <v>0</v>
          </cell>
          <cell r="Z5797">
            <v>0</v>
          </cell>
        </row>
        <row r="5798">
          <cell r="V5798">
            <v>0</v>
          </cell>
          <cell r="Z5798">
            <v>0</v>
          </cell>
        </row>
        <row r="5799">
          <cell r="V5799">
            <v>0</v>
          </cell>
          <cell r="Z5799">
            <v>0</v>
          </cell>
        </row>
        <row r="5800">
          <cell r="V5800">
            <v>0</v>
          </cell>
          <cell r="Z5800">
            <v>0</v>
          </cell>
        </row>
        <row r="5801">
          <cell r="V5801">
            <v>0</v>
          </cell>
          <cell r="Z5801">
            <v>0</v>
          </cell>
        </row>
        <row r="5802">
          <cell r="V5802">
            <v>0</v>
          </cell>
          <cell r="Z5802">
            <v>0</v>
          </cell>
        </row>
        <row r="5803">
          <cell r="V5803">
            <v>0</v>
          </cell>
          <cell r="Z5803">
            <v>0</v>
          </cell>
        </row>
        <row r="5804">
          <cell r="V5804">
            <v>0</v>
          </cell>
          <cell r="Z5804">
            <v>0</v>
          </cell>
        </row>
        <row r="5805">
          <cell r="V5805">
            <v>0</v>
          </cell>
          <cell r="Z5805">
            <v>0</v>
          </cell>
        </row>
        <row r="5806">
          <cell r="V5806">
            <v>0</v>
          </cell>
          <cell r="Z5806">
            <v>0</v>
          </cell>
        </row>
        <row r="5807">
          <cell r="V5807">
            <v>0</v>
          </cell>
          <cell r="Z5807">
            <v>0</v>
          </cell>
        </row>
        <row r="5808">
          <cell r="V5808">
            <v>0</v>
          </cell>
          <cell r="Z5808">
            <v>0</v>
          </cell>
        </row>
        <row r="5809">
          <cell r="V5809">
            <v>0</v>
          </cell>
          <cell r="Z5809">
            <v>0</v>
          </cell>
        </row>
        <row r="5810">
          <cell r="V5810">
            <v>0</v>
          </cell>
          <cell r="Z5810">
            <v>0</v>
          </cell>
        </row>
        <row r="5811">
          <cell r="V5811">
            <v>0</v>
          </cell>
          <cell r="Z5811">
            <v>0</v>
          </cell>
        </row>
        <row r="5812">
          <cell r="V5812">
            <v>0</v>
          </cell>
          <cell r="Z5812">
            <v>0</v>
          </cell>
        </row>
        <row r="5813">
          <cell r="V5813">
            <v>0</v>
          </cell>
          <cell r="Z5813">
            <v>0</v>
          </cell>
        </row>
        <row r="5814">
          <cell r="V5814">
            <v>0</v>
          </cell>
          <cell r="Z5814">
            <v>0</v>
          </cell>
        </row>
        <row r="5815">
          <cell r="V5815">
            <v>0</v>
          </cell>
          <cell r="Z5815">
            <v>0</v>
          </cell>
        </row>
        <row r="5816">
          <cell r="V5816">
            <v>0</v>
          </cell>
          <cell r="Z5816">
            <v>0</v>
          </cell>
        </row>
        <row r="5817">
          <cell r="V5817">
            <v>0</v>
          </cell>
          <cell r="Z5817">
            <v>0</v>
          </cell>
        </row>
        <row r="5818">
          <cell r="V5818">
            <v>0</v>
          </cell>
          <cell r="Z5818">
            <v>0</v>
          </cell>
        </row>
        <row r="5819">
          <cell r="V5819">
            <v>0</v>
          </cell>
          <cell r="Z5819">
            <v>0</v>
          </cell>
        </row>
        <row r="5820">
          <cell r="V5820">
            <v>0</v>
          </cell>
          <cell r="Z5820">
            <v>0</v>
          </cell>
        </row>
        <row r="5821">
          <cell r="V5821">
            <v>0</v>
          </cell>
          <cell r="Z5821">
            <v>0</v>
          </cell>
        </row>
        <row r="5822">
          <cell r="V5822">
            <v>0</v>
          </cell>
          <cell r="Z5822">
            <v>0</v>
          </cell>
        </row>
        <row r="5823">
          <cell r="V5823">
            <v>0</v>
          </cell>
          <cell r="Z5823">
            <v>0</v>
          </cell>
        </row>
        <row r="5824">
          <cell r="V5824">
            <v>0</v>
          </cell>
          <cell r="Z5824">
            <v>0</v>
          </cell>
        </row>
        <row r="5825">
          <cell r="V5825">
            <v>0</v>
          </cell>
          <cell r="Z5825">
            <v>0</v>
          </cell>
        </row>
        <row r="5826">
          <cell r="V5826">
            <v>0</v>
          </cell>
          <cell r="Z5826">
            <v>0</v>
          </cell>
        </row>
        <row r="5827">
          <cell r="V5827">
            <v>0</v>
          </cell>
          <cell r="Z5827">
            <v>0</v>
          </cell>
        </row>
        <row r="5828">
          <cell r="V5828">
            <v>0</v>
          </cell>
          <cell r="Z5828">
            <v>0</v>
          </cell>
        </row>
        <row r="5829">
          <cell r="V5829">
            <v>0</v>
          </cell>
          <cell r="Z5829">
            <v>0</v>
          </cell>
        </row>
        <row r="5830">
          <cell r="V5830">
            <v>0</v>
          </cell>
          <cell r="Z5830">
            <v>0</v>
          </cell>
        </row>
        <row r="5831">
          <cell r="V5831">
            <v>0</v>
          </cell>
          <cell r="Z5831">
            <v>0</v>
          </cell>
        </row>
        <row r="5832">
          <cell r="V5832">
            <v>0</v>
          </cell>
          <cell r="Z5832">
            <v>0</v>
          </cell>
        </row>
        <row r="5833">
          <cell r="V5833">
            <v>0</v>
          </cell>
          <cell r="Z5833">
            <v>0</v>
          </cell>
        </row>
        <row r="5834">
          <cell r="V5834">
            <v>0</v>
          </cell>
          <cell r="Z5834">
            <v>0</v>
          </cell>
        </row>
        <row r="5835">
          <cell r="V5835">
            <v>0</v>
          </cell>
          <cell r="Z5835">
            <v>0</v>
          </cell>
        </row>
        <row r="5836">
          <cell r="V5836">
            <v>0</v>
          </cell>
          <cell r="Z5836">
            <v>0</v>
          </cell>
        </row>
        <row r="5837">
          <cell r="V5837">
            <v>0</v>
          </cell>
          <cell r="Z5837">
            <v>0</v>
          </cell>
        </row>
        <row r="5838">
          <cell r="V5838">
            <v>0</v>
          </cell>
          <cell r="Z5838">
            <v>0</v>
          </cell>
        </row>
        <row r="5839">
          <cell r="V5839">
            <v>0</v>
          </cell>
          <cell r="Z5839">
            <v>0</v>
          </cell>
        </row>
        <row r="5840">
          <cell r="V5840">
            <v>0</v>
          </cell>
          <cell r="Z5840">
            <v>0</v>
          </cell>
        </row>
        <row r="5841">
          <cell r="V5841">
            <v>0</v>
          </cell>
          <cell r="Z5841">
            <v>0</v>
          </cell>
        </row>
        <row r="5842">
          <cell r="V5842">
            <v>0</v>
          </cell>
          <cell r="Z5842">
            <v>0</v>
          </cell>
        </row>
        <row r="5843">
          <cell r="V5843">
            <v>0</v>
          </cell>
          <cell r="Z5843">
            <v>0</v>
          </cell>
        </row>
        <row r="5844">
          <cell r="V5844">
            <v>0</v>
          </cell>
          <cell r="Z5844">
            <v>0</v>
          </cell>
        </row>
        <row r="5845">
          <cell r="V5845">
            <v>0</v>
          </cell>
          <cell r="Z5845">
            <v>0</v>
          </cell>
        </row>
        <row r="5846">
          <cell r="V5846">
            <v>0</v>
          </cell>
          <cell r="Z5846">
            <v>0</v>
          </cell>
        </row>
        <row r="5847">
          <cell r="V5847">
            <v>0</v>
          </cell>
          <cell r="Z5847">
            <v>0</v>
          </cell>
        </row>
        <row r="5848">
          <cell r="V5848">
            <v>0</v>
          </cell>
          <cell r="Z5848">
            <v>0</v>
          </cell>
        </row>
        <row r="5849">
          <cell r="V5849">
            <v>0</v>
          </cell>
          <cell r="Z5849">
            <v>0</v>
          </cell>
        </row>
        <row r="5850">
          <cell r="V5850">
            <v>0</v>
          </cell>
          <cell r="Z5850">
            <v>0</v>
          </cell>
        </row>
        <row r="5851">
          <cell r="V5851">
            <v>0</v>
          </cell>
          <cell r="Z5851">
            <v>0</v>
          </cell>
        </row>
        <row r="5852">
          <cell r="V5852">
            <v>0</v>
          </cell>
          <cell r="Z5852">
            <v>0</v>
          </cell>
        </row>
        <row r="5853">
          <cell r="V5853">
            <v>0</v>
          </cell>
          <cell r="Z5853">
            <v>0</v>
          </cell>
        </row>
        <row r="5854">
          <cell r="V5854">
            <v>0</v>
          </cell>
          <cell r="Z5854">
            <v>0</v>
          </cell>
        </row>
        <row r="5855">
          <cell r="V5855">
            <v>0</v>
          </cell>
          <cell r="Z5855">
            <v>0</v>
          </cell>
        </row>
        <row r="5856">
          <cell r="V5856">
            <v>0</v>
          </cell>
          <cell r="Z5856">
            <v>0</v>
          </cell>
        </row>
        <row r="5857">
          <cell r="V5857">
            <v>0</v>
          </cell>
          <cell r="Z5857">
            <v>0</v>
          </cell>
        </row>
        <row r="5858">
          <cell r="V5858">
            <v>0</v>
          </cell>
          <cell r="Z5858">
            <v>0</v>
          </cell>
        </row>
        <row r="5859">
          <cell r="V5859">
            <v>0</v>
          </cell>
          <cell r="Z5859">
            <v>0</v>
          </cell>
        </row>
        <row r="5860">
          <cell r="V5860">
            <v>0</v>
          </cell>
          <cell r="Z5860">
            <v>0</v>
          </cell>
        </row>
        <row r="5861">
          <cell r="V5861">
            <v>0</v>
          </cell>
          <cell r="Z5861">
            <v>0</v>
          </cell>
        </row>
        <row r="5862">
          <cell r="V5862">
            <v>0</v>
          </cell>
          <cell r="Z5862">
            <v>0</v>
          </cell>
        </row>
        <row r="5863">
          <cell r="V5863">
            <v>0</v>
          </cell>
          <cell r="Z5863">
            <v>0</v>
          </cell>
        </row>
        <row r="5864">
          <cell r="V5864">
            <v>0</v>
          </cell>
          <cell r="Z5864">
            <v>0</v>
          </cell>
        </row>
        <row r="5865">
          <cell r="V5865">
            <v>0</v>
          </cell>
          <cell r="Z5865">
            <v>0</v>
          </cell>
        </row>
        <row r="5866">
          <cell r="V5866">
            <v>0</v>
          </cell>
          <cell r="Z5866">
            <v>0</v>
          </cell>
        </row>
        <row r="5867">
          <cell r="V5867">
            <v>0</v>
          </cell>
          <cell r="Z5867">
            <v>0</v>
          </cell>
        </row>
        <row r="5868">
          <cell r="V5868">
            <v>0</v>
          </cell>
          <cell r="Z5868">
            <v>0</v>
          </cell>
        </row>
        <row r="5869">
          <cell r="V5869">
            <v>0</v>
          </cell>
          <cell r="Z5869">
            <v>0</v>
          </cell>
        </row>
        <row r="5870">
          <cell r="V5870">
            <v>0</v>
          </cell>
          <cell r="Z5870">
            <v>0</v>
          </cell>
        </row>
        <row r="5871">
          <cell r="V5871">
            <v>0</v>
          </cell>
          <cell r="Z5871">
            <v>0</v>
          </cell>
        </row>
        <row r="5872">
          <cell r="V5872">
            <v>0</v>
          </cell>
          <cell r="Z5872">
            <v>0</v>
          </cell>
        </row>
        <row r="5873">
          <cell r="V5873">
            <v>0</v>
          </cell>
          <cell r="Z5873">
            <v>0</v>
          </cell>
        </row>
        <row r="5874">
          <cell r="V5874">
            <v>0</v>
          </cell>
          <cell r="Z5874">
            <v>0</v>
          </cell>
        </row>
        <row r="5875">
          <cell r="V5875">
            <v>0</v>
          </cell>
          <cell r="Z5875">
            <v>0</v>
          </cell>
        </row>
        <row r="5876">
          <cell r="V5876">
            <v>0</v>
          </cell>
          <cell r="Z5876">
            <v>0</v>
          </cell>
        </row>
        <row r="5877">
          <cell r="V5877">
            <v>0</v>
          </cell>
          <cell r="Z5877">
            <v>0</v>
          </cell>
        </row>
        <row r="5878">
          <cell r="V5878">
            <v>0</v>
          </cell>
          <cell r="Z5878">
            <v>0</v>
          </cell>
        </row>
        <row r="5879">
          <cell r="V5879">
            <v>0</v>
          </cell>
          <cell r="Z5879">
            <v>0</v>
          </cell>
        </row>
        <row r="5880">
          <cell r="V5880">
            <v>0</v>
          </cell>
          <cell r="Z5880">
            <v>0</v>
          </cell>
        </row>
        <row r="5881">
          <cell r="V5881">
            <v>0</v>
          </cell>
          <cell r="Z5881">
            <v>0</v>
          </cell>
        </row>
        <row r="5882">
          <cell r="V5882">
            <v>0</v>
          </cell>
          <cell r="Z5882">
            <v>0</v>
          </cell>
        </row>
        <row r="5883">
          <cell r="V5883">
            <v>0</v>
          </cell>
          <cell r="Z5883">
            <v>0</v>
          </cell>
        </row>
        <row r="5884">
          <cell r="V5884">
            <v>0</v>
          </cell>
          <cell r="Z5884">
            <v>0</v>
          </cell>
        </row>
        <row r="5885">
          <cell r="V5885">
            <v>0</v>
          </cell>
          <cell r="Z5885">
            <v>0</v>
          </cell>
        </row>
        <row r="5886">
          <cell r="V5886">
            <v>0</v>
          </cell>
          <cell r="Z5886">
            <v>0</v>
          </cell>
        </row>
        <row r="5887">
          <cell r="V5887">
            <v>0</v>
          </cell>
          <cell r="Z5887">
            <v>0</v>
          </cell>
        </row>
        <row r="5888">
          <cell r="V5888">
            <v>0</v>
          </cell>
          <cell r="Z5888">
            <v>0</v>
          </cell>
        </row>
        <row r="5889">
          <cell r="V5889">
            <v>0</v>
          </cell>
          <cell r="Z5889">
            <v>0</v>
          </cell>
        </row>
        <row r="5890">
          <cell r="V5890">
            <v>0</v>
          </cell>
          <cell r="Z5890">
            <v>0</v>
          </cell>
        </row>
        <row r="5891">
          <cell r="V5891">
            <v>0</v>
          </cell>
          <cell r="Z5891">
            <v>0</v>
          </cell>
        </row>
        <row r="5892">
          <cell r="V5892">
            <v>0</v>
          </cell>
          <cell r="Z5892">
            <v>0</v>
          </cell>
        </row>
        <row r="5893">
          <cell r="V5893">
            <v>0</v>
          </cell>
          <cell r="Z5893">
            <v>0</v>
          </cell>
        </row>
        <row r="5894">
          <cell r="V5894">
            <v>0</v>
          </cell>
          <cell r="Z5894">
            <v>0</v>
          </cell>
        </row>
        <row r="5895">
          <cell r="V5895">
            <v>0</v>
          </cell>
          <cell r="Z5895">
            <v>0</v>
          </cell>
        </row>
        <row r="5896">
          <cell r="V5896">
            <v>0</v>
          </cell>
          <cell r="Z5896">
            <v>0</v>
          </cell>
        </row>
        <row r="5897">
          <cell r="V5897">
            <v>0</v>
          </cell>
          <cell r="Z5897">
            <v>0</v>
          </cell>
        </row>
        <row r="5898">
          <cell r="V5898">
            <v>0</v>
          </cell>
          <cell r="Z5898">
            <v>0</v>
          </cell>
        </row>
        <row r="5899">
          <cell r="V5899">
            <v>0</v>
          </cell>
          <cell r="Z5899">
            <v>0</v>
          </cell>
        </row>
        <row r="5900">
          <cell r="V5900">
            <v>0</v>
          </cell>
          <cell r="Z5900">
            <v>0</v>
          </cell>
        </row>
        <row r="5901">
          <cell r="V5901">
            <v>0</v>
          </cell>
          <cell r="Z5901">
            <v>0</v>
          </cell>
        </row>
        <row r="5902">
          <cell r="V5902">
            <v>0</v>
          </cell>
          <cell r="Z5902">
            <v>0</v>
          </cell>
        </row>
        <row r="5903">
          <cell r="V5903">
            <v>0</v>
          </cell>
          <cell r="Z5903">
            <v>0</v>
          </cell>
        </row>
        <row r="5904">
          <cell r="V5904">
            <v>0</v>
          </cell>
          <cell r="Z5904">
            <v>0</v>
          </cell>
        </row>
        <row r="5905">
          <cell r="V5905">
            <v>0</v>
          </cell>
          <cell r="Z5905">
            <v>0</v>
          </cell>
        </row>
        <row r="5906">
          <cell r="V5906">
            <v>0</v>
          </cell>
          <cell r="Z5906">
            <v>0</v>
          </cell>
        </row>
        <row r="5907">
          <cell r="V5907">
            <v>0</v>
          </cell>
          <cell r="Z5907">
            <v>0</v>
          </cell>
        </row>
        <row r="5908">
          <cell r="V5908">
            <v>0</v>
          </cell>
          <cell r="Z5908">
            <v>0</v>
          </cell>
        </row>
        <row r="5909">
          <cell r="V5909">
            <v>0</v>
          </cell>
          <cell r="Z5909">
            <v>0</v>
          </cell>
        </row>
        <row r="5910">
          <cell r="V5910">
            <v>0</v>
          </cell>
          <cell r="Z5910">
            <v>0</v>
          </cell>
        </row>
        <row r="5911">
          <cell r="V5911">
            <v>0</v>
          </cell>
          <cell r="Z5911">
            <v>0</v>
          </cell>
        </row>
        <row r="5912">
          <cell r="V5912">
            <v>0</v>
          </cell>
          <cell r="Z5912">
            <v>0</v>
          </cell>
        </row>
        <row r="5913">
          <cell r="V5913">
            <v>0</v>
          </cell>
          <cell r="Z5913">
            <v>0</v>
          </cell>
        </row>
        <row r="5914">
          <cell r="V5914">
            <v>0</v>
          </cell>
          <cell r="Z5914">
            <v>0</v>
          </cell>
        </row>
        <row r="5915">
          <cell r="V5915">
            <v>0</v>
          </cell>
          <cell r="Z5915">
            <v>0</v>
          </cell>
        </row>
        <row r="5916">
          <cell r="V5916">
            <v>0</v>
          </cell>
          <cell r="Z5916">
            <v>0</v>
          </cell>
        </row>
        <row r="5917">
          <cell r="V5917">
            <v>0</v>
          </cell>
          <cell r="Z5917">
            <v>0</v>
          </cell>
        </row>
        <row r="5918">
          <cell r="V5918">
            <v>0</v>
          </cell>
          <cell r="Z5918">
            <v>0</v>
          </cell>
        </row>
        <row r="5919">
          <cell r="V5919">
            <v>0</v>
          </cell>
          <cell r="Z5919">
            <v>0</v>
          </cell>
        </row>
        <row r="5920">
          <cell r="V5920">
            <v>0</v>
          </cell>
          <cell r="Z5920">
            <v>0</v>
          </cell>
        </row>
        <row r="5921">
          <cell r="V5921">
            <v>0</v>
          </cell>
          <cell r="Z5921">
            <v>0</v>
          </cell>
        </row>
        <row r="5922">
          <cell r="V5922">
            <v>0</v>
          </cell>
          <cell r="Z5922">
            <v>0</v>
          </cell>
        </row>
        <row r="5923">
          <cell r="V5923">
            <v>0</v>
          </cell>
          <cell r="Z5923">
            <v>0</v>
          </cell>
        </row>
        <row r="5924">
          <cell r="V5924">
            <v>0</v>
          </cell>
          <cell r="Z5924">
            <v>0</v>
          </cell>
        </row>
        <row r="5925">
          <cell r="V5925">
            <v>0</v>
          </cell>
          <cell r="Z5925">
            <v>0</v>
          </cell>
        </row>
        <row r="5926">
          <cell r="V5926">
            <v>0</v>
          </cell>
          <cell r="Z5926">
            <v>0</v>
          </cell>
        </row>
        <row r="5927">
          <cell r="V5927">
            <v>0</v>
          </cell>
          <cell r="Z5927">
            <v>0</v>
          </cell>
        </row>
        <row r="5928">
          <cell r="V5928">
            <v>0</v>
          </cell>
          <cell r="Z5928">
            <v>0</v>
          </cell>
        </row>
        <row r="5929">
          <cell r="V5929">
            <v>0</v>
          </cell>
          <cell r="Z5929">
            <v>0</v>
          </cell>
        </row>
        <row r="5930">
          <cell r="V5930">
            <v>0</v>
          </cell>
          <cell r="Z5930">
            <v>0</v>
          </cell>
        </row>
        <row r="5931">
          <cell r="V5931">
            <v>0</v>
          </cell>
          <cell r="Z5931">
            <v>0</v>
          </cell>
        </row>
        <row r="5932">
          <cell r="V5932">
            <v>0</v>
          </cell>
          <cell r="Z5932">
            <v>0</v>
          </cell>
        </row>
        <row r="5933">
          <cell r="V5933">
            <v>0</v>
          </cell>
          <cell r="Z5933">
            <v>0</v>
          </cell>
        </row>
        <row r="5934">
          <cell r="V5934">
            <v>0</v>
          </cell>
          <cell r="Z5934">
            <v>0</v>
          </cell>
        </row>
        <row r="5935">
          <cell r="V5935">
            <v>0</v>
          </cell>
          <cell r="Z5935">
            <v>0</v>
          </cell>
        </row>
        <row r="5936">
          <cell r="V5936">
            <v>0</v>
          </cell>
          <cell r="Z5936">
            <v>0</v>
          </cell>
        </row>
        <row r="5937">
          <cell r="V5937">
            <v>0</v>
          </cell>
          <cell r="Z5937">
            <v>0</v>
          </cell>
        </row>
        <row r="5938">
          <cell r="V5938">
            <v>0</v>
          </cell>
          <cell r="Z5938">
            <v>0</v>
          </cell>
        </row>
        <row r="5939">
          <cell r="V5939">
            <v>0</v>
          </cell>
          <cell r="Z5939">
            <v>0</v>
          </cell>
        </row>
        <row r="5940">
          <cell r="V5940">
            <v>0</v>
          </cell>
          <cell r="Z5940">
            <v>0</v>
          </cell>
        </row>
        <row r="5941">
          <cell r="V5941">
            <v>0</v>
          </cell>
          <cell r="Z5941">
            <v>0</v>
          </cell>
        </row>
        <row r="5942">
          <cell r="V5942">
            <v>0</v>
          </cell>
          <cell r="Z5942">
            <v>0</v>
          </cell>
        </row>
        <row r="5943">
          <cell r="V5943">
            <v>0</v>
          </cell>
          <cell r="Z5943">
            <v>0</v>
          </cell>
        </row>
        <row r="5944">
          <cell r="V5944">
            <v>0</v>
          </cell>
          <cell r="Z5944">
            <v>0</v>
          </cell>
        </row>
        <row r="5945">
          <cell r="V5945">
            <v>0</v>
          </cell>
          <cell r="Z5945">
            <v>0</v>
          </cell>
        </row>
        <row r="5946">
          <cell r="V5946">
            <v>0</v>
          </cell>
          <cell r="Z5946">
            <v>0</v>
          </cell>
        </row>
        <row r="5947">
          <cell r="V5947">
            <v>0</v>
          </cell>
          <cell r="Z5947">
            <v>0</v>
          </cell>
        </row>
        <row r="5948">
          <cell r="V5948">
            <v>0</v>
          </cell>
          <cell r="Z5948">
            <v>0</v>
          </cell>
        </row>
        <row r="5949">
          <cell r="V5949">
            <v>0</v>
          </cell>
          <cell r="Z5949">
            <v>0</v>
          </cell>
        </row>
        <row r="5950">
          <cell r="V5950">
            <v>0</v>
          </cell>
          <cell r="Z5950">
            <v>0</v>
          </cell>
        </row>
        <row r="5951">
          <cell r="V5951">
            <v>0</v>
          </cell>
          <cell r="Z5951">
            <v>0</v>
          </cell>
        </row>
        <row r="5952">
          <cell r="V5952">
            <v>0</v>
          </cell>
          <cell r="Z5952">
            <v>0</v>
          </cell>
        </row>
        <row r="5953">
          <cell r="V5953">
            <v>0</v>
          </cell>
          <cell r="Z5953">
            <v>0</v>
          </cell>
        </row>
        <row r="5954">
          <cell r="V5954">
            <v>0</v>
          </cell>
          <cell r="Z5954">
            <v>0</v>
          </cell>
        </row>
        <row r="5955">
          <cell r="V5955">
            <v>0</v>
          </cell>
          <cell r="Z5955">
            <v>0</v>
          </cell>
        </row>
        <row r="5956">
          <cell r="V5956">
            <v>0</v>
          </cell>
          <cell r="Z5956">
            <v>0</v>
          </cell>
        </row>
        <row r="5957">
          <cell r="V5957">
            <v>0</v>
          </cell>
          <cell r="Z5957">
            <v>0</v>
          </cell>
        </row>
        <row r="5958">
          <cell r="V5958">
            <v>0</v>
          </cell>
          <cell r="Z5958">
            <v>0</v>
          </cell>
        </row>
        <row r="5959">
          <cell r="V5959">
            <v>0</v>
          </cell>
          <cell r="Z5959">
            <v>0</v>
          </cell>
        </row>
        <row r="5960">
          <cell r="V5960">
            <v>0</v>
          </cell>
          <cell r="Z5960">
            <v>0</v>
          </cell>
        </row>
        <row r="5961">
          <cell r="V5961">
            <v>0</v>
          </cell>
          <cell r="Z5961">
            <v>0</v>
          </cell>
        </row>
        <row r="5962">
          <cell r="V5962">
            <v>0</v>
          </cell>
          <cell r="Z5962">
            <v>0</v>
          </cell>
        </row>
        <row r="5963">
          <cell r="V5963">
            <v>0</v>
          </cell>
          <cell r="Z5963">
            <v>0</v>
          </cell>
        </row>
        <row r="5964">
          <cell r="V5964">
            <v>0</v>
          </cell>
          <cell r="Z5964">
            <v>0</v>
          </cell>
        </row>
        <row r="5965">
          <cell r="V5965">
            <v>0</v>
          </cell>
          <cell r="Z5965">
            <v>0</v>
          </cell>
        </row>
        <row r="5966">
          <cell r="V5966">
            <v>0</v>
          </cell>
          <cell r="Z5966">
            <v>0</v>
          </cell>
        </row>
        <row r="5967">
          <cell r="V5967">
            <v>0</v>
          </cell>
          <cell r="Z5967">
            <v>0</v>
          </cell>
        </row>
        <row r="5968">
          <cell r="V5968">
            <v>0</v>
          </cell>
          <cell r="Z5968">
            <v>0</v>
          </cell>
        </row>
        <row r="5969">
          <cell r="V5969">
            <v>0</v>
          </cell>
          <cell r="Z5969">
            <v>0</v>
          </cell>
        </row>
        <row r="5970">
          <cell r="V5970">
            <v>0</v>
          </cell>
          <cell r="Z5970">
            <v>0</v>
          </cell>
        </row>
        <row r="5971">
          <cell r="V5971">
            <v>0</v>
          </cell>
          <cell r="Z5971">
            <v>0</v>
          </cell>
        </row>
        <row r="5972">
          <cell r="V5972">
            <v>0</v>
          </cell>
          <cell r="Z5972">
            <v>0</v>
          </cell>
        </row>
        <row r="5973">
          <cell r="V5973">
            <v>0</v>
          </cell>
          <cell r="Z5973">
            <v>0</v>
          </cell>
        </row>
        <row r="5974">
          <cell r="V5974">
            <v>0</v>
          </cell>
          <cell r="Z5974">
            <v>0</v>
          </cell>
        </row>
        <row r="5975">
          <cell r="V5975">
            <v>0</v>
          </cell>
          <cell r="Z5975">
            <v>0</v>
          </cell>
        </row>
        <row r="5976">
          <cell r="V5976">
            <v>0</v>
          </cell>
          <cell r="Z5976">
            <v>0</v>
          </cell>
        </row>
        <row r="5977">
          <cell r="V5977">
            <v>0</v>
          </cell>
          <cell r="Z5977">
            <v>0</v>
          </cell>
        </row>
        <row r="5978">
          <cell r="V5978">
            <v>0</v>
          </cell>
          <cell r="Z5978">
            <v>0</v>
          </cell>
        </row>
        <row r="5979">
          <cell r="V5979">
            <v>0</v>
          </cell>
          <cell r="Z5979">
            <v>0</v>
          </cell>
        </row>
        <row r="5980">
          <cell r="V5980">
            <v>0</v>
          </cell>
          <cell r="Z5980">
            <v>0</v>
          </cell>
        </row>
        <row r="5981">
          <cell r="V5981">
            <v>0</v>
          </cell>
          <cell r="Z5981">
            <v>0</v>
          </cell>
        </row>
        <row r="5982">
          <cell r="V5982">
            <v>0</v>
          </cell>
          <cell r="Z5982">
            <v>0</v>
          </cell>
        </row>
        <row r="5983">
          <cell r="V5983">
            <v>0</v>
          </cell>
          <cell r="Z5983">
            <v>0</v>
          </cell>
        </row>
        <row r="5984">
          <cell r="V5984">
            <v>0</v>
          </cell>
          <cell r="Z5984">
            <v>0</v>
          </cell>
        </row>
        <row r="5985">
          <cell r="V5985">
            <v>0</v>
          </cell>
          <cell r="Z5985">
            <v>0</v>
          </cell>
        </row>
        <row r="5986">
          <cell r="V5986">
            <v>0</v>
          </cell>
          <cell r="Z5986">
            <v>0</v>
          </cell>
        </row>
        <row r="5987">
          <cell r="V5987">
            <v>0</v>
          </cell>
          <cell r="Z5987">
            <v>0</v>
          </cell>
        </row>
        <row r="5988">
          <cell r="V5988">
            <v>0</v>
          </cell>
          <cell r="Z5988">
            <v>0</v>
          </cell>
        </row>
        <row r="5989">
          <cell r="V5989">
            <v>0</v>
          </cell>
          <cell r="Z5989">
            <v>0</v>
          </cell>
        </row>
        <row r="5990">
          <cell r="V5990">
            <v>0</v>
          </cell>
          <cell r="Z5990">
            <v>0</v>
          </cell>
        </row>
        <row r="5991">
          <cell r="V5991">
            <v>0</v>
          </cell>
          <cell r="Z5991">
            <v>0</v>
          </cell>
        </row>
        <row r="5992">
          <cell r="V5992">
            <v>0</v>
          </cell>
          <cell r="Z5992">
            <v>0</v>
          </cell>
        </row>
        <row r="5993">
          <cell r="V5993">
            <v>0</v>
          </cell>
          <cell r="Z5993">
            <v>0</v>
          </cell>
        </row>
        <row r="5994">
          <cell r="V5994">
            <v>0</v>
          </cell>
          <cell r="Z5994">
            <v>0</v>
          </cell>
        </row>
        <row r="5995">
          <cell r="V5995">
            <v>0</v>
          </cell>
          <cell r="Z5995">
            <v>0</v>
          </cell>
        </row>
        <row r="5996">
          <cell r="V5996">
            <v>0</v>
          </cell>
          <cell r="Z5996">
            <v>0</v>
          </cell>
        </row>
        <row r="5997">
          <cell r="V5997">
            <v>0</v>
          </cell>
          <cell r="Z5997">
            <v>0</v>
          </cell>
        </row>
        <row r="5998">
          <cell r="V5998">
            <v>0</v>
          </cell>
          <cell r="Z5998">
            <v>0</v>
          </cell>
        </row>
        <row r="5999">
          <cell r="V5999">
            <v>0</v>
          </cell>
          <cell r="Z5999">
            <v>0</v>
          </cell>
        </row>
        <row r="6000">
          <cell r="V6000">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 &amp; T MASTER"/>
      <sheetName val="elv COVER"/>
      <sheetName val="CC7"/>
      <sheetName val="EH1"/>
      <sheetName val="EH-1-DCI"/>
      <sheetName val="EH2"/>
      <sheetName val="EH-2-DCI"/>
      <sheetName val="EH3"/>
      <sheetName val="EH-3-DCI"/>
      <sheetName val="CCP38"/>
      <sheetName val="CCP38-DCI"/>
      <sheetName val="MSP00"/>
      <sheetName val="CC7-DCI"/>
      <sheetName val="MSP00-DCI"/>
      <sheetName val="SG0A"/>
      <sheetName val="SG0A-DCI"/>
      <sheetName val="DG30"/>
      <sheetName val="DG30-DCI"/>
      <sheetName val="FS31"/>
      <sheetName val="FS31-DCI"/>
      <sheetName val="Doc Set"/>
      <sheetName val="archiwarm"/>
      <sheetName val="elv BLG"/>
    </sheetNames>
    <sheetDataSet>
      <sheetData sheetId="0">
        <row r="6">
          <cell r="G6">
            <v>43295</v>
          </cell>
          <cell r="J6">
            <v>43340</v>
          </cell>
        </row>
        <row r="7">
          <cell r="G7">
            <v>43305</v>
          </cell>
          <cell r="J7">
            <v>43350</v>
          </cell>
        </row>
        <row r="8">
          <cell r="G8">
            <v>43259</v>
          </cell>
          <cell r="J8">
            <v>43313</v>
          </cell>
        </row>
        <row r="9">
          <cell r="G9">
            <v>43278</v>
          </cell>
          <cell r="H9">
            <v>43343</v>
          </cell>
          <cell r="J9">
            <v>43308</v>
          </cell>
          <cell r="K9">
            <v>43371</v>
          </cell>
        </row>
        <row r="10">
          <cell r="G10">
            <v>43260</v>
          </cell>
          <cell r="J10">
            <v>43299</v>
          </cell>
        </row>
        <row r="12">
          <cell r="G12">
            <v>43329</v>
          </cell>
          <cell r="J12">
            <v>43381</v>
          </cell>
        </row>
        <row r="14">
          <cell r="G14">
            <v>43266</v>
          </cell>
          <cell r="J14">
            <v>43350</v>
          </cell>
        </row>
        <row r="15">
          <cell r="G15">
            <v>43278</v>
          </cell>
          <cell r="J15">
            <v>43346</v>
          </cell>
        </row>
        <row r="52">
          <cell r="E52">
            <v>43493</v>
          </cell>
          <cell r="G52">
            <v>43521</v>
          </cell>
        </row>
        <row r="53">
          <cell r="E53">
            <v>43500</v>
          </cell>
          <cell r="G53">
            <v>43528</v>
          </cell>
        </row>
        <row r="54">
          <cell r="E54">
            <v>43437</v>
          </cell>
          <cell r="F54">
            <v>43489</v>
          </cell>
          <cell r="G54">
            <v>43514</v>
          </cell>
          <cell r="H54">
            <v>43542</v>
          </cell>
        </row>
        <row r="55">
          <cell r="E55">
            <v>43451</v>
          </cell>
          <cell r="G55">
            <v>43479</v>
          </cell>
        </row>
      </sheetData>
      <sheetData sheetId="1"/>
      <sheetData sheetId="2">
        <row r="1">
          <cell r="M1" t="str">
            <v>DD</v>
          </cell>
          <cell r="O1" t="str">
            <v>DTD</v>
          </cell>
          <cell r="Q1" t="str">
            <v>GFC</v>
          </cell>
        </row>
        <row r="2">
          <cell r="M2" t="str">
            <v>CC-INT_D</v>
          </cell>
          <cell r="O2" t="str">
            <v>CC-INT_D</v>
          </cell>
          <cell r="Q2" t="str">
            <v>CC-INT_D</v>
          </cell>
        </row>
        <row r="3">
          <cell r="M3" t="str">
            <v>CC-INT_D</v>
          </cell>
          <cell r="O3" t="str">
            <v>CC-INT_D</v>
          </cell>
          <cell r="Q3" t="str">
            <v>CC-INT_D</v>
          </cell>
        </row>
        <row r="4">
          <cell r="M4" t="str">
            <v>CC-INT_D</v>
          </cell>
          <cell r="O4" t="str">
            <v>CC-INT_D</v>
          </cell>
          <cell r="Q4" t="str">
            <v>CC-INT_D</v>
          </cell>
        </row>
        <row r="5">
          <cell r="M5" t="str">
            <v>CC-INT_D</v>
          </cell>
          <cell r="O5" t="str">
            <v>CC-INT_D</v>
          </cell>
          <cell r="Q5" t="str">
            <v>CC-INT_D</v>
          </cell>
        </row>
        <row r="6">
          <cell r="M6" t="str">
            <v>CC-INT_D</v>
          </cell>
          <cell r="O6" t="str">
            <v>CC-INT_D</v>
          </cell>
          <cell r="Q6" t="str">
            <v>CC-INT_D</v>
          </cell>
        </row>
        <row r="7">
          <cell r="M7" t="str">
            <v>CC-INT_D</v>
          </cell>
          <cell r="O7" t="str">
            <v>CC-INT_D</v>
          </cell>
          <cell r="Q7" t="str">
            <v>CC-INT_D</v>
          </cell>
        </row>
        <row r="8">
          <cell r="M8" t="str">
            <v>CC-INT_D</v>
          </cell>
          <cell r="O8" t="str">
            <v>CC-INT_D</v>
          </cell>
          <cell r="Q8" t="str">
            <v>CC-INT_D</v>
          </cell>
        </row>
        <row r="9">
          <cell r="M9" t="str">
            <v>CC-INT_D</v>
          </cell>
          <cell r="O9" t="str">
            <v>CC-INT_D</v>
          </cell>
          <cell r="Q9" t="str">
            <v>CC-INT_D</v>
          </cell>
        </row>
        <row r="10">
          <cell r="M10" t="str">
            <v>CC-INT_D</v>
          </cell>
          <cell r="O10" t="str">
            <v>CC-INT_D</v>
          </cell>
          <cell r="Q10" t="str">
            <v>CC-INT_D</v>
          </cell>
        </row>
        <row r="11">
          <cell r="M11" t="str">
            <v>CC-INT_D</v>
          </cell>
          <cell r="O11" t="str">
            <v>CC-INT_D</v>
          </cell>
          <cell r="Q11" t="str">
            <v>CC-INT_D</v>
          </cell>
        </row>
        <row r="12">
          <cell r="M12" t="str">
            <v>CC-INT_D</v>
          </cell>
          <cell r="O12" t="str">
            <v>CC-INT_D</v>
          </cell>
          <cell r="Q12" t="str">
            <v>CC-INT_D</v>
          </cell>
        </row>
        <row r="13">
          <cell r="M13" t="str">
            <v>CC-INT_D</v>
          </cell>
          <cell r="O13" t="str">
            <v>CC-INT_D</v>
          </cell>
          <cell r="Q13" t="str">
            <v>CC-INT_D</v>
          </cell>
        </row>
        <row r="14">
          <cell r="M14" t="str">
            <v>CC-INT_D</v>
          </cell>
          <cell r="O14" t="str">
            <v>CC-INT_D</v>
          </cell>
          <cell r="Q14" t="str">
            <v>CC-INT_D</v>
          </cell>
        </row>
        <row r="15">
          <cell r="M15" t="str">
            <v>CC-INT_D</v>
          </cell>
          <cell r="O15" t="str">
            <v>CC-INT_D</v>
          </cell>
          <cell r="Q15" t="str">
            <v>CC-INT_D</v>
          </cell>
        </row>
        <row r="16">
          <cell r="M16" t="str">
            <v>CC-INT_D</v>
          </cell>
          <cell r="O16" t="str">
            <v>CC-INT_D</v>
          </cell>
          <cell r="Q16" t="str">
            <v>CC-INT_D</v>
          </cell>
        </row>
        <row r="17">
          <cell r="M17" t="str">
            <v>CC-INT_D</v>
          </cell>
          <cell r="O17" t="str">
            <v>CC-INT_D</v>
          </cell>
          <cell r="Q17" t="str">
            <v>CC-INT_D</v>
          </cell>
        </row>
        <row r="18">
          <cell r="M18" t="str">
            <v>CC-INT_D</v>
          </cell>
          <cell r="O18" t="str">
            <v>CC-INT_D</v>
          </cell>
          <cell r="Q18" t="str">
            <v>CC-INT_D</v>
          </cell>
        </row>
        <row r="19">
          <cell r="M19" t="str">
            <v>CC-INT_D</v>
          </cell>
          <cell r="O19" t="str">
            <v>CC-INT_D</v>
          </cell>
          <cell r="Q19" t="str">
            <v>CC-INT_D</v>
          </cell>
        </row>
        <row r="20">
          <cell r="M20" t="str">
            <v>CC-INT_D</v>
          </cell>
          <cell r="O20" t="str">
            <v>CC-INT_D</v>
          </cell>
          <cell r="Q20" t="str">
            <v>CC-INT_D</v>
          </cell>
        </row>
        <row r="21">
          <cell r="M21" t="str">
            <v>CC-INT_D</v>
          </cell>
          <cell r="O21" t="str">
            <v>CC-INT_D</v>
          </cell>
          <cell r="Q21" t="str">
            <v>CC-INT_D</v>
          </cell>
        </row>
        <row r="22">
          <cell r="M22" t="str">
            <v>CC-INT_D</v>
          </cell>
          <cell r="O22" t="str">
            <v>CC-INT_D</v>
          </cell>
          <cell r="Q22" t="str">
            <v>CC-INT_D</v>
          </cell>
        </row>
        <row r="23">
          <cell r="M23" t="str">
            <v>CC-INT_D</v>
          </cell>
          <cell r="O23" t="str">
            <v>CC-INT_D</v>
          </cell>
          <cell r="Q23" t="str">
            <v>CC-INT_D</v>
          </cell>
        </row>
        <row r="24">
          <cell r="M24" t="str">
            <v>CC-INT_D</v>
          </cell>
          <cell r="O24" t="str">
            <v>CC-INT_D</v>
          </cell>
          <cell r="Q24" t="str">
            <v>CC-INT_D</v>
          </cell>
        </row>
        <row r="25">
          <cell r="M25" t="str">
            <v>CC-INT_D</v>
          </cell>
          <cell r="O25" t="str">
            <v>CC-INT_D</v>
          </cell>
          <cell r="Q25" t="str">
            <v>CC-INT_D</v>
          </cell>
        </row>
        <row r="26">
          <cell r="M26" t="str">
            <v>CC-INT_D</v>
          </cell>
          <cell r="O26" t="str">
            <v>CC-INT_D</v>
          </cell>
          <cell r="Q26" t="str">
            <v>CC-INT_D</v>
          </cell>
        </row>
        <row r="27">
          <cell r="M27" t="str">
            <v>CC-INT_D</v>
          </cell>
          <cell r="O27" t="str">
            <v>CC-INT_D</v>
          </cell>
          <cell r="Q27" t="str">
            <v>CC-INT_D</v>
          </cell>
        </row>
        <row r="28">
          <cell r="M28" t="str">
            <v>CC-INT_D</v>
          </cell>
          <cell r="O28" t="str">
            <v>CC-INT_D</v>
          </cell>
          <cell r="Q28" t="str">
            <v>CC-INT_D</v>
          </cell>
        </row>
        <row r="29">
          <cell r="M29" t="str">
            <v>CC-INT_D</v>
          </cell>
          <cell r="O29" t="str">
            <v>CC-INT_D</v>
          </cell>
          <cell r="Q29" t="str">
            <v>CC-INT_D</v>
          </cell>
        </row>
        <row r="30">
          <cell r="M30" t="str">
            <v>CC-INT_D</v>
          </cell>
          <cell r="O30" t="str">
            <v>CC-INT_D</v>
          </cell>
          <cell r="Q30" t="str">
            <v>CC-INT_D</v>
          </cell>
        </row>
        <row r="31">
          <cell r="M31" t="str">
            <v>CC-INT_D</v>
          </cell>
          <cell r="O31" t="str">
            <v>CC-INT_D</v>
          </cell>
          <cell r="Q31" t="str">
            <v>CC-INT_D</v>
          </cell>
        </row>
        <row r="32">
          <cell r="M32" t="str">
            <v>CC-INT_D</v>
          </cell>
          <cell r="O32" t="str">
            <v>CC-INT_D</v>
          </cell>
          <cell r="Q32" t="str">
            <v>CC-INT_D</v>
          </cell>
        </row>
        <row r="33">
          <cell r="M33" t="str">
            <v>CC-INT_D</v>
          </cell>
          <cell r="O33" t="str">
            <v>CC-INT_D</v>
          </cell>
          <cell r="Q33" t="str">
            <v>CC-INT_D</v>
          </cell>
        </row>
        <row r="34">
          <cell r="M34" t="str">
            <v>CC-INT_D</v>
          </cell>
          <cell r="O34" t="str">
            <v>CC-INT_D</v>
          </cell>
          <cell r="Q34" t="str">
            <v>CC-INT_D</v>
          </cell>
        </row>
        <row r="35">
          <cell r="M35" t="str">
            <v>CC-INT_D</v>
          </cell>
          <cell r="O35" t="str">
            <v>CC-INT_D</v>
          </cell>
          <cell r="Q35" t="str">
            <v>CC-INT_D</v>
          </cell>
        </row>
        <row r="36">
          <cell r="M36" t="str">
            <v>CC-INT_D</v>
          </cell>
          <cell r="O36" t="str">
            <v>CC-INT_D</v>
          </cell>
          <cell r="Q36" t="str">
            <v>CC-INT_D</v>
          </cell>
        </row>
        <row r="37">
          <cell r="M37" t="str">
            <v>CC-INT_E</v>
          </cell>
          <cell r="O37" t="str">
            <v>CC-INT_E</v>
          </cell>
          <cell r="Q37" t="str">
            <v>CC-INT_E</v>
          </cell>
        </row>
        <row r="38">
          <cell r="M38" t="str">
            <v>CC-INT_E</v>
          </cell>
          <cell r="O38" t="str">
            <v>CC-INT_E</v>
          </cell>
          <cell r="Q38" t="str">
            <v>CC-INT_E</v>
          </cell>
        </row>
        <row r="39">
          <cell r="M39" t="str">
            <v>CC-INT_E</v>
          </cell>
          <cell r="O39" t="str">
            <v>CC-INT_E</v>
          </cell>
          <cell r="Q39" t="str">
            <v>CC-INT_E</v>
          </cell>
        </row>
        <row r="40">
          <cell r="M40" t="str">
            <v>CC-INT_E</v>
          </cell>
          <cell r="O40" t="str">
            <v>CC-INT_E</v>
          </cell>
          <cell r="Q40" t="str">
            <v>CC-INT_E</v>
          </cell>
        </row>
        <row r="41">
          <cell r="M41" t="str">
            <v>CC-INT_E</v>
          </cell>
          <cell r="O41" t="str">
            <v>CC-INT_E</v>
          </cell>
          <cell r="Q41" t="str">
            <v>CC-INT_E</v>
          </cell>
        </row>
        <row r="42">
          <cell r="M42" t="str">
            <v>CC-INT_E</v>
          </cell>
          <cell r="O42" t="str">
            <v>CC-INT_E</v>
          </cell>
          <cell r="Q42" t="str">
            <v>CC-INT_E</v>
          </cell>
        </row>
        <row r="43">
          <cell r="M43" t="str">
            <v>CC-INT_E</v>
          </cell>
          <cell r="O43" t="str">
            <v>CC-INT_E</v>
          </cell>
          <cell r="Q43" t="str">
            <v>CC-INT_E</v>
          </cell>
        </row>
        <row r="44">
          <cell r="M44" t="str">
            <v>CC-INT_E</v>
          </cell>
          <cell r="O44" t="str">
            <v>CC-INT_E</v>
          </cell>
          <cell r="Q44" t="str">
            <v>CC-INT_E</v>
          </cell>
        </row>
        <row r="45">
          <cell r="M45" t="str">
            <v>CC-INT_E</v>
          </cell>
          <cell r="O45" t="str">
            <v>CC-INT_E</v>
          </cell>
          <cell r="Q45" t="str">
            <v>CC-INT_E</v>
          </cell>
        </row>
        <row r="46">
          <cell r="M46" t="str">
            <v>CC-INT_E</v>
          </cell>
          <cell r="O46" t="str">
            <v>CC-INT_E</v>
          </cell>
          <cell r="Q46" t="str">
            <v>CC-INT_E</v>
          </cell>
        </row>
        <row r="47">
          <cell r="M47" t="str">
            <v>CC-INT_E</v>
          </cell>
          <cell r="O47" t="str">
            <v>CC-INT_E</v>
          </cell>
          <cell r="Q47" t="str">
            <v>CC-INT_E</v>
          </cell>
        </row>
        <row r="48">
          <cell r="M48" t="str">
            <v>CC-INT_E</v>
          </cell>
          <cell r="O48" t="str">
            <v>CC-INT_E</v>
          </cell>
          <cell r="Q48" t="str">
            <v>CC-INT_E</v>
          </cell>
        </row>
        <row r="49">
          <cell r="M49" t="str">
            <v>CC-INT_E</v>
          </cell>
          <cell r="O49" t="str">
            <v>CC-INT_E</v>
          </cell>
          <cell r="Q49" t="str">
            <v>CC-INT_E</v>
          </cell>
        </row>
        <row r="50">
          <cell r="M50" t="str">
            <v>CC-INT_E</v>
          </cell>
          <cell r="O50" t="str">
            <v>CC-INT_E</v>
          </cell>
          <cell r="Q50" t="str">
            <v>CC-INT_E</v>
          </cell>
        </row>
        <row r="51">
          <cell r="M51" t="str">
            <v>CC-INT_E</v>
          </cell>
          <cell r="O51" t="str">
            <v>CC-INT_E</v>
          </cell>
          <cell r="Q51" t="str">
            <v>CC-INT_E</v>
          </cell>
        </row>
        <row r="52">
          <cell r="M52" t="str">
            <v>CC-INT_E</v>
          </cell>
          <cell r="O52" t="str">
            <v>CC-INT_E</v>
          </cell>
          <cell r="Q52" t="str">
            <v>CC-INT_E</v>
          </cell>
        </row>
        <row r="53">
          <cell r="M53" t="str">
            <v>CC-INT_E</v>
          </cell>
          <cell r="O53" t="str">
            <v>CC-INT_E</v>
          </cell>
          <cell r="Q53" t="str">
            <v>CC-INT_E</v>
          </cell>
        </row>
        <row r="54">
          <cell r="M54" t="str">
            <v>CC-INT_E</v>
          </cell>
          <cell r="O54" t="str">
            <v>CC-INT_E</v>
          </cell>
          <cell r="Q54" t="str">
            <v>CC-INT_E</v>
          </cell>
        </row>
        <row r="55">
          <cell r="M55" t="str">
            <v>CC-INT_E</v>
          </cell>
          <cell r="O55" t="str">
            <v>CC-INT_E</v>
          </cell>
          <cell r="Q55" t="str">
            <v>CC-INT_E</v>
          </cell>
        </row>
        <row r="56">
          <cell r="M56" t="str">
            <v>CC-INT_E</v>
          </cell>
          <cell r="O56" t="str">
            <v>CC-INT_E</v>
          </cell>
          <cell r="Q56" t="str">
            <v>CC-INT_E</v>
          </cell>
        </row>
        <row r="57">
          <cell r="M57" t="str">
            <v>CC-INT_E</v>
          </cell>
          <cell r="O57" t="str">
            <v>CC-INT_E</v>
          </cell>
          <cell r="Q57" t="str">
            <v>CC-INT_E</v>
          </cell>
        </row>
        <row r="58">
          <cell r="M58" t="str">
            <v>CC-INT_E</v>
          </cell>
          <cell r="O58" t="str">
            <v>CC-INT_E</v>
          </cell>
          <cell r="Q58" t="str">
            <v>CC-INT_E</v>
          </cell>
        </row>
        <row r="59">
          <cell r="M59" t="str">
            <v>CC-INT_E</v>
          </cell>
          <cell r="O59" t="str">
            <v>CC-INT_E</v>
          </cell>
          <cell r="Q59" t="str">
            <v>CC-INT_E</v>
          </cell>
        </row>
        <row r="60">
          <cell r="M60" t="str">
            <v>CC-INT_E</v>
          </cell>
          <cell r="O60" t="str">
            <v>CC-INT_E</v>
          </cell>
          <cell r="Q60" t="str">
            <v>CC-INT_E</v>
          </cell>
        </row>
        <row r="61">
          <cell r="M61" t="str">
            <v>CC-INT_E</v>
          </cell>
          <cell r="O61" t="str">
            <v>CC-INT_E</v>
          </cell>
          <cell r="Q61" t="str">
            <v>CC-INT_E</v>
          </cell>
        </row>
        <row r="62">
          <cell r="M62" t="str">
            <v>CC-INT_E</v>
          </cell>
          <cell r="O62" t="str">
            <v>CC-INT_E</v>
          </cell>
          <cell r="Q62" t="str">
            <v>CC-INT_E</v>
          </cell>
        </row>
        <row r="63">
          <cell r="M63" t="str">
            <v>CC-INT_E</v>
          </cell>
          <cell r="O63" t="str">
            <v>CC-INT_E</v>
          </cell>
          <cell r="Q63" t="str">
            <v>CC-INT_E</v>
          </cell>
        </row>
        <row r="64">
          <cell r="M64" t="str">
            <v>CC-INT_E</v>
          </cell>
          <cell r="O64" t="str">
            <v>CC-INT_E</v>
          </cell>
          <cell r="Q64" t="str">
            <v>CC-INT_E</v>
          </cell>
        </row>
        <row r="65">
          <cell r="M65" t="str">
            <v>CC-INT_E</v>
          </cell>
          <cell r="O65" t="str">
            <v>CC-INT_E</v>
          </cell>
          <cell r="Q65" t="str">
            <v>CC-INT_E</v>
          </cell>
        </row>
        <row r="66">
          <cell r="M66" t="str">
            <v>CC-INT_E</v>
          </cell>
          <cell r="O66" t="str">
            <v>CC-INT_E</v>
          </cell>
          <cell r="Q66" t="str">
            <v>CC-INT_E</v>
          </cell>
        </row>
        <row r="67">
          <cell r="M67" t="str">
            <v>CC-INT_E</v>
          </cell>
          <cell r="O67" t="str">
            <v>CC-INT_E</v>
          </cell>
          <cell r="Q67" t="str">
            <v>CC-INT_E</v>
          </cell>
        </row>
        <row r="68">
          <cell r="M68" t="str">
            <v>CC-INT_E</v>
          </cell>
          <cell r="O68" t="str">
            <v>CC-INT_E</v>
          </cell>
          <cell r="Q68" t="str">
            <v>CC-INT_E</v>
          </cell>
        </row>
        <row r="69">
          <cell r="M69" t="str">
            <v>CC-INT_E</v>
          </cell>
          <cell r="O69" t="str">
            <v>CC-INT_E</v>
          </cell>
          <cell r="Q69" t="str">
            <v>CC-INT_E</v>
          </cell>
        </row>
        <row r="70">
          <cell r="M70" t="str">
            <v>CC-INT_E</v>
          </cell>
          <cell r="O70" t="str">
            <v>CC-INT_E</v>
          </cell>
          <cell r="Q70" t="str">
            <v>CC-INT_E</v>
          </cell>
        </row>
        <row r="71">
          <cell r="M71" t="str">
            <v>CC-INT_E</v>
          </cell>
          <cell r="O71" t="str">
            <v>CC-INT_E</v>
          </cell>
          <cell r="Q71" t="str">
            <v>CC-INT_E</v>
          </cell>
        </row>
        <row r="72">
          <cell r="M72" t="str">
            <v>CC-INT_E</v>
          </cell>
          <cell r="O72" t="str">
            <v>CC-INT_E</v>
          </cell>
          <cell r="Q72" t="str">
            <v>CC-INT_E</v>
          </cell>
        </row>
        <row r="73">
          <cell r="M73" t="str">
            <v>CC-INT_E</v>
          </cell>
          <cell r="O73" t="str">
            <v>CC-INT_E</v>
          </cell>
          <cell r="Q73" t="str">
            <v>CC-INT_E</v>
          </cell>
        </row>
        <row r="74">
          <cell r="M74" t="str">
            <v>CC-INT_E</v>
          </cell>
          <cell r="O74" t="str">
            <v>CC-INT_E</v>
          </cell>
          <cell r="Q74" t="str">
            <v>CC-INT_E</v>
          </cell>
        </row>
        <row r="75">
          <cell r="M75" t="str">
            <v>CC-INT_E</v>
          </cell>
          <cell r="O75" t="str">
            <v>CC-INT_E</v>
          </cell>
          <cell r="Q75" t="str">
            <v>CC-INT_E</v>
          </cell>
        </row>
        <row r="76">
          <cell r="M76" t="str">
            <v>CC-INT_E</v>
          </cell>
          <cell r="O76" t="str">
            <v>CC-INT_E</v>
          </cell>
          <cell r="Q76" t="str">
            <v>CC-INT_E</v>
          </cell>
        </row>
        <row r="77">
          <cell r="M77" t="str">
            <v>CC-INT_E</v>
          </cell>
          <cell r="O77" t="str">
            <v>CC-INT_E</v>
          </cell>
          <cell r="Q77" t="str">
            <v>CC-INT_E</v>
          </cell>
        </row>
        <row r="78">
          <cell r="M78" t="str">
            <v>CC-INT_E</v>
          </cell>
          <cell r="O78" t="str">
            <v>CC-INT_E</v>
          </cell>
          <cell r="Q78" t="str">
            <v>CC-INT_E</v>
          </cell>
        </row>
        <row r="79">
          <cell r="M79" t="str">
            <v>CC-INT_E</v>
          </cell>
          <cell r="O79" t="str">
            <v>CC-INT_E</v>
          </cell>
          <cell r="Q79" t="str">
            <v>CC-INT_E</v>
          </cell>
        </row>
        <row r="80">
          <cell r="M80" t="str">
            <v>CC-INT_E</v>
          </cell>
          <cell r="O80" t="str">
            <v>CC-INT_E</v>
          </cell>
          <cell r="Q80" t="str">
            <v>CC-INT_E</v>
          </cell>
        </row>
        <row r="81">
          <cell r="M81" t="str">
            <v>CC-INT_E</v>
          </cell>
          <cell r="O81" t="str">
            <v>CC-INT_E</v>
          </cell>
          <cell r="Q81" t="str">
            <v>CC-INT_E</v>
          </cell>
        </row>
        <row r="82">
          <cell r="M82" t="str">
            <v>CC-INT_E</v>
          </cell>
          <cell r="O82" t="str">
            <v>CC-INT_E</v>
          </cell>
          <cell r="Q82" t="str">
            <v>CC-INT_E</v>
          </cell>
        </row>
        <row r="83">
          <cell r="M83" t="str">
            <v>CC-INT_E</v>
          </cell>
          <cell r="O83" t="str">
            <v>CC-INT_E</v>
          </cell>
          <cell r="Q83" t="str">
            <v>CC-INT_E</v>
          </cell>
        </row>
        <row r="84">
          <cell r="M84" t="str">
            <v>CC-INT_E</v>
          </cell>
          <cell r="O84" t="str">
            <v>CC-INT_E</v>
          </cell>
          <cell r="Q84" t="str">
            <v>CC-INT_E</v>
          </cell>
        </row>
        <row r="85">
          <cell r="M85" t="str">
            <v>CC-INT_E</v>
          </cell>
          <cell r="O85" t="str">
            <v>CC-INT_E</v>
          </cell>
          <cell r="Q85" t="str">
            <v>CC-INT_E</v>
          </cell>
        </row>
        <row r="86">
          <cell r="M86" t="str">
            <v>CC-INT_D</v>
          </cell>
          <cell r="O86" t="str">
            <v>CC-INT_D</v>
          </cell>
          <cell r="Q86" t="str">
            <v>CC-INT_D</v>
          </cell>
        </row>
        <row r="87">
          <cell r="M87" t="str">
            <v>CC-INT_D</v>
          </cell>
          <cell r="O87" t="str">
            <v>CC-INT_D</v>
          </cell>
          <cell r="Q87" t="str">
            <v>CC-INT_D</v>
          </cell>
        </row>
        <row r="88">
          <cell r="M88" t="str">
            <v>CC-INT_D</v>
          </cell>
          <cell r="O88" t="str">
            <v>CC-INT_D</v>
          </cell>
          <cell r="Q88" t="str">
            <v>CC-INT_D</v>
          </cell>
        </row>
        <row r="89">
          <cell r="M89" t="str">
            <v>CC-INT_D</v>
          </cell>
          <cell r="O89" t="str">
            <v>CC-INT_D</v>
          </cell>
          <cell r="Q89" t="str">
            <v>CC-INT_D</v>
          </cell>
        </row>
        <row r="90">
          <cell r="M90" t="str">
            <v>CC-INT_D</v>
          </cell>
          <cell r="O90" t="str">
            <v>CC-INT_D</v>
          </cell>
          <cell r="Q90" t="str">
            <v>CC-INT_D</v>
          </cell>
        </row>
        <row r="91">
          <cell r="M91" t="str">
            <v>CC-INT_E</v>
          </cell>
          <cell r="O91" t="str">
            <v>CC-INT_E</v>
          </cell>
          <cell r="Q91" t="str">
            <v>CC-INT_E</v>
          </cell>
        </row>
        <row r="92">
          <cell r="M92" t="str">
            <v>CC-INT_E</v>
          </cell>
          <cell r="O92" t="str">
            <v>CC-INT_E</v>
          </cell>
          <cell r="Q92" t="str">
            <v>CC-INT_E</v>
          </cell>
        </row>
        <row r="93">
          <cell r="M93" t="str">
            <v>CC-INT_E</v>
          </cell>
          <cell r="O93" t="str">
            <v>CC-INT_E</v>
          </cell>
          <cell r="Q93" t="str">
            <v>CC-INT_E</v>
          </cell>
        </row>
        <row r="94">
          <cell r="M94" t="str">
            <v>CC-INT_E</v>
          </cell>
          <cell r="O94" t="str">
            <v>CC-INT_E</v>
          </cell>
          <cell r="Q94" t="str">
            <v>CC-INT_E</v>
          </cell>
        </row>
        <row r="95">
          <cell r="M95" t="str">
            <v>CC-INT_E</v>
          </cell>
          <cell r="O95" t="str">
            <v>CC-INT_E</v>
          </cell>
          <cell r="Q95" t="str">
            <v>CC-INT_E</v>
          </cell>
        </row>
        <row r="96">
          <cell r="M96" t="str">
            <v>CC-INT_E</v>
          </cell>
          <cell r="O96" t="str">
            <v>CC-INT_E</v>
          </cell>
          <cell r="Q96" t="str">
            <v>CC-INT_E</v>
          </cell>
        </row>
        <row r="97">
          <cell r="M97" t="str">
            <v>CC-INT_D</v>
          </cell>
          <cell r="O97" t="str">
            <v>CC-INT_D</v>
          </cell>
          <cell r="Q97" t="str">
            <v>CC-INT_D</v>
          </cell>
        </row>
        <row r="98">
          <cell r="M98" t="str">
            <v>CC-INT_D</v>
          </cell>
          <cell r="O98" t="str">
            <v>CC-INT_D</v>
          </cell>
          <cell r="Q98" t="str">
            <v>CC-INT_D</v>
          </cell>
        </row>
        <row r="99">
          <cell r="M99" t="str">
            <v>CC-INT_D</v>
          </cell>
          <cell r="O99" t="str">
            <v>CC-INT_D</v>
          </cell>
          <cell r="Q99" t="str">
            <v>CC-INT_D</v>
          </cell>
        </row>
        <row r="100">
          <cell r="M100" t="str">
            <v>CC-INT_D</v>
          </cell>
          <cell r="O100" t="str">
            <v>CC-INT_D</v>
          </cell>
          <cell r="Q100" t="str">
            <v>CC-INT_D</v>
          </cell>
        </row>
        <row r="101">
          <cell r="M101" t="str">
            <v>CC-INT_D</v>
          </cell>
          <cell r="O101" t="str">
            <v>CC-INT_D</v>
          </cell>
          <cell r="Q101" t="str">
            <v>CC-INT_D</v>
          </cell>
        </row>
        <row r="102">
          <cell r="M102" t="str">
            <v>CC-INT_E</v>
          </cell>
          <cell r="O102" t="str">
            <v>CC-INT_E</v>
          </cell>
          <cell r="Q102" t="str">
            <v>CC-INT_E</v>
          </cell>
        </row>
        <row r="103">
          <cell r="M103" t="str">
            <v>CC-INT_E</v>
          </cell>
          <cell r="O103" t="str">
            <v>CC-INT_E</v>
          </cell>
          <cell r="Q103" t="str">
            <v>CC-INT_E</v>
          </cell>
        </row>
        <row r="104">
          <cell r="M104" t="str">
            <v>CC-INT_E</v>
          </cell>
          <cell r="O104" t="str">
            <v>CC-INT_E</v>
          </cell>
          <cell r="Q104" t="str">
            <v>CC-INT_E</v>
          </cell>
        </row>
        <row r="105">
          <cell r="M105" t="str">
            <v>CC-INT_E</v>
          </cell>
          <cell r="O105" t="str">
            <v>CC-INT_E</v>
          </cell>
          <cell r="Q105" t="str">
            <v>CC-INT_E</v>
          </cell>
        </row>
        <row r="106">
          <cell r="M106" t="str">
            <v>CC-INT_E</v>
          </cell>
          <cell r="O106" t="str">
            <v>CC-INT_E</v>
          </cell>
          <cell r="Q106" t="str">
            <v>CC-INT_E</v>
          </cell>
        </row>
        <row r="107">
          <cell r="M107" t="str">
            <v>CC-INT_E</v>
          </cell>
          <cell r="O107" t="str">
            <v>CC-INT_E</v>
          </cell>
          <cell r="Q107" t="str">
            <v>CC-INT_E</v>
          </cell>
        </row>
        <row r="108">
          <cell r="M108" t="str">
            <v>CC-INT_E</v>
          </cell>
          <cell r="O108" t="str">
            <v>CC-INT_E</v>
          </cell>
          <cell r="Q108" t="str">
            <v>CC-INT_E</v>
          </cell>
        </row>
        <row r="109">
          <cell r="M109" t="str">
            <v>CC-INT_D</v>
          </cell>
          <cell r="O109" t="str">
            <v>CC-INT_D</v>
          </cell>
          <cell r="Q109" t="str">
            <v>CC-INT_D</v>
          </cell>
        </row>
        <row r="110">
          <cell r="M110" t="str">
            <v>CC-INT_D</v>
          </cell>
          <cell r="O110" t="str">
            <v>CC-INT_D</v>
          </cell>
          <cell r="Q110" t="str">
            <v>CC-INT_D</v>
          </cell>
        </row>
        <row r="111">
          <cell r="M111" t="str">
            <v>CC-INT_D</v>
          </cell>
          <cell r="O111" t="str">
            <v>CC-INT_D</v>
          </cell>
          <cell r="Q111" t="str">
            <v>CC-INT_D</v>
          </cell>
        </row>
        <row r="112">
          <cell r="M112" t="str">
            <v>CC-INT_E</v>
          </cell>
          <cell r="O112" t="str">
            <v>CC-INT_E</v>
          </cell>
          <cell r="Q112" t="str">
            <v>CC-INT_E</v>
          </cell>
        </row>
        <row r="113">
          <cell r="M113" t="str">
            <v>CC-INT_E</v>
          </cell>
          <cell r="O113" t="str">
            <v>CC-INT_E</v>
          </cell>
          <cell r="Q113" t="str">
            <v>CC-INT_E</v>
          </cell>
        </row>
        <row r="114">
          <cell r="M114" t="str">
            <v>CC-INT_E</v>
          </cell>
          <cell r="O114" t="str">
            <v>CC-INT_E</v>
          </cell>
          <cell r="Q114" t="str">
            <v>CC-INT_E</v>
          </cell>
        </row>
        <row r="115">
          <cell r="M115" t="str">
            <v>CC-INT_E</v>
          </cell>
          <cell r="O115" t="str">
            <v>CC-INT_E</v>
          </cell>
          <cell r="Q115" t="str">
            <v>CC-INT_E</v>
          </cell>
        </row>
        <row r="116">
          <cell r="M116" t="str">
            <v>CC-INT_E</v>
          </cell>
          <cell r="O116" t="str">
            <v>CC-INT_E</v>
          </cell>
          <cell r="Q116" t="str">
            <v>CC-INT_E</v>
          </cell>
        </row>
        <row r="117">
          <cell r="M117" t="str">
            <v>CC-INT_E</v>
          </cell>
          <cell r="O117" t="str">
            <v>CC-INT_E</v>
          </cell>
          <cell r="Q117" t="str">
            <v>CC-INT_E</v>
          </cell>
        </row>
        <row r="118">
          <cell r="M118" t="str">
            <v>CC-INT_E</v>
          </cell>
          <cell r="O118" t="str">
            <v>CC-INT_E</v>
          </cell>
          <cell r="Q118" t="str">
            <v>CC-INT_E</v>
          </cell>
        </row>
        <row r="119">
          <cell r="M119" t="str">
            <v>CC-INT_E</v>
          </cell>
          <cell r="O119" t="str">
            <v>CC-INT_E</v>
          </cell>
          <cell r="Q119" t="str">
            <v>CC-INT_E</v>
          </cell>
        </row>
        <row r="120">
          <cell r="M120" t="str">
            <v>COC-SCHEME</v>
          </cell>
          <cell r="O120" t="str">
            <v>CC-SS_B</v>
          </cell>
          <cell r="Q120" t="str">
            <v>CC-SS_B</v>
          </cell>
        </row>
        <row r="121">
          <cell r="M121" t="str">
            <v>CC-SS_B</v>
          </cell>
          <cell r="O121" t="str">
            <v>CC-SS_B</v>
          </cell>
          <cell r="Q121" t="str">
            <v>CC-SS_B</v>
          </cell>
        </row>
        <row r="122">
          <cell r="M122" t="str">
            <v>CC-SS_B</v>
          </cell>
          <cell r="O122" t="str">
            <v>CC-SS_B</v>
          </cell>
          <cell r="Q122" t="str">
            <v>CC-SS_B</v>
          </cell>
        </row>
        <row r="123">
          <cell r="M123" t="str">
            <v>CC-SS_B</v>
          </cell>
          <cell r="O123" t="str">
            <v>CC-SS_B</v>
          </cell>
          <cell r="Q123" t="str">
            <v>CC-SS_B</v>
          </cell>
        </row>
        <row r="124">
          <cell r="M124" t="str">
            <v>CC-SS_B</v>
          </cell>
          <cell r="O124" t="str">
            <v>CC-SS_B</v>
          </cell>
          <cell r="Q124" t="str">
            <v>CC-SS_B</v>
          </cell>
        </row>
        <row r="125">
          <cell r="M125" t="str">
            <v>CC-SS_B</v>
          </cell>
          <cell r="O125" t="str">
            <v>CC-SS_B</v>
          </cell>
          <cell r="Q125" t="str">
            <v>CC-SS_B</v>
          </cell>
        </row>
        <row r="126">
          <cell r="M126" t="str">
            <v>CC-SS_B</v>
          </cell>
          <cell r="O126" t="str">
            <v>CC-SS_B</v>
          </cell>
          <cell r="Q126" t="str">
            <v>CC-SS_B</v>
          </cell>
        </row>
        <row r="127">
          <cell r="M127" t="str">
            <v>CC-SS_B</v>
          </cell>
          <cell r="O127" t="str">
            <v>CC-SS_B</v>
          </cell>
          <cell r="Q127" t="str">
            <v>CC-SS_B</v>
          </cell>
        </row>
        <row r="128">
          <cell r="M128" t="str">
            <v>COC-SCHEME</v>
          </cell>
          <cell r="O128" t="str">
            <v>CC-SS_B</v>
          </cell>
          <cell r="Q128" t="str">
            <v>CC-SS_B</v>
          </cell>
        </row>
        <row r="129">
          <cell r="M129" t="str">
            <v>COC-SCHEME</v>
          </cell>
          <cell r="O129" t="str">
            <v>CC-SS_B</v>
          </cell>
          <cell r="Q129" t="str">
            <v>CC-SS_B</v>
          </cell>
        </row>
        <row r="130">
          <cell r="M130" t="str">
            <v>COC-SCHEME</v>
          </cell>
          <cell r="O130" t="str">
            <v>CC-SS_B</v>
          </cell>
          <cell r="Q130" t="str">
            <v>CC-SS_B</v>
          </cell>
        </row>
        <row r="131">
          <cell r="M131" t="str">
            <v>COC-SCHEME</v>
          </cell>
          <cell r="O131" t="str">
            <v>CC-SS_B</v>
          </cell>
          <cell r="Q131" t="str">
            <v>CC-SS_B</v>
          </cell>
        </row>
        <row r="132">
          <cell r="M132" t="str">
            <v>CC-SS_B</v>
          </cell>
          <cell r="O132" t="str">
            <v>CC-SS_B</v>
          </cell>
          <cell r="Q132" t="str">
            <v>CC-SS_B</v>
          </cell>
        </row>
        <row r="133">
          <cell r="M133" t="str">
            <v>COC-SCHEME</v>
          </cell>
          <cell r="O133" t="str">
            <v>CC-SS_B</v>
          </cell>
          <cell r="Q133" t="str">
            <v>CC-SS_B</v>
          </cell>
        </row>
        <row r="134">
          <cell r="M134" t="str">
            <v>CC-SS_B</v>
          </cell>
          <cell r="O134" t="str">
            <v>CC-SS_B</v>
          </cell>
          <cell r="Q134" t="str">
            <v>CC-SS_B</v>
          </cell>
        </row>
        <row r="135">
          <cell r="M135" t="str">
            <v>COC-SCHEME</v>
          </cell>
          <cell r="O135" t="str">
            <v>CC-SS_B</v>
          </cell>
          <cell r="Q135" t="str">
            <v>CC-SS_B</v>
          </cell>
        </row>
        <row r="136">
          <cell r="M136" t="str">
            <v>CC-SS_B</v>
          </cell>
          <cell r="O136" t="str">
            <v>CC-SS_B</v>
          </cell>
          <cell r="Q136" t="str">
            <v>CC-SS_B</v>
          </cell>
        </row>
        <row r="137">
          <cell r="M137" t="str">
            <v>CC-SS_B</v>
          </cell>
          <cell r="O137" t="str">
            <v>CC-SS_B</v>
          </cell>
          <cell r="Q137" t="str">
            <v>CC-SS_B</v>
          </cell>
        </row>
        <row r="138">
          <cell r="M138" t="str">
            <v>CC-SS_B</v>
          </cell>
          <cell r="O138" t="str">
            <v>CC-SS_B</v>
          </cell>
          <cell r="Q138" t="str">
            <v>CC-SS_B</v>
          </cell>
        </row>
        <row r="139">
          <cell r="M139" t="str">
            <v>CC-SS_B</v>
          </cell>
          <cell r="O139" t="str">
            <v>CC-SS_B</v>
          </cell>
          <cell r="Q139" t="str">
            <v>CC-SS_B</v>
          </cell>
        </row>
        <row r="140">
          <cell r="M140" t="str">
            <v>CC-SS_B</v>
          </cell>
          <cell r="O140" t="str">
            <v>CC-SS_B</v>
          </cell>
          <cell r="Q140" t="str">
            <v>CC-SS_B</v>
          </cell>
        </row>
        <row r="141">
          <cell r="M141" t="str">
            <v>CC-SS_B</v>
          </cell>
          <cell r="O141" t="str">
            <v>CC-SS_B</v>
          </cell>
          <cell r="Q141" t="str">
            <v>CC-SS_B</v>
          </cell>
        </row>
        <row r="142">
          <cell r="M142" t="str">
            <v>CC-SS_B</v>
          </cell>
          <cell r="O142" t="str">
            <v>CC-SS_B</v>
          </cell>
          <cell r="Q142" t="str">
            <v>CC-SS_B</v>
          </cell>
        </row>
        <row r="143">
          <cell r="M143" t="str">
            <v>CC-SS_B</v>
          </cell>
          <cell r="O143" t="str">
            <v>CC-SS_B</v>
          </cell>
          <cell r="Q143" t="str">
            <v>CC-SS_B</v>
          </cell>
        </row>
        <row r="144">
          <cell r="M144" t="str">
            <v>CC-SS_B</v>
          </cell>
          <cell r="O144" t="str">
            <v>CC-SS_B</v>
          </cell>
          <cell r="Q144" t="str">
            <v>CC-SS_B</v>
          </cell>
        </row>
        <row r="145">
          <cell r="M145" t="str">
            <v>CC-SS_B</v>
          </cell>
          <cell r="O145" t="str">
            <v>CC-SS_B</v>
          </cell>
          <cell r="Q145" t="str">
            <v>CC-SS_B</v>
          </cell>
        </row>
        <row r="146">
          <cell r="M146" t="str">
            <v>CC-SS_B</v>
          </cell>
          <cell r="O146" t="str">
            <v>CC-SS_B</v>
          </cell>
          <cell r="Q146" t="str">
            <v>CC-SS_B</v>
          </cell>
        </row>
        <row r="147">
          <cell r="M147" t="str">
            <v>CC-SS_B</v>
          </cell>
          <cell r="O147" t="str">
            <v>CC-SS_B</v>
          </cell>
          <cell r="Q147" t="str">
            <v>CC-SS_B</v>
          </cell>
        </row>
        <row r="148">
          <cell r="M148" t="str">
            <v>CC-SS_C</v>
          </cell>
          <cell r="O148" t="str">
            <v>CC-SS_C</v>
          </cell>
          <cell r="Q148" t="str">
            <v>CC-SS_C</v>
          </cell>
        </row>
        <row r="149">
          <cell r="M149" t="str">
            <v>CC-SS_C</v>
          </cell>
          <cell r="O149" t="str">
            <v>CC-SS_C</v>
          </cell>
          <cell r="Q149" t="str">
            <v>CC-SS_C</v>
          </cell>
        </row>
        <row r="150">
          <cell r="M150" t="str">
            <v>CC-SS_C</v>
          </cell>
          <cell r="O150" t="str">
            <v>CC-SS_C</v>
          </cell>
          <cell r="Q150" t="str">
            <v>CC-SS_C</v>
          </cell>
        </row>
        <row r="151">
          <cell r="M151" t="str">
            <v>CC-SS_C</v>
          </cell>
          <cell r="O151" t="str">
            <v>CC-SS_C</v>
          </cell>
          <cell r="Q151" t="str">
            <v>CC-SS_C</v>
          </cell>
        </row>
        <row r="152">
          <cell r="M152" t="str">
            <v>CC-SS_C</v>
          </cell>
          <cell r="O152" t="str">
            <v>CC-SS_C</v>
          </cell>
          <cell r="Q152" t="str">
            <v>CC-SS_C</v>
          </cell>
        </row>
        <row r="153">
          <cell r="M153" t="str">
            <v>CC-SS_C</v>
          </cell>
          <cell r="O153" t="str">
            <v>CC-SS_C</v>
          </cell>
          <cell r="Q153" t="str">
            <v>CC-SS_C</v>
          </cell>
        </row>
        <row r="154">
          <cell r="M154" t="str">
            <v>CC-INT_D</v>
          </cell>
          <cell r="O154" t="str">
            <v>CC-INT_D</v>
          </cell>
          <cell r="Q154" t="str">
            <v>CC-INT_D</v>
          </cell>
        </row>
        <row r="155">
          <cell r="M155" t="str">
            <v>CC-INT_D</v>
          </cell>
          <cell r="O155" t="str">
            <v>CC-INT_D</v>
          </cell>
          <cell r="Q155" t="str">
            <v>CC-INT_D</v>
          </cell>
        </row>
        <row r="156">
          <cell r="M156" t="str">
            <v>CC-INT_D</v>
          </cell>
          <cell r="O156" t="str">
            <v>CC-INT_D</v>
          </cell>
          <cell r="Q156" t="str">
            <v>CC-INT_D</v>
          </cell>
        </row>
        <row r="157">
          <cell r="M157" t="str">
            <v>CC-INT_D</v>
          </cell>
          <cell r="O157" t="str">
            <v>CC-INT_D</v>
          </cell>
          <cell r="Q157" t="str">
            <v>CC-INT_D</v>
          </cell>
        </row>
        <row r="158">
          <cell r="M158" t="str">
            <v>CC-INT_D</v>
          </cell>
          <cell r="O158" t="str">
            <v>CC-INT_D</v>
          </cell>
          <cell r="Q158" t="str">
            <v>CC-INT_D</v>
          </cell>
        </row>
        <row r="159">
          <cell r="M159" t="str">
            <v>CC-INT_E</v>
          </cell>
          <cell r="O159" t="str">
            <v>CC-INT_E</v>
          </cell>
          <cell r="Q159" t="str">
            <v>CC-INT_E</v>
          </cell>
        </row>
        <row r="160">
          <cell r="M160" t="str">
            <v>CC-INT_E</v>
          </cell>
          <cell r="O160" t="str">
            <v>CC-INT_E</v>
          </cell>
          <cell r="Q160" t="str">
            <v>CC-INT_E</v>
          </cell>
        </row>
        <row r="161">
          <cell r="M161" t="str">
            <v>CC-INT_E</v>
          </cell>
          <cell r="O161" t="str">
            <v>CC-INT_E</v>
          </cell>
          <cell r="Q161" t="str">
            <v>CC-INT_E</v>
          </cell>
        </row>
        <row r="162">
          <cell r="M162" t="str">
            <v>CC-INT_E</v>
          </cell>
          <cell r="O162" t="str">
            <v>CC-INT_E</v>
          </cell>
          <cell r="Q162" t="str">
            <v>CC-INT_E</v>
          </cell>
        </row>
        <row r="163">
          <cell r="M163" t="str">
            <v>CC-INT_E</v>
          </cell>
          <cell r="O163" t="str">
            <v>CC-INT_E</v>
          </cell>
          <cell r="Q163" t="str">
            <v>CC-INT_E</v>
          </cell>
        </row>
        <row r="164">
          <cell r="M164" t="str">
            <v>CC-INT_E</v>
          </cell>
          <cell r="O164" t="str">
            <v>CC-INT_E</v>
          </cell>
          <cell r="Q164" t="str">
            <v>CC-INT_E</v>
          </cell>
        </row>
        <row r="165">
          <cell r="M165" t="str">
            <v>CC-INT_E</v>
          </cell>
          <cell r="O165" t="str">
            <v>CC-INT_E</v>
          </cell>
          <cell r="Q165" t="str">
            <v>CC-INT_E</v>
          </cell>
        </row>
        <row r="166">
          <cell r="M166" t="str">
            <v>CC-INT_E</v>
          </cell>
          <cell r="O166" t="str">
            <v>CC-INT_E</v>
          </cell>
          <cell r="Q166" t="str">
            <v>CC-INT_E</v>
          </cell>
        </row>
        <row r="167">
          <cell r="M167" t="str">
            <v>CC-INT_E</v>
          </cell>
          <cell r="O167" t="str">
            <v>CC-INT_E</v>
          </cell>
          <cell r="Q167" t="str">
            <v>CC-INT_E</v>
          </cell>
        </row>
        <row r="168">
          <cell r="M168" t="str">
            <v>CC-INT_E</v>
          </cell>
          <cell r="O168" t="str">
            <v>CC-INT_E</v>
          </cell>
          <cell r="Q168" t="str">
            <v>CC-INT_E</v>
          </cell>
        </row>
        <row r="169">
          <cell r="M169" t="str">
            <v>CC-INT_E</v>
          </cell>
          <cell r="O169" t="str">
            <v>CC-INT_E</v>
          </cell>
          <cell r="Q169" t="str">
            <v>CC-INT_E</v>
          </cell>
        </row>
      </sheetData>
      <sheetData sheetId="3">
        <row r="1">
          <cell r="M1" t="str">
            <v>DD</v>
          </cell>
          <cell r="O1" t="str">
            <v>DTD</v>
          </cell>
          <cell r="Q1" t="str">
            <v>GFC</v>
          </cell>
        </row>
        <row r="2">
          <cell r="M2" t="str">
            <v>EH1-INT_D</v>
          </cell>
          <cell r="O2" t="str">
            <v>EH1-INT_D</v>
          </cell>
          <cell r="Q2" t="str">
            <v>EH1-INT_D</v>
          </cell>
        </row>
        <row r="3">
          <cell r="M3" t="str">
            <v>EH1-INT_D</v>
          </cell>
          <cell r="O3" t="str">
            <v>EH1-INT_D</v>
          </cell>
          <cell r="Q3" t="str">
            <v>EH1-INT_D</v>
          </cell>
        </row>
        <row r="4">
          <cell r="M4" t="str">
            <v>EH1-INT_D</v>
          </cell>
          <cell r="O4" t="str">
            <v>EH1-INT_D</v>
          </cell>
          <cell r="Q4" t="str">
            <v>EH1-INT_D</v>
          </cell>
        </row>
        <row r="5">
          <cell r="M5" t="str">
            <v>EH1-INT_D</v>
          </cell>
          <cell r="O5" t="str">
            <v>EH1-INT_D</v>
          </cell>
          <cell r="Q5" t="str">
            <v>EH1-INT_D</v>
          </cell>
        </row>
        <row r="6">
          <cell r="M6" t="str">
            <v>EH1-INT_D</v>
          </cell>
          <cell r="O6" t="str">
            <v>EH1-INT_D</v>
          </cell>
          <cell r="Q6" t="str">
            <v>EH1-INT_D</v>
          </cell>
        </row>
        <row r="7">
          <cell r="M7" t="str">
            <v>EH1-INT_D</v>
          </cell>
          <cell r="O7" t="str">
            <v>EH1-INT_D</v>
          </cell>
          <cell r="Q7" t="str">
            <v>EH1-INT_D</v>
          </cell>
        </row>
        <row r="8">
          <cell r="M8" t="str">
            <v>EH1-INT_D</v>
          </cell>
          <cell r="O8" t="str">
            <v>EH1-INT_D</v>
          </cell>
          <cell r="Q8" t="str">
            <v>EH1-INT_D</v>
          </cell>
        </row>
        <row r="9">
          <cell r="M9" t="str">
            <v>EH1-INT_D</v>
          </cell>
          <cell r="O9" t="str">
            <v>EH1-INT_D</v>
          </cell>
          <cell r="Q9" t="str">
            <v>EH1-INT_D</v>
          </cell>
        </row>
        <row r="10">
          <cell r="M10" t="str">
            <v>EH1-INT_D</v>
          </cell>
          <cell r="O10" t="str">
            <v>EH1-INT_D</v>
          </cell>
          <cell r="Q10" t="str">
            <v>EH1-INT_D</v>
          </cell>
        </row>
        <row r="11">
          <cell r="M11" t="str">
            <v>EH1-INT_D</v>
          </cell>
          <cell r="O11" t="str">
            <v>EH1-INT_D</v>
          </cell>
          <cell r="Q11" t="str">
            <v>EH1-INT_D</v>
          </cell>
        </row>
        <row r="12">
          <cell r="M12" t="str">
            <v>EH1-INT_D</v>
          </cell>
          <cell r="O12" t="str">
            <v>EH1-INT_D</v>
          </cell>
          <cell r="Q12" t="str">
            <v>EH1-INT_D</v>
          </cell>
        </row>
        <row r="13">
          <cell r="M13" t="str">
            <v>EH1-INT_D</v>
          </cell>
          <cell r="O13" t="str">
            <v>EH1-INT_D</v>
          </cell>
          <cell r="Q13" t="str">
            <v>EH1-INT_D</v>
          </cell>
        </row>
        <row r="14">
          <cell r="M14" t="str">
            <v>EH1-INT_D</v>
          </cell>
          <cell r="O14" t="str">
            <v>EH1-INT_D</v>
          </cell>
          <cell r="Q14" t="str">
            <v>EH1-INT_D</v>
          </cell>
        </row>
        <row r="15">
          <cell r="M15" t="str">
            <v>EH1-INT_D</v>
          </cell>
          <cell r="O15" t="str">
            <v>EH1-INT_D</v>
          </cell>
          <cell r="Q15" t="str">
            <v>EH1-INT_D</v>
          </cell>
        </row>
        <row r="16">
          <cell r="M16" t="str">
            <v>EH1-INT_D</v>
          </cell>
          <cell r="O16" t="str">
            <v>EH1-INT_D</v>
          </cell>
          <cell r="Q16" t="str">
            <v>EH1-INT_D</v>
          </cell>
        </row>
        <row r="17">
          <cell r="M17" t="str">
            <v>EH1-INT_D</v>
          </cell>
          <cell r="O17" t="str">
            <v>EH1-INT_D</v>
          </cell>
          <cell r="Q17" t="str">
            <v>EH1-INT_D</v>
          </cell>
        </row>
        <row r="18">
          <cell r="M18" t="str">
            <v>EH1-INT_D</v>
          </cell>
          <cell r="O18" t="str">
            <v>EH1-INT_D</v>
          </cell>
          <cell r="Q18" t="str">
            <v>EH1-INT_D</v>
          </cell>
        </row>
        <row r="19">
          <cell r="M19" t="str">
            <v>EH1-INT_D</v>
          </cell>
          <cell r="O19" t="str">
            <v>EH1-INT_D</v>
          </cell>
          <cell r="Q19" t="str">
            <v>EH1-INT_D</v>
          </cell>
        </row>
        <row r="20">
          <cell r="M20" t="str">
            <v>EH1-INT_D</v>
          </cell>
          <cell r="O20" t="str">
            <v>EH1-INT_D</v>
          </cell>
          <cell r="Q20" t="str">
            <v>EH1-INT_D</v>
          </cell>
        </row>
        <row r="21">
          <cell r="M21" t="str">
            <v>EH1-INT_D</v>
          </cell>
          <cell r="O21" t="str">
            <v>EH1-INT_D</v>
          </cell>
          <cell r="Q21" t="str">
            <v>EH1-INT_D</v>
          </cell>
        </row>
        <row r="22">
          <cell r="M22" t="str">
            <v>EH1-INT_D</v>
          </cell>
          <cell r="O22" t="str">
            <v>EH1-INT_D</v>
          </cell>
          <cell r="Q22" t="str">
            <v>EH1-INT_D</v>
          </cell>
        </row>
        <row r="23">
          <cell r="M23" t="str">
            <v>EH1-INT_D</v>
          </cell>
          <cell r="O23" t="str">
            <v>EH1-INT_D</v>
          </cell>
          <cell r="Q23" t="str">
            <v>EH1-INT_D</v>
          </cell>
        </row>
        <row r="24">
          <cell r="M24" t="str">
            <v>EH1-INT_D</v>
          </cell>
          <cell r="O24" t="str">
            <v>EH1-INT_D</v>
          </cell>
          <cell r="Q24" t="str">
            <v>EH1-INT_D</v>
          </cell>
        </row>
        <row r="25">
          <cell r="M25" t="str">
            <v>EH1-INT_D</v>
          </cell>
          <cell r="O25" t="str">
            <v>EH1-INT_D</v>
          </cell>
          <cell r="Q25" t="str">
            <v>EH1-INT_D</v>
          </cell>
        </row>
        <row r="26">
          <cell r="M26" t="str">
            <v>EH1-INT_D</v>
          </cell>
          <cell r="O26" t="str">
            <v>EH1-INT_D</v>
          </cell>
          <cell r="Q26" t="str">
            <v>EH1-INT_D</v>
          </cell>
        </row>
        <row r="27">
          <cell r="M27" t="str">
            <v>EH1-INT_D</v>
          </cell>
          <cell r="O27" t="str">
            <v>EH1-INT_D</v>
          </cell>
          <cell r="Q27" t="str">
            <v>EH1-INT_D</v>
          </cell>
        </row>
        <row r="28">
          <cell r="M28" t="str">
            <v>EH1-INT_D</v>
          </cell>
          <cell r="O28" t="str">
            <v>EH1-INT_D</v>
          </cell>
          <cell r="Q28" t="str">
            <v>EH1-INT_D</v>
          </cell>
        </row>
        <row r="29">
          <cell r="M29" t="str">
            <v>EH1-INT_D</v>
          </cell>
          <cell r="O29" t="str">
            <v>EH1-INT_D</v>
          </cell>
          <cell r="Q29" t="str">
            <v>EH1-INT_D</v>
          </cell>
        </row>
        <row r="30">
          <cell r="M30" t="str">
            <v>EH1-INT_D</v>
          </cell>
          <cell r="O30" t="str">
            <v>EH1-INT_D</v>
          </cell>
          <cell r="Q30" t="str">
            <v>EH1-INT_D</v>
          </cell>
        </row>
        <row r="31">
          <cell r="M31" t="str">
            <v>EH1-INT_D</v>
          </cell>
          <cell r="O31" t="str">
            <v>EH1-INT_D</v>
          </cell>
          <cell r="Q31" t="str">
            <v>EH1-INT_D</v>
          </cell>
        </row>
        <row r="32">
          <cell r="M32" t="str">
            <v>EH1-INT_D</v>
          </cell>
          <cell r="O32" t="str">
            <v>EH1-INT_D</v>
          </cell>
          <cell r="Q32" t="str">
            <v>EH1-INT_D</v>
          </cell>
        </row>
        <row r="33">
          <cell r="M33" t="str">
            <v>EH1-INT_D</v>
          </cell>
          <cell r="O33" t="str">
            <v>EH1-INT_D</v>
          </cell>
          <cell r="Q33" t="str">
            <v>EH1-INT_D</v>
          </cell>
        </row>
        <row r="34">
          <cell r="M34" t="str">
            <v>EH1-INT_D</v>
          </cell>
          <cell r="O34" t="str">
            <v>EH1-INT_D</v>
          </cell>
          <cell r="Q34" t="str">
            <v>EH1-INT_D</v>
          </cell>
        </row>
        <row r="35">
          <cell r="M35" t="str">
            <v>EH1-INT_D</v>
          </cell>
          <cell r="O35" t="str">
            <v>EH1-INT_D</v>
          </cell>
          <cell r="Q35" t="str">
            <v>EH1-INT_D</v>
          </cell>
        </row>
        <row r="36">
          <cell r="M36" t="str">
            <v>EH1-INT_D</v>
          </cell>
          <cell r="O36" t="str">
            <v>EH1-INT_D</v>
          </cell>
          <cell r="Q36" t="str">
            <v>EH1-INT_D</v>
          </cell>
        </row>
        <row r="37">
          <cell r="M37" t="str">
            <v>EH1-INT_D</v>
          </cell>
          <cell r="O37" t="str">
            <v>EH1-INT_D</v>
          </cell>
          <cell r="Q37" t="str">
            <v>EH1-INT_D</v>
          </cell>
        </row>
        <row r="38">
          <cell r="M38" t="str">
            <v>EH1-INT_D</v>
          </cell>
          <cell r="O38" t="str">
            <v>EH1-INT_D</v>
          </cell>
          <cell r="Q38" t="str">
            <v>EH1-INT_D</v>
          </cell>
        </row>
        <row r="39">
          <cell r="M39" t="str">
            <v>EH1-INT_D</v>
          </cell>
          <cell r="O39" t="str">
            <v>EH1-INT_D</v>
          </cell>
          <cell r="Q39" t="str">
            <v>EH1-INT_D</v>
          </cell>
        </row>
        <row r="40">
          <cell r="M40" t="str">
            <v>EH1-INT_D</v>
          </cell>
          <cell r="O40" t="str">
            <v>EH1-INT_D</v>
          </cell>
          <cell r="Q40" t="str">
            <v>EH1-INT_D</v>
          </cell>
        </row>
        <row r="41">
          <cell r="M41" t="str">
            <v>EH1-INT_D</v>
          </cell>
          <cell r="O41" t="str">
            <v>EH1-INT_D</v>
          </cell>
          <cell r="Q41" t="str">
            <v>EH1-INT_D</v>
          </cell>
        </row>
        <row r="42">
          <cell r="M42" t="str">
            <v>EH1-INT_D</v>
          </cell>
          <cell r="O42" t="str">
            <v>EH1-INT_D</v>
          </cell>
          <cell r="Q42" t="str">
            <v>EH1-INT_D</v>
          </cell>
        </row>
        <row r="43">
          <cell r="M43" t="str">
            <v>EH1-INT_D</v>
          </cell>
          <cell r="O43" t="str">
            <v>EH1-INT_D</v>
          </cell>
          <cell r="Q43" t="str">
            <v>EH1-INT_D</v>
          </cell>
        </row>
        <row r="44">
          <cell r="M44" t="str">
            <v>EH1-INT_D</v>
          </cell>
          <cell r="O44" t="str">
            <v>EH1-INT_D</v>
          </cell>
          <cell r="Q44" t="str">
            <v>EH1-INT_D</v>
          </cell>
        </row>
        <row r="45">
          <cell r="M45" t="str">
            <v>EH1-INT_D</v>
          </cell>
          <cell r="O45" t="str">
            <v>EH1-INT_D</v>
          </cell>
          <cell r="Q45" t="str">
            <v>EH1-INT_D</v>
          </cell>
        </row>
        <row r="46">
          <cell r="M46" t="str">
            <v>EH1-INT_D</v>
          </cell>
          <cell r="O46" t="str">
            <v>EH1-INT_D</v>
          </cell>
          <cell r="Q46" t="str">
            <v>EH1-INT_D</v>
          </cell>
        </row>
        <row r="47">
          <cell r="M47" t="str">
            <v>EH1-INT_D</v>
          </cell>
          <cell r="O47" t="str">
            <v>EH1-INT_D</v>
          </cell>
          <cell r="Q47" t="str">
            <v>EH1-INT_D</v>
          </cell>
        </row>
        <row r="48">
          <cell r="M48" t="str">
            <v>EH1-INT_D</v>
          </cell>
          <cell r="O48" t="str">
            <v>EH1-INT_D</v>
          </cell>
          <cell r="Q48" t="str">
            <v>EH1-INT_D</v>
          </cell>
        </row>
        <row r="49">
          <cell r="M49" t="str">
            <v>EH1-INT_D</v>
          </cell>
          <cell r="O49" t="str">
            <v>EH1-INT_D</v>
          </cell>
          <cell r="Q49" t="str">
            <v>EH1-INT_D</v>
          </cell>
        </row>
        <row r="50">
          <cell r="M50" t="str">
            <v>EH1-INT_D</v>
          </cell>
          <cell r="O50" t="str">
            <v>EH1-INT_D</v>
          </cell>
          <cell r="Q50" t="str">
            <v>EH1-INT_D</v>
          </cell>
        </row>
        <row r="51">
          <cell r="M51" t="str">
            <v>EH1-INT_D</v>
          </cell>
          <cell r="O51" t="str">
            <v>EH1-INT_D</v>
          </cell>
          <cell r="Q51" t="str">
            <v>EH1-INT_D</v>
          </cell>
        </row>
        <row r="52">
          <cell r="M52" t="str">
            <v>EH1-INT_D</v>
          </cell>
          <cell r="O52" t="str">
            <v>EH1-INT_D</v>
          </cell>
          <cell r="Q52" t="str">
            <v>EH1-INT_D</v>
          </cell>
        </row>
        <row r="53">
          <cell r="M53" t="str">
            <v>EH1-INT_D</v>
          </cell>
          <cell r="O53" t="str">
            <v>EH1-INT_D</v>
          </cell>
          <cell r="Q53" t="str">
            <v>EH1-INT_D</v>
          </cell>
        </row>
        <row r="54">
          <cell r="M54" t="str">
            <v>EH1-INT_D</v>
          </cell>
          <cell r="O54" t="str">
            <v>EH1-INT_D</v>
          </cell>
          <cell r="Q54" t="str">
            <v>EH1-INT_D</v>
          </cell>
        </row>
        <row r="55">
          <cell r="M55" t="str">
            <v>EH1-INT_D</v>
          </cell>
          <cell r="O55" t="str">
            <v>EH1-INT_D</v>
          </cell>
          <cell r="Q55" t="str">
            <v>EH1-INT_D</v>
          </cell>
        </row>
        <row r="56">
          <cell r="M56" t="str">
            <v>EH1-INT_D</v>
          </cell>
          <cell r="O56" t="str">
            <v>EH1-INT_D</v>
          </cell>
          <cell r="Q56" t="str">
            <v>EH1-INT_D</v>
          </cell>
        </row>
        <row r="57">
          <cell r="M57" t="str">
            <v>EH1-INT_D</v>
          </cell>
          <cell r="O57" t="str">
            <v>EH1-INT_D</v>
          </cell>
          <cell r="Q57" t="str">
            <v>EH1-INT_D</v>
          </cell>
        </row>
        <row r="58">
          <cell r="M58" t="str">
            <v>EH1-INT_D</v>
          </cell>
          <cell r="O58" t="str">
            <v>EH1-INT_D</v>
          </cell>
          <cell r="Q58" t="str">
            <v>EH1-INT_D</v>
          </cell>
        </row>
        <row r="59">
          <cell r="M59" t="str">
            <v>EH1-INT_D</v>
          </cell>
          <cell r="O59" t="str">
            <v>EH1-INT_D</v>
          </cell>
          <cell r="Q59" t="str">
            <v>EH1-INT_D</v>
          </cell>
        </row>
        <row r="60">
          <cell r="M60" t="str">
            <v>EH1-INT_D</v>
          </cell>
          <cell r="O60" t="str">
            <v>EH1-INT_D</v>
          </cell>
          <cell r="Q60" t="str">
            <v>EH1-INT_D</v>
          </cell>
        </row>
        <row r="61">
          <cell r="M61" t="str">
            <v>EH1-INT_D</v>
          </cell>
          <cell r="O61" t="str">
            <v>EH1-INT_D</v>
          </cell>
          <cell r="Q61" t="str">
            <v>EH1-INT_D</v>
          </cell>
        </row>
        <row r="62">
          <cell r="M62" t="str">
            <v>EH1-SS_B</v>
          </cell>
          <cell r="O62" t="str">
            <v>EH1-SS_B</v>
          </cell>
          <cell r="Q62" t="str">
            <v>EH1-SS_B</v>
          </cell>
        </row>
        <row r="63">
          <cell r="M63" t="str">
            <v>EH1-SS_B</v>
          </cell>
          <cell r="O63" t="str">
            <v>EH1-SS_B</v>
          </cell>
          <cell r="Q63" t="str">
            <v>EH1-SS_B</v>
          </cell>
        </row>
        <row r="64">
          <cell r="M64" t="str">
            <v>EH1-SS_B</v>
          </cell>
          <cell r="O64" t="str">
            <v>EH1-SS_B</v>
          </cell>
          <cell r="Q64" t="str">
            <v>EH1-SS_B</v>
          </cell>
        </row>
        <row r="65">
          <cell r="M65" t="str">
            <v>EH1-SS_B</v>
          </cell>
          <cell r="O65" t="str">
            <v>EH1-SS_B</v>
          </cell>
          <cell r="Q65" t="str">
            <v>EH1-SS_B</v>
          </cell>
        </row>
        <row r="66">
          <cell r="M66" t="str">
            <v>EH1-SS_B</v>
          </cell>
          <cell r="O66" t="str">
            <v>EH1-SS_B</v>
          </cell>
          <cell r="Q66" t="str">
            <v>EH1-SS_B</v>
          </cell>
        </row>
        <row r="67">
          <cell r="M67" t="str">
            <v>EH1-SS_B</v>
          </cell>
          <cell r="O67" t="str">
            <v>EH1-SS_B</v>
          </cell>
          <cell r="Q67" t="str">
            <v>EH1-SS_B</v>
          </cell>
        </row>
        <row r="68">
          <cell r="M68" t="str">
            <v>EH1-SCHEME</v>
          </cell>
          <cell r="O68" t="str">
            <v>EH1-SS_B</v>
          </cell>
          <cell r="Q68" t="str">
            <v>EH1-SS_B</v>
          </cell>
        </row>
        <row r="69">
          <cell r="M69" t="str">
            <v>EH1-SCHEME</v>
          </cell>
          <cell r="O69" t="str">
            <v>EH1-SS_B</v>
          </cell>
          <cell r="Q69" t="str">
            <v>EH1-SS_B</v>
          </cell>
        </row>
        <row r="70">
          <cell r="M70" t="str">
            <v>EH1-SCHEME</v>
          </cell>
          <cell r="O70" t="str">
            <v>EH1-SS_B</v>
          </cell>
          <cell r="Q70" t="str">
            <v>EH1-SS_B</v>
          </cell>
        </row>
        <row r="71">
          <cell r="M71" t="str">
            <v>EH1-SCHEME</v>
          </cell>
          <cell r="O71" t="str">
            <v>EH1-SS_B</v>
          </cell>
          <cell r="Q71" t="str">
            <v>EH1-SS_B</v>
          </cell>
        </row>
        <row r="72">
          <cell r="M72" t="str">
            <v>EH1-SCHEME</v>
          </cell>
          <cell r="O72" t="str">
            <v>EH1-SS_B</v>
          </cell>
          <cell r="Q72" t="str">
            <v>EH1-SS_B</v>
          </cell>
        </row>
        <row r="73">
          <cell r="M73" t="str">
            <v>EH1-SCHEME</v>
          </cell>
          <cell r="O73" t="str">
            <v>EH1-SS_B</v>
          </cell>
          <cell r="Q73" t="str">
            <v>EH1-SS_B</v>
          </cell>
        </row>
        <row r="74">
          <cell r="M74" t="str">
            <v>EH1-SS_B</v>
          </cell>
          <cell r="O74" t="str">
            <v>EH1-SS_B</v>
          </cell>
          <cell r="Q74" t="str">
            <v>EH1-SS_B</v>
          </cell>
        </row>
        <row r="75">
          <cell r="M75" t="str">
            <v>EH1-SS_B</v>
          </cell>
          <cell r="O75" t="str">
            <v>EH1-SS_B</v>
          </cell>
          <cell r="Q75" t="str">
            <v>EH1-SS_B</v>
          </cell>
        </row>
        <row r="76">
          <cell r="M76" t="str">
            <v>EH1-SS_B</v>
          </cell>
          <cell r="O76" t="str">
            <v>EH1-SS_B</v>
          </cell>
          <cell r="Q76" t="str">
            <v>EH1-SS_B</v>
          </cell>
        </row>
        <row r="77">
          <cell r="M77" t="str">
            <v>EH1-INT_D</v>
          </cell>
          <cell r="O77" t="str">
            <v>EH1-INT_D</v>
          </cell>
          <cell r="Q77" t="str">
            <v>EH1-INT_D</v>
          </cell>
        </row>
        <row r="78">
          <cell r="M78" t="str">
            <v>EH1-INT_D</v>
          </cell>
          <cell r="O78" t="str">
            <v>EH1-INT_D</v>
          </cell>
          <cell r="Q78" t="str">
            <v>EH1-INT_D</v>
          </cell>
        </row>
        <row r="79">
          <cell r="M79" t="str">
            <v>EH1-INT_D</v>
          </cell>
          <cell r="O79" t="str">
            <v>EH1-INT_D</v>
          </cell>
          <cell r="Q79" t="str">
            <v>EH1-INT_D</v>
          </cell>
        </row>
        <row r="80">
          <cell r="M80" t="str">
            <v>EH1-INT_D</v>
          </cell>
          <cell r="O80" t="str">
            <v>EH1-INT_D</v>
          </cell>
          <cell r="Q80" t="str">
            <v>EH1-INT_D</v>
          </cell>
        </row>
        <row r="81">
          <cell r="M81" t="str">
            <v>EH1-INT_D</v>
          </cell>
          <cell r="O81" t="str">
            <v>EH1-INT_D</v>
          </cell>
          <cell r="Q81" t="str">
            <v>EH1-INT_D</v>
          </cell>
        </row>
        <row r="82">
          <cell r="M82" t="str">
            <v>EH1-INT_D</v>
          </cell>
          <cell r="O82" t="str">
            <v>EH1-INT_D</v>
          </cell>
          <cell r="Q82" t="str">
            <v>EH1-INT_D</v>
          </cell>
        </row>
        <row r="83">
          <cell r="M83" t="str">
            <v>EH1-INT_D</v>
          </cell>
          <cell r="O83" t="str">
            <v>EH1-INT_D</v>
          </cell>
          <cell r="Q83" t="str">
            <v>EH1-INT_D</v>
          </cell>
        </row>
        <row r="84">
          <cell r="M84" t="str">
            <v>EH1-INT_D</v>
          </cell>
          <cell r="O84" t="str">
            <v>EH1-INT_D</v>
          </cell>
          <cell r="Q84" t="str">
            <v>EH1-INT_D</v>
          </cell>
        </row>
        <row r="85">
          <cell r="M85" t="str">
            <v>EH1-INT_D</v>
          </cell>
          <cell r="O85" t="str">
            <v>EH1-INT_D</v>
          </cell>
          <cell r="Q85" t="str">
            <v>EH1-INT_D</v>
          </cell>
        </row>
        <row r="86">
          <cell r="M86" t="str">
            <v>EH1-INT_D</v>
          </cell>
          <cell r="O86" t="str">
            <v>EH1-INT_D</v>
          </cell>
          <cell r="Q86" t="str">
            <v>EH1-INT_D</v>
          </cell>
        </row>
        <row r="87">
          <cell r="M87" t="str">
            <v>EH1-INT_D</v>
          </cell>
          <cell r="O87" t="str">
            <v>EH1-INT_D</v>
          </cell>
          <cell r="Q87" t="str">
            <v>EH1-INT_D</v>
          </cell>
        </row>
        <row r="88">
          <cell r="M88" t="str">
            <v>EH1-INT_D</v>
          </cell>
          <cell r="O88" t="str">
            <v>EH1-INT_D</v>
          </cell>
          <cell r="Q88" t="str">
            <v>EH1-INT_D</v>
          </cell>
        </row>
        <row r="89">
          <cell r="M89" t="str">
            <v>EH1-INT_D</v>
          </cell>
          <cell r="O89" t="str">
            <v>EH1-INT_D</v>
          </cell>
          <cell r="Q89" t="str">
            <v>EH1-INT_D</v>
          </cell>
        </row>
        <row r="90">
          <cell r="M90" t="str">
            <v>EH1-INT_D</v>
          </cell>
          <cell r="O90" t="str">
            <v>EH1-INT_D</v>
          </cell>
          <cell r="Q90" t="str">
            <v>EH1-INT_D</v>
          </cell>
        </row>
        <row r="91">
          <cell r="M91" t="str">
            <v>EH1-INT_D</v>
          </cell>
          <cell r="O91" t="str">
            <v>EH1-INT_D</v>
          </cell>
          <cell r="Q91" t="str">
            <v>EH1-INT_D</v>
          </cell>
        </row>
        <row r="92">
          <cell r="M92" t="str">
            <v>EH1-INT_D</v>
          </cell>
          <cell r="O92" t="str">
            <v>EH1-INT_D</v>
          </cell>
          <cell r="Q92" t="str">
            <v>EH1-INT_D</v>
          </cell>
        </row>
        <row r="93">
          <cell r="M93" t="str">
            <v>EH1-INT_D</v>
          </cell>
          <cell r="O93" t="str">
            <v>EH1-INT_D</v>
          </cell>
          <cell r="Q93" t="str">
            <v>EH1-INT_D</v>
          </cell>
        </row>
        <row r="94">
          <cell r="M94" t="str">
            <v>EH1-INT_D</v>
          </cell>
          <cell r="O94" t="str">
            <v>EH1-INT_D</v>
          </cell>
          <cell r="Q94" t="str">
            <v>EH1-INT_D</v>
          </cell>
        </row>
        <row r="95">
          <cell r="M95" t="str">
            <v>EH1-INT_D</v>
          </cell>
          <cell r="O95" t="str">
            <v>EH1-INT_D</v>
          </cell>
          <cell r="Q95" t="str">
            <v>EH1-INT_D</v>
          </cell>
        </row>
        <row r="96">
          <cell r="M96" t="str">
            <v>EH1-INT_D</v>
          </cell>
          <cell r="O96" t="str">
            <v>EH1-INT_D</v>
          </cell>
          <cell r="Q96" t="str">
            <v>EH1-INT_D</v>
          </cell>
        </row>
        <row r="97">
          <cell r="M97" t="str">
            <v>EH1-INT_D</v>
          </cell>
          <cell r="O97" t="str">
            <v>EH1-INT_D</v>
          </cell>
          <cell r="Q97" t="str">
            <v>EH1-INT_D</v>
          </cell>
        </row>
        <row r="98">
          <cell r="M98" t="str">
            <v>EH1-INT_D</v>
          </cell>
          <cell r="O98" t="str">
            <v>EH1-INT_D</v>
          </cell>
          <cell r="Q98" t="str">
            <v>EH1-INT_D</v>
          </cell>
        </row>
      </sheetData>
      <sheetData sheetId="4"/>
      <sheetData sheetId="5">
        <row r="1">
          <cell r="M1" t="str">
            <v>DD</v>
          </cell>
          <cell r="O1" t="str">
            <v>DTD</v>
          </cell>
          <cell r="Q1" t="str">
            <v>GFC</v>
          </cell>
        </row>
        <row r="2">
          <cell r="M2" t="str">
            <v>EH2-INT_D</v>
          </cell>
          <cell r="O2" t="str">
            <v>EH2-INT_D</v>
          </cell>
          <cell r="Q2" t="str">
            <v>EH2-INT_D</v>
          </cell>
        </row>
        <row r="3">
          <cell r="M3" t="str">
            <v>EH2-INT_D</v>
          </cell>
          <cell r="O3" t="str">
            <v>EH2-INT_D</v>
          </cell>
          <cell r="Q3" t="str">
            <v>EH2-INT_D</v>
          </cell>
        </row>
        <row r="4">
          <cell r="M4" t="str">
            <v>EH2-INT_D</v>
          </cell>
          <cell r="O4" t="str">
            <v>EH2-INT_D</v>
          </cell>
          <cell r="Q4" t="str">
            <v>EH2-INT_D</v>
          </cell>
        </row>
        <row r="5">
          <cell r="M5" t="str">
            <v>EH2-INT_D</v>
          </cell>
          <cell r="O5" t="str">
            <v>EH2-INT_D</v>
          </cell>
          <cell r="Q5" t="str">
            <v>EH2-INT_D</v>
          </cell>
        </row>
        <row r="6">
          <cell r="M6" t="str">
            <v>EH2-INT_D</v>
          </cell>
          <cell r="O6" t="str">
            <v>EH2-INT_D</v>
          </cell>
          <cell r="Q6" t="str">
            <v>EH2-INT_D</v>
          </cell>
        </row>
        <row r="7">
          <cell r="M7" t="str">
            <v>EH2-INT_D</v>
          </cell>
          <cell r="O7" t="str">
            <v>EH2-INT_D</v>
          </cell>
          <cell r="Q7" t="str">
            <v>EH2-INT_D</v>
          </cell>
        </row>
        <row r="8">
          <cell r="M8" t="str">
            <v>EH2-INT_D</v>
          </cell>
          <cell r="O8" t="str">
            <v>EH2-INT_D</v>
          </cell>
          <cell r="Q8" t="str">
            <v>EH2-INT_D</v>
          </cell>
        </row>
        <row r="9">
          <cell r="M9" t="str">
            <v>EH2-INT_D</v>
          </cell>
          <cell r="O9" t="str">
            <v>EH2-INT_D</v>
          </cell>
          <cell r="Q9" t="str">
            <v>EH2-INT_D</v>
          </cell>
        </row>
        <row r="10">
          <cell r="M10" t="str">
            <v>EH2-INT_D</v>
          </cell>
          <cell r="O10" t="str">
            <v>EH2-INT_D</v>
          </cell>
          <cell r="Q10" t="str">
            <v>EH2-INT_D</v>
          </cell>
        </row>
        <row r="11">
          <cell r="M11" t="str">
            <v>EH2-INT_D</v>
          </cell>
          <cell r="O11" t="str">
            <v>EH2-INT_D</v>
          </cell>
          <cell r="Q11" t="str">
            <v>EH2-INT_D</v>
          </cell>
        </row>
        <row r="12">
          <cell r="M12" t="str">
            <v>EH2-INT_D</v>
          </cell>
          <cell r="O12" t="str">
            <v>EH2-INT_D</v>
          </cell>
          <cell r="Q12" t="str">
            <v>EH2-INT_D</v>
          </cell>
        </row>
        <row r="13">
          <cell r="M13" t="str">
            <v>EH2-INT_D</v>
          </cell>
          <cell r="O13" t="str">
            <v>EH2-INT_D</v>
          </cell>
          <cell r="Q13" t="str">
            <v>EH2-INT_D</v>
          </cell>
        </row>
        <row r="14">
          <cell r="M14" t="str">
            <v>EH2-INT_D</v>
          </cell>
          <cell r="O14" t="str">
            <v>EH2-INT_D</v>
          </cell>
          <cell r="Q14" t="str">
            <v>EH2-INT_D</v>
          </cell>
        </row>
        <row r="15">
          <cell r="M15" t="str">
            <v>EH2-INT_D</v>
          </cell>
          <cell r="O15" t="str">
            <v>EH2-INT_D</v>
          </cell>
          <cell r="Q15" t="str">
            <v>EH2-INT_D</v>
          </cell>
        </row>
        <row r="16">
          <cell r="M16" t="str">
            <v>EH2-INT_D</v>
          </cell>
          <cell r="O16" t="str">
            <v>EH2-INT_D</v>
          </cell>
          <cell r="Q16" t="str">
            <v>EH2-INT_D</v>
          </cell>
        </row>
        <row r="17">
          <cell r="M17" t="str">
            <v>EH2-INT_D</v>
          </cell>
          <cell r="O17" t="str">
            <v>EH2-INT_D</v>
          </cell>
          <cell r="Q17" t="str">
            <v>EH2-INT_D</v>
          </cell>
        </row>
        <row r="18">
          <cell r="M18" t="str">
            <v>EH2-INT_D</v>
          </cell>
          <cell r="O18" t="str">
            <v>EH2-INT_D</v>
          </cell>
          <cell r="Q18" t="str">
            <v>EH2-INT_D</v>
          </cell>
        </row>
        <row r="19">
          <cell r="M19" t="str">
            <v>EH2-INT_D</v>
          </cell>
          <cell r="O19" t="str">
            <v>EH2-INT_D</v>
          </cell>
          <cell r="Q19" t="str">
            <v>EH2-INT_D</v>
          </cell>
        </row>
        <row r="20">
          <cell r="M20" t="str">
            <v>EH2-INT_D</v>
          </cell>
          <cell r="O20" t="str">
            <v>EH2-INT_D</v>
          </cell>
          <cell r="Q20" t="str">
            <v>EH2-INT_D</v>
          </cell>
        </row>
        <row r="21">
          <cell r="M21" t="str">
            <v>EH2-INT_D</v>
          </cell>
          <cell r="O21" t="str">
            <v>EH2-INT_D</v>
          </cell>
          <cell r="Q21" t="str">
            <v>EH2-INT_D</v>
          </cell>
        </row>
        <row r="22">
          <cell r="M22" t="str">
            <v>EH2-INT_D</v>
          </cell>
          <cell r="O22" t="str">
            <v>EH2-INT_D</v>
          </cell>
          <cell r="Q22" t="str">
            <v>EH2-INT_D</v>
          </cell>
        </row>
        <row r="23">
          <cell r="M23" t="str">
            <v>EH2-INT_D</v>
          </cell>
          <cell r="O23" t="str">
            <v>EH2-INT_D</v>
          </cell>
          <cell r="Q23" t="str">
            <v>EH2-INT_D</v>
          </cell>
        </row>
        <row r="24">
          <cell r="M24" t="str">
            <v>EH2-INT_D</v>
          </cell>
          <cell r="O24" t="str">
            <v>EH2-INT_D</v>
          </cell>
          <cell r="Q24" t="str">
            <v>EH2-INT_D</v>
          </cell>
        </row>
        <row r="25">
          <cell r="M25" t="str">
            <v>EH2-INT_D</v>
          </cell>
          <cell r="O25" t="str">
            <v>EH2-INT_D</v>
          </cell>
          <cell r="Q25" t="str">
            <v>EH2-INT_D</v>
          </cell>
        </row>
        <row r="26">
          <cell r="M26" t="str">
            <v>EH2-INT_D</v>
          </cell>
          <cell r="O26" t="str">
            <v>EH2-INT_D</v>
          </cell>
          <cell r="Q26" t="str">
            <v>EH2-INT_D</v>
          </cell>
        </row>
        <row r="27">
          <cell r="M27" t="str">
            <v>EH2-INT_D</v>
          </cell>
          <cell r="O27" t="str">
            <v>EH2-INT_D</v>
          </cell>
          <cell r="Q27" t="str">
            <v>EH2-INT_D</v>
          </cell>
        </row>
        <row r="28">
          <cell r="M28" t="str">
            <v>EH2-INT_D</v>
          </cell>
          <cell r="O28" t="str">
            <v>EH2-INT_D</v>
          </cell>
          <cell r="Q28" t="str">
            <v>EH2-INT_D</v>
          </cell>
        </row>
        <row r="29">
          <cell r="M29" t="str">
            <v>EH2-INT_D</v>
          </cell>
          <cell r="O29" t="str">
            <v>EH2-INT_D</v>
          </cell>
          <cell r="Q29" t="str">
            <v>EH2-INT_D</v>
          </cell>
        </row>
        <row r="30">
          <cell r="M30" t="str">
            <v>EH2-INT_D</v>
          </cell>
          <cell r="O30" t="str">
            <v>EH2-INT_D</v>
          </cell>
          <cell r="Q30" t="str">
            <v>EH2-INT_D</v>
          </cell>
        </row>
        <row r="31">
          <cell r="M31" t="str">
            <v>EH2-INT_D</v>
          </cell>
          <cell r="O31" t="str">
            <v>EH2-INT_D</v>
          </cell>
          <cell r="Q31" t="str">
            <v>EH2-INT_D</v>
          </cell>
        </row>
        <row r="32">
          <cell r="M32" t="str">
            <v>EH2-INT_D</v>
          </cell>
          <cell r="O32" t="str">
            <v>EH2-INT_D</v>
          </cell>
          <cell r="Q32" t="str">
            <v>EH2-INT_D</v>
          </cell>
        </row>
        <row r="33">
          <cell r="M33" t="str">
            <v>EH2-INT_D</v>
          </cell>
          <cell r="O33" t="str">
            <v>EH2-INT_D</v>
          </cell>
          <cell r="Q33" t="str">
            <v>EH2-INT_D</v>
          </cell>
        </row>
        <row r="34">
          <cell r="M34" t="str">
            <v>EH2-INT_D</v>
          </cell>
          <cell r="O34" t="str">
            <v>EH2-INT_D</v>
          </cell>
          <cell r="Q34" t="str">
            <v>EH2-INT_D</v>
          </cell>
        </row>
        <row r="35">
          <cell r="M35" t="str">
            <v>EH2-INT_D</v>
          </cell>
          <cell r="O35" t="str">
            <v>EH2-INT_D</v>
          </cell>
          <cell r="Q35" t="str">
            <v>EH2-INT_D</v>
          </cell>
        </row>
        <row r="36">
          <cell r="M36" t="str">
            <v>EH2-INT_D</v>
          </cell>
          <cell r="O36" t="str">
            <v>EH2-INT_D</v>
          </cell>
          <cell r="Q36" t="str">
            <v>EH2-INT_D</v>
          </cell>
        </row>
        <row r="37">
          <cell r="M37" t="str">
            <v>EH2-INT_D</v>
          </cell>
          <cell r="O37" t="str">
            <v>EH2-INT_D</v>
          </cell>
          <cell r="Q37" t="str">
            <v>EH2-INT_D</v>
          </cell>
        </row>
        <row r="38">
          <cell r="M38" t="str">
            <v>EH2-INT_D</v>
          </cell>
          <cell r="O38" t="str">
            <v>EH2-INT_D</v>
          </cell>
          <cell r="Q38" t="str">
            <v>EH2-INT_D</v>
          </cell>
        </row>
        <row r="39">
          <cell r="M39" t="str">
            <v>EH2-INT_D</v>
          </cell>
          <cell r="O39" t="str">
            <v>EH2-INT_D</v>
          </cell>
          <cell r="Q39" t="str">
            <v>EH2-INT_D</v>
          </cell>
        </row>
        <row r="40">
          <cell r="M40" t="str">
            <v>EH2-INT_D</v>
          </cell>
          <cell r="O40" t="str">
            <v>EH2-INT_D</v>
          </cell>
          <cell r="Q40" t="str">
            <v>EH2-INT_D</v>
          </cell>
        </row>
        <row r="41">
          <cell r="M41" t="str">
            <v>EH2-INT_D</v>
          </cell>
          <cell r="O41" t="str">
            <v>EH2-INT_D</v>
          </cell>
          <cell r="Q41" t="str">
            <v>EH2-INT_D</v>
          </cell>
        </row>
        <row r="42">
          <cell r="M42" t="str">
            <v>EH2-INT_D</v>
          </cell>
          <cell r="O42" t="str">
            <v>EH2-INT_D</v>
          </cell>
          <cell r="Q42" t="str">
            <v>EH2-INT_D</v>
          </cell>
        </row>
        <row r="43">
          <cell r="M43" t="str">
            <v>EH2-INT_D</v>
          </cell>
          <cell r="O43" t="str">
            <v>EH2-INT_D</v>
          </cell>
          <cell r="Q43" t="str">
            <v>EH2-INT_D</v>
          </cell>
        </row>
        <row r="44">
          <cell r="M44" t="str">
            <v>EH2-INT_D</v>
          </cell>
          <cell r="O44" t="str">
            <v>EH2-INT_D</v>
          </cell>
          <cell r="Q44" t="str">
            <v>EH2-INT_D</v>
          </cell>
        </row>
        <row r="45">
          <cell r="M45" t="str">
            <v>EH2-INT_D</v>
          </cell>
          <cell r="O45" t="str">
            <v>EH2-INT_D</v>
          </cell>
          <cell r="Q45" t="str">
            <v>EH2-INT_D</v>
          </cell>
        </row>
        <row r="46">
          <cell r="M46" t="str">
            <v>EH2-INT_D</v>
          </cell>
          <cell r="O46" t="str">
            <v>EH2-INT_D</v>
          </cell>
          <cell r="Q46" t="str">
            <v>EH2-INT_D</v>
          </cell>
        </row>
        <row r="47">
          <cell r="M47" t="str">
            <v>EH2-INT_D</v>
          </cell>
          <cell r="O47" t="str">
            <v>EH2-INT_D</v>
          </cell>
          <cell r="Q47" t="str">
            <v>EH2-INT_D</v>
          </cell>
        </row>
        <row r="48">
          <cell r="M48" t="str">
            <v>EH2-INT_D</v>
          </cell>
          <cell r="O48" t="str">
            <v>EH2-INT_D</v>
          </cell>
          <cell r="Q48" t="str">
            <v>EH2-INT_D</v>
          </cell>
        </row>
        <row r="49">
          <cell r="M49" t="str">
            <v>EH2-INT_D</v>
          </cell>
          <cell r="O49" t="str">
            <v>EH2-INT_D</v>
          </cell>
          <cell r="Q49" t="str">
            <v>EH2-INT_D</v>
          </cell>
        </row>
        <row r="50">
          <cell r="M50" t="str">
            <v>EH2-INT_D</v>
          </cell>
          <cell r="O50" t="str">
            <v>EH2-INT_D</v>
          </cell>
          <cell r="Q50" t="str">
            <v>EH2-INT_D</v>
          </cell>
        </row>
        <row r="51">
          <cell r="M51" t="str">
            <v>EH2-INT_D</v>
          </cell>
          <cell r="O51" t="str">
            <v>EH2-INT_D</v>
          </cell>
          <cell r="Q51" t="str">
            <v>EH2-INT_D</v>
          </cell>
        </row>
        <row r="52">
          <cell r="M52" t="str">
            <v>EH2-INT_D</v>
          </cell>
          <cell r="O52" t="str">
            <v>EH2-INT_D</v>
          </cell>
          <cell r="Q52" t="str">
            <v>EH2-INT_D</v>
          </cell>
        </row>
        <row r="53">
          <cell r="M53" t="str">
            <v>EH2-INT_D</v>
          </cell>
          <cell r="O53" t="str">
            <v>EH2-INT_D</v>
          </cell>
          <cell r="Q53" t="str">
            <v>EH2-INT_D</v>
          </cell>
        </row>
        <row r="54">
          <cell r="M54" t="str">
            <v>EH2-INT_D</v>
          </cell>
          <cell r="O54" t="str">
            <v>EH2-INT_D</v>
          </cell>
          <cell r="Q54" t="str">
            <v>EH2-INT_D</v>
          </cell>
        </row>
        <row r="55">
          <cell r="M55" t="str">
            <v>EH2-INT_D</v>
          </cell>
          <cell r="O55" t="str">
            <v>EH2-INT_D</v>
          </cell>
          <cell r="Q55" t="str">
            <v>EH2-INT_D</v>
          </cell>
        </row>
        <row r="56">
          <cell r="M56" t="str">
            <v>EH2-INT_D</v>
          </cell>
          <cell r="O56" t="str">
            <v>EH2-INT_D</v>
          </cell>
          <cell r="Q56" t="str">
            <v>EH2-INT_D</v>
          </cell>
        </row>
        <row r="57">
          <cell r="M57" t="str">
            <v>EH2-SS_B</v>
          </cell>
          <cell r="O57" t="str">
            <v>EH2-SS_B</v>
          </cell>
          <cell r="Q57" t="str">
            <v>EH2-SS_B</v>
          </cell>
        </row>
        <row r="58">
          <cell r="M58" t="str">
            <v>EH2-SS_B</v>
          </cell>
          <cell r="O58" t="str">
            <v>EH2-SS_B</v>
          </cell>
          <cell r="Q58" t="str">
            <v>EH2-SS_B</v>
          </cell>
        </row>
        <row r="59">
          <cell r="M59" t="str">
            <v>EH2-SS_B</v>
          </cell>
          <cell r="O59" t="str">
            <v>EH2-SS_B</v>
          </cell>
          <cell r="Q59" t="str">
            <v>EH2-SS_B</v>
          </cell>
        </row>
        <row r="60">
          <cell r="M60" t="str">
            <v>EH2-SS_B</v>
          </cell>
          <cell r="O60" t="str">
            <v>EH2-SS_B</v>
          </cell>
          <cell r="Q60" t="str">
            <v>EH2-SS_B</v>
          </cell>
        </row>
        <row r="61">
          <cell r="M61" t="str">
            <v>EH2-SS_B</v>
          </cell>
          <cell r="O61" t="str">
            <v>EH2-SS_B</v>
          </cell>
          <cell r="Q61" t="str">
            <v>EH2-SS_B</v>
          </cell>
        </row>
        <row r="62">
          <cell r="M62" t="str">
            <v>EH2-SS_B</v>
          </cell>
          <cell r="O62" t="str">
            <v>EH2-SS_B</v>
          </cell>
          <cell r="Q62" t="str">
            <v>EH2-SS_B</v>
          </cell>
        </row>
        <row r="63">
          <cell r="M63" t="str">
            <v>EH2-SS_B</v>
          </cell>
          <cell r="O63" t="str">
            <v>EH2-SS_B</v>
          </cell>
          <cell r="Q63" t="str">
            <v>EH2-SS_B</v>
          </cell>
        </row>
        <row r="64">
          <cell r="M64" t="str">
            <v>EH2-SS_B</v>
          </cell>
          <cell r="O64" t="str">
            <v>EH2-SS_B</v>
          </cell>
          <cell r="Q64" t="str">
            <v>EH2-SS_B</v>
          </cell>
        </row>
        <row r="65">
          <cell r="M65" t="str">
            <v>EH2-SS_B</v>
          </cell>
          <cell r="O65" t="str">
            <v>EH2-SS_B</v>
          </cell>
          <cell r="Q65" t="str">
            <v>EH2-SS_B</v>
          </cell>
        </row>
        <row r="66">
          <cell r="M66" t="str">
            <v>EH2-SS_B</v>
          </cell>
          <cell r="O66" t="str">
            <v>EH2-SS_B</v>
          </cell>
          <cell r="Q66" t="str">
            <v>EH2-SS_B</v>
          </cell>
        </row>
        <row r="67">
          <cell r="M67" t="str">
            <v>EH2-SCHEME</v>
          </cell>
          <cell r="O67" t="str">
            <v>EH2-SS_B</v>
          </cell>
          <cell r="Q67" t="str">
            <v>EH2-SS_B</v>
          </cell>
        </row>
        <row r="68">
          <cell r="M68" t="str">
            <v>EH2-SS_B</v>
          </cell>
          <cell r="O68" t="str">
            <v>EH2-SS_B</v>
          </cell>
          <cell r="Q68" t="str">
            <v>EH2-SS_B</v>
          </cell>
        </row>
        <row r="69">
          <cell r="M69" t="str">
            <v>EH2-SS_B</v>
          </cell>
          <cell r="O69" t="str">
            <v>EH2-SS_B</v>
          </cell>
          <cell r="Q69" t="str">
            <v>EH2-SS_B</v>
          </cell>
        </row>
        <row r="70">
          <cell r="M70" t="str">
            <v>EH2-SCHEME</v>
          </cell>
          <cell r="O70" t="str">
            <v>EH2-SS_B</v>
          </cell>
          <cell r="Q70" t="str">
            <v>EH2-SS_B</v>
          </cell>
        </row>
        <row r="71">
          <cell r="M71" t="str">
            <v>EH2-SCHEME</v>
          </cell>
          <cell r="O71" t="str">
            <v>EH2-SS_B</v>
          </cell>
          <cell r="Q71" t="str">
            <v>EH2-SS_B</v>
          </cell>
        </row>
        <row r="72">
          <cell r="M72" t="str">
            <v>EH2-SS_B</v>
          </cell>
          <cell r="O72" t="str">
            <v>EH2-SS_B</v>
          </cell>
          <cell r="Q72" t="str">
            <v>EH2-SS_B</v>
          </cell>
        </row>
        <row r="73">
          <cell r="M73" t="str">
            <v>EH2-SS_B</v>
          </cell>
          <cell r="O73" t="str">
            <v>EH2-SS_B</v>
          </cell>
          <cell r="Q73" t="str">
            <v>EH2-SS_B</v>
          </cell>
        </row>
        <row r="74">
          <cell r="M74" t="str">
            <v>EH2-INT_D</v>
          </cell>
          <cell r="O74" t="str">
            <v>EH2-INT_D</v>
          </cell>
          <cell r="Q74" t="str">
            <v>EH2-INT_D</v>
          </cell>
        </row>
        <row r="75">
          <cell r="M75" t="str">
            <v>EH2-INT_D</v>
          </cell>
          <cell r="O75" t="str">
            <v>EH2-INT_D</v>
          </cell>
          <cell r="Q75" t="str">
            <v>EH2-INT_D</v>
          </cell>
        </row>
        <row r="76">
          <cell r="M76" t="str">
            <v>EH2-INT_D</v>
          </cell>
          <cell r="O76" t="str">
            <v>EH2-INT_D</v>
          </cell>
          <cell r="Q76" t="str">
            <v>EH2-INT_D</v>
          </cell>
        </row>
        <row r="77">
          <cell r="M77" t="str">
            <v>EH2-INT_D</v>
          </cell>
          <cell r="O77" t="str">
            <v>EH2-INT_D</v>
          </cell>
          <cell r="Q77" t="str">
            <v>EH2-INT_D</v>
          </cell>
        </row>
        <row r="78">
          <cell r="M78" t="str">
            <v>EH2-INT_D</v>
          </cell>
          <cell r="O78" t="str">
            <v>EH2-INT_D</v>
          </cell>
          <cell r="Q78" t="str">
            <v>EH2-INT_D</v>
          </cell>
        </row>
        <row r="79">
          <cell r="M79" t="str">
            <v>EH2-INT_D</v>
          </cell>
          <cell r="O79" t="str">
            <v>EH2-INT_D</v>
          </cell>
          <cell r="Q79" t="str">
            <v>EH2-INT_D</v>
          </cell>
        </row>
        <row r="80">
          <cell r="M80" t="str">
            <v>EH2-INT_D</v>
          </cell>
          <cell r="O80" t="str">
            <v>EH2-INT_D</v>
          </cell>
          <cell r="Q80" t="str">
            <v>EH2-INT_D</v>
          </cell>
        </row>
        <row r="81">
          <cell r="M81" t="str">
            <v>EH2-INT_D</v>
          </cell>
          <cell r="O81" t="str">
            <v>EH2-INT_D</v>
          </cell>
          <cell r="Q81" t="str">
            <v>EH2-INT_D</v>
          </cell>
        </row>
        <row r="82">
          <cell r="M82" t="str">
            <v>EH2-INT_D</v>
          </cell>
          <cell r="O82" t="str">
            <v>EH2-INT_D</v>
          </cell>
          <cell r="Q82" t="str">
            <v>EH2-INT_D</v>
          </cell>
        </row>
        <row r="83">
          <cell r="M83" t="str">
            <v>EH2-INT_D</v>
          </cell>
          <cell r="O83" t="str">
            <v>EH2-INT_D</v>
          </cell>
          <cell r="Q83" t="str">
            <v>EH2-INT_D</v>
          </cell>
        </row>
        <row r="84">
          <cell r="M84" t="str">
            <v>EH2-INT_D</v>
          </cell>
          <cell r="O84" t="str">
            <v>EH2-INT_D</v>
          </cell>
          <cell r="Q84" t="str">
            <v>EH2-INT_D</v>
          </cell>
        </row>
        <row r="85">
          <cell r="M85" t="str">
            <v>EH2-INT_D</v>
          </cell>
          <cell r="O85" t="str">
            <v>EH2-INT_D</v>
          </cell>
          <cell r="Q85" t="str">
            <v>EH2-INT_D</v>
          </cell>
        </row>
        <row r="86">
          <cell r="M86" t="str">
            <v>EH2-INT_D</v>
          </cell>
          <cell r="O86" t="str">
            <v>EH2-INT_D</v>
          </cell>
          <cell r="Q86" t="str">
            <v>EH2-INT_D</v>
          </cell>
        </row>
        <row r="87">
          <cell r="M87" t="str">
            <v>EH2-INT_D</v>
          </cell>
          <cell r="O87" t="str">
            <v>EH2-INT_D</v>
          </cell>
          <cell r="Q87" t="str">
            <v>EH2-INT_D</v>
          </cell>
        </row>
        <row r="88">
          <cell r="M88" t="str">
            <v>EH2-INT_D</v>
          </cell>
          <cell r="O88" t="str">
            <v>EH2-INT_D</v>
          </cell>
          <cell r="Q88" t="str">
            <v>EH2-INT_D</v>
          </cell>
        </row>
        <row r="89">
          <cell r="M89" t="str">
            <v>EH2-INT_D</v>
          </cell>
          <cell r="O89" t="str">
            <v>EH2-INT_D</v>
          </cell>
          <cell r="Q89" t="str">
            <v>EH2-INT_D</v>
          </cell>
        </row>
        <row r="90">
          <cell r="M90" t="str">
            <v>EH2-INT_D</v>
          </cell>
          <cell r="O90" t="str">
            <v>EH2-INT_D</v>
          </cell>
          <cell r="Q90" t="str">
            <v>EH2-INT_D</v>
          </cell>
        </row>
        <row r="91">
          <cell r="M91" t="str">
            <v>EH2-INT_D</v>
          </cell>
          <cell r="O91" t="str">
            <v>EH2-INT_D</v>
          </cell>
          <cell r="Q91" t="str">
            <v>EH2-INT_D</v>
          </cell>
        </row>
        <row r="92">
          <cell r="M92" t="str">
            <v>EH2-INT_D</v>
          </cell>
          <cell r="O92" t="str">
            <v>EH2-INT_D</v>
          </cell>
          <cell r="Q92" t="str">
            <v>EH2-INT_D</v>
          </cell>
        </row>
        <row r="93">
          <cell r="M93" t="str">
            <v>EH2-INT_D</v>
          </cell>
          <cell r="O93" t="str">
            <v>EH2-INT_D</v>
          </cell>
          <cell r="Q93" t="str">
            <v>EH2-INT_D</v>
          </cell>
        </row>
        <row r="94">
          <cell r="M94" t="str">
            <v>EH2-INT_D</v>
          </cell>
          <cell r="O94" t="str">
            <v>EH2-INT_D</v>
          </cell>
          <cell r="Q94" t="str">
            <v>EH2-INT_D</v>
          </cell>
        </row>
        <row r="95">
          <cell r="M95" t="str">
            <v>EH2-INT_D</v>
          </cell>
          <cell r="O95" t="str">
            <v>EH2-INT_D</v>
          </cell>
          <cell r="Q95" t="str">
            <v>EH2-INT_D</v>
          </cell>
        </row>
      </sheetData>
      <sheetData sheetId="6"/>
      <sheetData sheetId="7">
        <row r="1">
          <cell r="M1" t="str">
            <v>DD</v>
          </cell>
          <cell r="O1" t="str">
            <v>DTD</v>
          </cell>
          <cell r="Q1" t="str">
            <v>GFC</v>
          </cell>
        </row>
        <row r="2">
          <cell r="M2" t="str">
            <v>EH3-SS_B</v>
          </cell>
          <cell r="O2" t="str">
            <v>EH3-SS_B</v>
          </cell>
          <cell r="Q2" t="str">
            <v>EH3-SS_B</v>
          </cell>
        </row>
        <row r="3">
          <cell r="M3" t="str">
            <v>EH3-SS_B</v>
          </cell>
          <cell r="O3" t="str">
            <v>EH3-SS_B</v>
          </cell>
          <cell r="Q3" t="str">
            <v>EH3-SS_B</v>
          </cell>
        </row>
        <row r="4">
          <cell r="M4" t="str">
            <v>EH3-SS_B</v>
          </cell>
          <cell r="O4" t="str">
            <v>EH3-SS_B</v>
          </cell>
          <cell r="Q4" t="str">
            <v>EH3-SS_B</v>
          </cell>
        </row>
        <row r="5">
          <cell r="M5" t="str">
            <v>EH3-SS_B</v>
          </cell>
          <cell r="O5" t="str">
            <v>EH3-SS_B</v>
          </cell>
          <cell r="Q5" t="str">
            <v>EH3-SS_B</v>
          </cell>
        </row>
        <row r="6">
          <cell r="M6" t="str">
            <v>EH3-SS_B</v>
          </cell>
          <cell r="O6" t="str">
            <v>EH3-SS_B</v>
          </cell>
          <cell r="Q6" t="str">
            <v>EH3-SS_B</v>
          </cell>
        </row>
        <row r="7">
          <cell r="M7" t="str">
            <v>EH3-SS_B</v>
          </cell>
          <cell r="O7" t="str">
            <v>EH3-SS_B</v>
          </cell>
          <cell r="Q7" t="str">
            <v>EH3-SS_B</v>
          </cell>
        </row>
        <row r="8">
          <cell r="M8" t="str">
            <v>EH3-SS_B</v>
          </cell>
          <cell r="O8" t="str">
            <v>EH3-SS_B</v>
          </cell>
          <cell r="Q8" t="str">
            <v>EH3-SS_B</v>
          </cell>
        </row>
        <row r="9">
          <cell r="M9" t="str">
            <v>EH3-SS_B</v>
          </cell>
          <cell r="O9" t="str">
            <v>EH3-SS_B</v>
          </cell>
          <cell r="Q9" t="str">
            <v>EH3-SS_B</v>
          </cell>
        </row>
        <row r="10">
          <cell r="M10" t="str">
            <v>EH3-SS_B</v>
          </cell>
          <cell r="O10" t="str">
            <v>EH3-SS_B</v>
          </cell>
          <cell r="Q10" t="str">
            <v>EH3-SS_B</v>
          </cell>
        </row>
        <row r="11">
          <cell r="M11" t="str">
            <v>EH3-SS_B</v>
          </cell>
          <cell r="O11" t="str">
            <v>EH3-SS_B</v>
          </cell>
          <cell r="Q11" t="str">
            <v>EH3-SS_B</v>
          </cell>
        </row>
        <row r="12">
          <cell r="M12" t="str">
            <v>EH3-SS_B</v>
          </cell>
          <cell r="O12" t="str">
            <v>EH3-SS_B</v>
          </cell>
          <cell r="Q12" t="str">
            <v>EH3-SS_B</v>
          </cell>
        </row>
        <row r="13">
          <cell r="M13" t="str">
            <v>EH3-SS_B</v>
          </cell>
          <cell r="O13" t="str">
            <v>EH3-SS_B</v>
          </cell>
          <cell r="Q13" t="str">
            <v>EH3-SS_B</v>
          </cell>
        </row>
        <row r="14">
          <cell r="M14" t="str">
            <v>EH3-SS_B</v>
          </cell>
          <cell r="O14" t="str">
            <v>EH3-SS_B</v>
          </cell>
          <cell r="Q14" t="str">
            <v>EH3-SS_B</v>
          </cell>
        </row>
        <row r="15">
          <cell r="M15" t="str">
            <v>EH3-SS_B</v>
          </cell>
          <cell r="O15" t="str">
            <v>EH3-SS_B</v>
          </cell>
          <cell r="Q15" t="str">
            <v>EH3-SS_B</v>
          </cell>
        </row>
        <row r="16">
          <cell r="M16" t="str">
            <v>EH3-SS_B</v>
          </cell>
          <cell r="O16" t="str">
            <v>EH3-SS_B</v>
          </cell>
          <cell r="Q16" t="str">
            <v>EH3-SS_B</v>
          </cell>
        </row>
        <row r="17">
          <cell r="M17" t="str">
            <v>EH3-SS_B</v>
          </cell>
          <cell r="O17" t="str">
            <v>EH3-SS_B</v>
          </cell>
          <cell r="Q17" t="str">
            <v>EH3-SS_B</v>
          </cell>
        </row>
        <row r="18">
          <cell r="M18" t="str">
            <v>EH3-SS_B</v>
          </cell>
          <cell r="O18" t="str">
            <v>EH3-SS_B</v>
          </cell>
          <cell r="Q18" t="str">
            <v>EH3-SS_B</v>
          </cell>
        </row>
        <row r="19">
          <cell r="M19" t="str">
            <v>EH3-SS_B</v>
          </cell>
          <cell r="O19" t="str">
            <v>EH3-SS_B</v>
          </cell>
          <cell r="Q19" t="str">
            <v>EH3-SS_B</v>
          </cell>
        </row>
      </sheetData>
      <sheetData sheetId="8"/>
      <sheetData sheetId="9">
        <row r="1">
          <cell r="M1" t="str">
            <v>DD</v>
          </cell>
          <cell r="O1" t="str">
            <v>DTD</v>
          </cell>
          <cell r="Q1" t="str">
            <v>GFC</v>
          </cell>
        </row>
        <row r="2">
          <cell r="M2" t="str">
            <v>CCP-SS_B</v>
          </cell>
          <cell r="O2" t="str">
            <v>CCP-SS_B</v>
          </cell>
          <cell r="Q2" t="str">
            <v>CCP-SS_B</v>
          </cell>
        </row>
        <row r="3">
          <cell r="M3" t="str">
            <v>CCP-SS_B</v>
          </cell>
          <cell r="O3" t="str">
            <v>CCP-SS_B</v>
          </cell>
          <cell r="Q3" t="str">
            <v>CCP-SS_B</v>
          </cell>
        </row>
        <row r="4">
          <cell r="M4" t="str">
            <v>CCP-SS_B</v>
          </cell>
          <cell r="O4" t="str">
            <v>CCP-SS_B</v>
          </cell>
          <cell r="Q4" t="str">
            <v>CCP-SS_B</v>
          </cell>
        </row>
        <row r="5">
          <cell r="M5" t="str">
            <v>CCP-SS_B</v>
          </cell>
          <cell r="O5" t="str">
            <v>CCP-SS_B</v>
          </cell>
          <cell r="Q5" t="str">
            <v>CCP-SS_B</v>
          </cell>
        </row>
        <row r="6">
          <cell r="M6" t="str">
            <v>CCP-SS_B</v>
          </cell>
          <cell r="O6" t="str">
            <v>CCP-SS_B</v>
          </cell>
          <cell r="Q6" t="str">
            <v>CCP-SS_B</v>
          </cell>
        </row>
        <row r="7">
          <cell r="M7" t="str">
            <v>CCP-SS_B</v>
          </cell>
          <cell r="O7" t="str">
            <v>CCP-SS_B</v>
          </cell>
          <cell r="Q7" t="str">
            <v>CCP-SS_B</v>
          </cell>
        </row>
        <row r="8">
          <cell r="M8" t="str">
            <v>CCP-SS_B</v>
          </cell>
          <cell r="O8" t="str">
            <v>CCP-SS_B</v>
          </cell>
          <cell r="Q8" t="str">
            <v>CCP-SS_B</v>
          </cell>
        </row>
        <row r="9">
          <cell r="M9" t="str">
            <v>CCP-SS_B</v>
          </cell>
          <cell r="O9" t="str">
            <v>CCP-SS_B</v>
          </cell>
          <cell r="Q9" t="str">
            <v>CCP-SS_B</v>
          </cell>
        </row>
        <row r="10">
          <cell r="M10" t="str">
            <v>CCP-SS_B</v>
          </cell>
          <cell r="O10" t="str">
            <v>CCP-SS_B</v>
          </cell>
          <cell r="Q10" t="str">
            <v>CCP-SS_B</v>
          </cell>
        </row>
        <row r="11">
          <cell r="M11" t="str">
            <v>CCP-SS_B</v>
          </cell>
          <cell r="O11" t="str">
            <v>CCP-SS_B</v>
          </cell>
          <cell r="Q11" t="str">
            <v>CCP-SS_B</v>
          </cell>
        </row>
        <row r="12">
          <cell r="M12" t="str">
            <v>CCP-SS_B</v>
          </cell>
          <cell r="O12" t="str">
            <v>CCP-SS_B</v>
          </cell>
          <cell r="Q12" t="str">
            <v>CCP-SS_B</v>
          </cell>
        </row>
        <row r="13">
          <cell r="M13" t="str">
            <v>CCP-SS_B</v>
          </cell>
          <cell r="O13" t="str">
            <v>CCP-SS_B</v>
          </cell>
          <cell r="Q13" t="str">
            <v>CCP-SS_B</v>
          </cell>
        </row>
      </sheetData>
      <sheetData sheetId="10"/>
      <sheetData sheetId="11">
        <row r="1">
          <cell r="M1" t="str">
            <v>DD</v>
          </cell>
          <cell r="O1" t="str">
            <v>DTD</v>
          </cell>
          <cell r="Q1" t="str">
            <v>GFC</v>
          </cell>
        </row>
        <row r="2">
          <cell r="M2" t="str">
            <v>MSP-F_A</v>
          </cell>
          <cell r="O2" t="str">
            <v>MSP-F_A</v>
          </cell>
          <cell r="Q2" t="str">
            <v>MSP-F_A</v>
          </cell>
        </row>
        <row r="3">
          <cell r="M3" t="str">
            <v>MSP-F_A</v>
          </cell>
          <cell r="O3" t="str">
            <v>MSP-F_A</v>
          </cell>
          <cell r="Q3" t="str">
            <v>MSP-F_A</v>
          </cell>
        </row>
        <row r="4">
          <cell r="M4" t="str">
            <v>MSP-F_A</v>
          </cell>
          <cell r="O4" t="str">
            <v>MSP-F_A</v>
          </cell>
          <cell r="Q4" t="str">
            <v>MSP-F_A</v>
          </cell>
        </row>
        <row r="5">
          <cell r="M5" t="str">
            <v>MSP-F_A</v>
          </cell>
          <cell r="O5" t="str">
            <v>MSP-F_A</v>
          </cell>
          <cell r="Q5" t="str">
            <v>MSP-F_A</v>
          </cell>
        </row>
        <row r="6">
          <cell r="M6" t="str">
            <v>MSP-F_A</v>
          </cell>
          <cell r="O6" t="str">
            <v>MSP-F_A</v>
          </cell>
          <cell r="Q6" t="str">
            <v>MSP-F_A</v>
          </cell>
        </row>
        <row r="7">
          <cell r="M7" t="str">
            <v>MSP-F_A</v>
          </cell>
          <cell r="O7" t="str">
            <v>MSP-F_A</v>
          </cell>
          <cell r="Q7" t="str">
            <v>MSP-F_A</v>
          </cell>
        </row>
        <row r="8">
          <cell r="M8" t="str">
            <v>MSP-F_A</v>
          </cell>
          <cell r="O8" t="str">
            <v>MSP-F_A</v>
          </cell>
          <cell r="Q8" t="str">
            <v>MSP-F_A</v>
          </cell>
        </row>
        <row r="9">
          <cell r="M9" t="str">
            <v>MSP-F_A</v>
          </cell>
          <cell r="O9" t="str">
            <v>MSP-F_A</v>
          </cell>
          <cell r="Q9" t="str">
            <v>MSP-F_A</v>
          </cell>
        </row>
        <row r="10">
          <cell r="M10" t="str">
            <v>MSP-F_A</v>
          </cell>
          <cell r="O10" t="str">
            <v>MSP-F_A</v>
          </cell>
          <cell r="Q10" t="str">
            <v>MSP-F_A</v>
          </cell>
        </row>
        <row r="11">
          <cell r="M11" t="str">
            <v>MSP-F_A</v>
          </cell>
          <cell r="O11" t="str">
            <v>MSP-F_A</v>
          </cell>
          <cell r="Q11" t="str">
            <v>MSP-F_A</v>
          </cell>
        </row>
        <row r="12">
          <cell r="M12" t="str">
            <v>MSP-F_A</v>
          </cell>
          <cell r="O12" t="str">
            <v>MSP-F_A</v>
          </cell>
          <cell r="Q12" t="str">
            <v>MSP-F_A</v>
          </cell>
        </row>
        <row r="13">
          <cell r="M13" t="str">
            <v>MSP-F_A</v>
          </cell>
          <cell r="O13" t="str">
            <v>MSP-F_A</v>
          </cell>
          <cell r="Q13" t="str">
            <v>MSP-F_A</v>
          </cell>
        </row>
        <row r="14">
          <cell r="M14" t="str">
            <v>MSP-F_A</v>
          </cell>
          <cell r="O14" t="str">
            <v>MSP-F_A</v>
          </cell>
          <cell r="Q14" t="str">
            <v>MSP-F_A</v>
          </cell>
        </row>
        <row r="15">
          <cell r="M15" t="str">
            <v>MSP-F_A</v>
          </cell>
          <cell r="O15" t="str">
            <v>MSP-F_A</v>
          </cell>
          <cell r="Q15" t="str">
            <v>MSP-F_A</v>
          </cell>
        </row>
        <row r="16">
          <cell r="M16" t="str">
            <v>MSP-F_A</v>
          </cell>
          <cell r="O16" t="str">
            <v>MSP-F_A</v>
          </cell>
          <cell r="Q16" t="str">
            <v>MSP-F_A</v>
          </cell>
        </row>
        <row r="17">
          <cell r="M17" t="str">
            <v>MSP-F_A</v>
          </cell>
          <cell r="O17" t="str">
            <v>MSP-F_A</v>
          </cell>
          <cell r="Q17" t="str">
            <v>MSP-F_A</v>
          </cell>
        </row>
        <row r="18">
          <cell r="M18" t="str">
            <v>MSP-F_A</v>
          </cell>
          <cell r="O18" t="str">
            <v>MSP-F_A</v>
          </cell>
          <cell r="Q18" t="str">
            <v>MSP-F_A</v>
          </cell>
        </row>
        <row r="19">
          <cell r="M19" t="str">
            <v>MSP-F_A</v>
          </cell>
          <cell r="O19" t="str">
            <v>MSP-F_A</v>
          </cell>
          <cell r="Q19" t="str">
            <v>MSP-F_A</v>
          </cell>
        </row>
        <row r="20">
          <cell r="M20" t="str">
            <v>MSP-F_A</v>
          </cell>
          <cell r="O20" t="str">
            <v>MSP-F_A</v>
          </cell>
          <cell r="Q20" t="str">
            <v>MSP-F_A</v>
          </cell>
        </row>
        <row r="21">
          <cell r="M21" t="str">
            <v>MSP-F_A</v>
          </cell>
          <cell r="O21" t="str">
            <v>MSP-F_A</v>
          </cell>
          <cell r="Q21" t="str">
            <v>MSP-F_A</v>
          </cell>
        </row>
        <row r="22">
          <cell r="M22" t="str">
            <v>MSP-F_A</v>
          </cell>
          <cell r="O22" t="str">
            <v>MSP-F_A</v>
          </cell>
          <cell r="Q22" t="str">
            <v>MSP-F_A</v>
          </cell>
        </row>
        <row r="23">
          <cell r="M23" t="str">
            <v>MSP-F_A</v>
          </cell>
          <cell r="O23" t="str">
            <v>MSP-F_A</v>
          </cell>
          <cell r="Q23" t="str">
            <v>MSP-F_A</v>
          </cell>
        </row>
        <row r="24">
          <cell r="M24" t="str">
            <v>MSP-F_A</v>
          </cell>
          <cell r="O24" t="str">
            <v>MSP-F_A</v>
          </cell>
          <cell r="Q24" t="str">
            <v>MSP-F_A</v>
          </cell>
        </row>
        <row r="25">
          <cell r="M25" t="str">
            <v>MSP-F_A</v>
          </cell>
          <cell r="O25" t="str">
            <v>MSP-F_A</v>
          </cell>
          <cell r="Q25" t="str">
            <v>MSP-F_A</v>
          </cell>
        </row>
        <row r="26">
          <cell r="M26" t="str">
            <v>MSP-F_A</v>
          </cell>
          <cell r="O26" t="str">
            <v>MSP-F_A</v>
          </cell>
          <cell r="Q26" t="str">
            <v>MSP-F_A</v>
          </cell>
        </row>
        <row r="27">
          <cell r="M27" t="str">
            <v>MSP-F_A</v>
          </cell>
          <cell r="O27" t="str">
            <v>MSP-F_A</v>
          </cell>
          <cell r="Q27" t="str">
            <v>MSP-F_A</v>
          </cell>
        </row>
        <row r="28">
          <cell r="M28" t="str">
            <v>MSP-F_A</v>
          </cell>
          <cell r="O28" t="str">
            <v>MSP-F_A</v>
          </cell>
          <cell r="Q28" t="str">
            <v>MSP-F_A</v>
          </cell>
        </row>
        <row r="29">
          <cell r="M29" t="str">
            <v>MSP-F_A</v>
          </cell>
          <cell r="O29" t="str">
            <v>MSP-F_A</v>
          </cell>
          <cell r="Q29" t="str">
            <v>MSP-F_A</v>
          </cell>
        </row>
        <row r="30">
          <cell r="M30" t="str">
            <v>MSP-F_A</v>
          </cell>
          <cell r="O30" t="str">
            <v>MSP-F_A</v>
          </cell>
          <cell r="Q30" t="str">
            <v>MSP-F_A</v>
          </cell>
        </row>
        <row r="31">
          <cell r="M31" t="str">
            <v>MSP-F_A</v>
          </cell>
          <cell r="O31" t="str">
            <v>MSP-F_A</v>
          </cell>
          <cell r="Q31" t="str">
            <v>MSP-F_A</v>
          </cell>
        </row>
      </sheetData>
      <sheetData sheetId="12"/>
      <sheetData sheetId="13"/>
      <sheetData sheetId="14">
        <row r="1">
          <cell r="M1" t="str">
            <v>DD</v>
          </cell>
          <cell r="O1" t="str">
            <v>DTD</v>
          </cell>
          <cell r="Q1" t="str">
            <v>GFC</v>
          </cell>
        </row>
        <row r="2">
          <cell r="M2" t="str">
            <v>SG-F_A</v>
          </cell>
          <cell r="O2" t="str">
            <v>SG-F_A</v>
          </cell>
          <cell r="Q2" t="str">
            <v>SG-F_A</v>
          </cell>
        </row>
        <row r="3">
          <cell r="M3" t="str">
            <v>SG-F_A</v>
          </cell>
          <cell r="O3" t="str">
            <v>SG-F_A</v>
          </cell>
          <cell r="Q3" t="str">
            <v>SG-F_A</v>
          </cell>
        </row>
        <row r="4">
          <cell r="M4" t="str">
            <v>SG-F_A</v>
          </cell>
          <cell r="O4" t="str">
            <v>SG-F_A</v>
          </cell>
          <cell r="Q4" t="str">
            <v>SG-F_A</v>
          </cell>
        </row>
        <row r="5">
          <cell r="M5" t="str">
            <v>SG-F_A</v>
          </cell>
          <cell r="O5" t="str">
            <v>SG-F_A</v>
          </cell>
          <cell r="Q5" t="str">
            <v>SG-F_A</v>
          </cell>
        </row>
        <row r="6">
          <cell r="M6" t="str">
            <v>SG-F_A</v>
          </cell>
          <cell r="O6" t="str">
            <v>SG-F_A</v>
          </cell>
          <cell r="Q6" t="str">
            <v>SG-F_A</v>
          </cell>
        </row>
        <row r="7">
          <cell r="M7" t="str">
            <v>SG-F_A</v>
          </cell>
          <cell r="O7" t="str">
            <v>SG-F_A</v>
          </cell>
          <cell r="Q7" t="str">
            <v>SG-F_A</v>
          </cell>
        </row>
        <row r="8">
          <cell r="M8" t="str">
            <v>SG-F_A</v>
          </cell>
          <cell r="O8" t="str">
            <v>SG-F_A</v>
          </cell>
          <cell r="Q8" t="str">
            <v>SG-F_A</v>
          </cell>
        </row>
        <row r="9">
          <cell r="M9" t="str">
            <v>SG-F_A</v>
          </cell>
          <cell r="O9" t="str">
            <v>SG-F_A</v>
          </cell>
          <cell r="Q9" t="str">
            <v>SG-F_A</v>
          </cell>
        </row>
        <row r="10">
          <cell r="M10" t="str">
            <v>SG-F_A</v>
          </cell>
          <cell r="O10" t="str">
            <v>SG-F_A</v>
          </cell>
          <cell r="Q10" t="str">
            <v>SG-F_A</v>
          </cell>
        </row>
        <row r="11">
          <cell r="M11" t="str">
            <v>SG-F_A</v>
          </cell>
          <cell r="O11" t="str">
            <v>SG-F_A</v>
          </cell>
          <cell r="Q11" t="str">
            <v>SG-F_A</v>
          </cell>
        </row>
        <row r="12">
          <cell r="M12" t="str">
            <v>SG-F_A</v>
          </cell>
          <cell r="O12" t="str">
            <v>SG-F_A</v>
          </cell>
          <cell r="Q12" t="str">
            <v>SG-F_A</v>
          </cell>
        </row>
      </sheetData>
      <sheetData sheetId="15"/>
      <sheetData sheetId="16">
        <row r="1">
          <cell r="M1" t="str">
            <v>DD</v>
          </cell>
          <cell r="O1" t="str">
            <v>DTD</v>
          </cell>
          <cell r="Q1" t="str">
            <v>GFC</v>
          </cell>
        </row>
        <row r="2">
          <cell r="M2" t="str">
            <v>DG-F_A</v>
          </cell>
          <cell r="O2" t="str">
            <v>DG-F_A</v>
          </cell>
          <cell r="Q2" t="str">
            <v>DG-F_A</v>
          </cell>
        </row>
        <row r="3">
          <cell r="M3" t="str">
            <v>DG-F_A</v>
          </cell>
          <cell r="O3" t="str">
            <v>DG-F_A</v>
          </cell>
          <cell r="Q3" t="str">
            <v>DG-F_A</v>
          </cell>
        </row>
        <row r="4">
          <cell r="M4" t="str">
            <v>DG-F_A</v>
          </cell>
          <cell r="O4" t="str">
            <v>DG-F_A</v>
          </cell>
          <cell r="Q4" t="str">
            <v>DG-F_A</v>
          </cell>
        </row>
        <row r="5">
          <cell r="M5" t="str">
            <v>DG-F_A</v>
          </cell>
          <cell r="O5" t="str">
            <v>DG-F_A</v>
          </cell>
          <cell r="Q5" t="str">
            <v>DG-F_A</v>
          </cell>
        </row>
        <row r="6">
          <cell r="M6" t="str">
            <v>DG-F_A</v>
          </cell>
          <cell r="O6" t="str">
            <v>DG-F_A</v>
          </cell>
          <cell r="Q6" t="str">
            <v>DG-F_A</v>
          </cell>
        </row>
        <row r="7">
          <cell r="M7" t="str">
            <v>DG-F_A</v>
          </cell>
          <cell r="O7" t="str">
            <v>DG-F_A</v>
          </cell>
          <cell r="Q7" t="str">
            <v>DG-F_A</v>
          </cell>
        </row>
        <row r="8">
          <cell r="M8" t="str">
            <v>DG-F_A</v>
          </cell>
          <cell r="O8" t="str">
            <v>DG-F_A</v>
          </cell>
          <cell r="Q8" t="str">
            <v>DG-F_A</v>
          </cell>
        </row>
        <row r="9">
          <cell r="M9" t="str">
            <v>DG-F_A</v>
          </cell>
          <cell r="O9" t="str">
            <v>DG-F_A</v>
          </cell>
          <cell r="Q9" t="str">
            <v>DG-F_A</v>
          </cell>
        </row>
        <row r="10">
          <cell r="M10" t="str">
            <v>DG-F_A</v>
          </cell>
          <cell r="O10" t="str">
            <v>DG-F_A</v>
          </cell>
          <cell r="Q10" t="str">
            <v>DG-F_A</v>
          </cell>
        </row>
      </sheetData>
      <sheetData sheetId="17"/>
      <sheetData sheetId="18">
        <row r="1">
          <cell r="M1" t="str">
            <v>DD</v>
          </cell>
          <cell r="O1" t="str">
            <v>DTD</v>
          </cell>
          <cell r="Q1" t="str">
            <v>GFC</v>
          </cell>
        </row>
        <row r="2">
          <cell r="M2" t="str">
            <v>FS-F_A</v>
          </cell>
          <cell r="O2" t="str">
            <v>FS-F_A</v>
          </cell>
          <cell r="Q2" t="str">
            <v>FS-F_A</v>
          </cell>
        </row>
        <row r="3">
          <cell r="M3" t="str">
            <v>FS-F_A</v>
          </cell>
          <cell r="O3" t="str">
            <v>FS-F_A</v>
          </cell>
          <cell r="Q3" t="str">
            <v>FS-F_A</v>
          </cell>
        </row>
      </sheetData>
      <sheetData sheetId="19"/>
      <sheetData sheetId="20">
        <row r="1">
          <cell r="E1" t="str">
            <v>Document Set Name</v>
          </cell>
          <cell r="F1" t="str">
            <v>DD</v>
          </cell>
          <cell r="G1" t="str">
            <v>DTD</v>
          </cell>
          <cell r="H1" t="str">
            <v>GFC</v>
          </cell>
        </row>
        <row r="2">
          <cell r="A2" t="str">
            <v>O17203</v>
          </cell>
          <cell r="B2" t="str">
            <v>SP</v>
          </cell>
          <cell r="C2" t="str">
            <v>L - ELV systems</v>
          </cell>
          <cell r="D2" t="str">
            <v>07 - Convention centre</v>
          </cell>
          <cell r="E2" t="str">
            <v>CC-INT_D</v>
          </cell>
          <cell r="F2" t="str">
            <v>_</v>
          </cell>
          <cell r="G2">
            <v>43437</v>
          </cell>
          <cell r="H2">
            <v>43514</v>
          </cell>
        </row>
        <row r="3">
          <cell r="A3" t="str">
            <v>O17203</v>
          </cell>
          <cell r="B3" t="str">
            <v>SP</v>
          </cell>
          <cell r="C3" t="str">
            <v>L - ELV systems</v>
          </cell>
          <cell r="D3" t="str">
            <v>07 - Convention centre</v>
          </cell>
          <cell r="E3" t="str">
            <v>CC-INT_E</v>
          </cell>
          <cell r="F3" t="str">
            <v>_</v>
          </cell>
          <cell r="G3">
            <v>43489</v>
          </cell>
          <cell r="H3">
            <v>43542</v>
          </cell>
        </row>
        <row r="4">
          <cell r="A4" t="str">
            <v>O17203</v>
          </cell>
          <cell r="B4" t="str">
            <v>SP</v>
          </cell>
          <cell r="C4" t="str">
            <v>L - ELV systems</v>
          </cell>
          <cell r="D4" t="str">
            <v>38 - CC Parking</v>
          </cell>
          <cell r="E4" t="str">
            <v>CCP-SS_B</v>
          </cell>
          <cell r="F4" t="str">
            <v>_</v>
          </cell>
          <cell r="G4">
            <v>43260</v>
          </cell>
          <cell r="H4">
            <v>43299</v>
          </cell>
        </row>
        <row r="5">
          <cell r="A5" t="str">
            <v>O17203</v>
          </cell>
          <cell r="B5" t="str">
            <v>SP</v>
          </cell>
          <cell r="C5" t="str">
            <v>L - ELV systems</v>
          </cell>
          <cell r="D5" t="str">
            <v>07 - Convention centre</v>
          </cell>
          <cell r="E5" t="str">
            <v>CC-SS_B</v>
          </cell>
          <cell r="F5" t="str">
            <v>_</v>
          </cell>
          <cell r="G5">
            <v>43278</v>
          </cell>
          <cell r="H5">
            <v>43308</v>
          </cell>
        </row>
        <row r="6">
          <cell r="A6" t="str">
            <v>O17203</v>
          </cell>
          <cell r="B6" t="str">
            <v>SP</v>
          </cell>
          <cell r="C6" t="str">
            <v>L - ELV systems</v>
          </cell>
          <cell r="D6" t="str">
            <v>07 - Convention centre</v>
          </cell>
          <cell r="E6" t="str">
            <v>CC-SS_C</v>
          </cell>
          <cell r="F6" t="str">
            <v>_</v>
          </cell>
          <cell r="G6">
            <v>43343</v>
          </cell>
          <cell r="H6">
            <v>43371</v>
          </cell>
        </row>
        <row r="7">
          <cell r="A7" t="str">
            <v>O17203</v>
          </cell>
          <cell r="B7" t="str">
            <v>SP</v>
          </cell>
          <cell r="C7" t="str">
            <v>L - ELV systems</v>
          </cell>
          <cell r="D7" t="str">
            <v>07 - Convention centre</v>
          </cell>
          <cell r="E7" t="str">
            <v>COC-SCHEME</v>
          </cell>
          <cell r="F7">
            <v>43185</v>
          </cell>
          <cell r="G7">
            <v>43278</v>
          </cell>
          <cell r="H7">
            <v>43308</v>
          </cell>
        </row>
        <row r="8">
          <cell r="A8" t="str">
            <v>O17203</v>
          </cell>
          <cell r="B8" t="str">
            <v>SP</v>
          </cell>
          <cell r="C8" t="str">
            <v>L - ELV systems</v>
          </cell>
          <cell r="D8" t="str">
            <v>30 - DG Yard and Electrical Sub Stations</v>
          </cell>
          <cell r="E8" t="str">
            <v>DG-F_A</v>
          </cell>
          <cell r="F8" t="str">
            <v>_</v>
          </cell>
          <cell r="G8">
            <v>43266</v>
          </cell>
          <cell r="H8">
            <v>43350</v>
          </cell>
        </row>
        <row r="9">
          <cell r="A9" t="str">
            <v>O17203</v>
          </cell>
          <cell r="B9" t="str">
            <v>SP</v>
          </cell>
          <cell r="C9" t="str">
            <v>L - ELV systems</v>
          </cell>
          <cell r="D9" t="str">
            <v>30 - DG Yard and Electrical Sub Stations</v>
          </cell>
          <cell r="E9" t="str">
            <v>DG-SCHEME</v>
          </cell>
          <cell r="F9">
            <v>43185</v>
          </cell>
          <cell r="G9">
            <v>43266</v>
          </cell>
          <cell r="H9">
            <v>43350</v>
          </cell>
        </row>
        <row r="10">
          <cell r="A10" t="str">
            <v>O17203</v>
          </cell>
          <cell r="B10" t="str">
            <v>SP</v>
          </cell>
          <cell r="C10" t="str">
            <v>L - ELV systems</v>
          </cell>
          <cell r="D10" t="str">
            <v>01 - Exhibition Hall 1 with Grand Foyer and EH1 Basement parking</v>
          </cell>
          <cell r="E10" t="str">
            <v>EH1-INT_D</v>
          </cell>
          <cell r="F10" t="str">
            <v>_</v>
          </cell>
          <cell r="G10">
            <v>43493</v>
          </cell>
          <cell r="H10">
            <v>43521</v>
          </cell>
        </row>
        <row r="11">
          <cell r="A11" t="str">
            <v>O17203</v>
          </cell>
          <cell r="B11" t="str">
            <v>SP</v>
          </cell>
          <cell r="C11" t="str">
            <v>L - ELV systems</v>
          </cell>
          <cell r="D11" t="str">
            <v>01 - Exhibition Hall 1 with Grand Foyer and EH1 Basement parking</v>
          </cell>
          <cell r="E11" t="str">
            <v>EH1-SCHEME</v>
          </cell>
          <cell r="F11">
            <v>43160</v>
          </cell>
          <cell r="G11">
            <v>43295</v>
          </cell>
          <cell r="H11">
            <v>43340</v>
          </cell>
        </row>
        <row r="12">
          <cell r="A12" t="str">
            <v>O17203</v>
          </cell>
          <cell r="B12" t="str">
            <v>SP</v>
          </cell>
          <cell r="C12" t="str">
            <v>L - ELV systems</v>
          </cell>
          <cell r="D12" t="str">
            <v>01 - Exhibition Hall 1 with Grand Foyer and EH1 Basement parking</v>
          </cell>
          <cell r="E12" t="str">
            <v>EH1-SS_B</v>
          </cell>
          <cell r="F12" t="str">
            <v>_</v>
          </cell>
          <cell r="G12">
            <v>43295</v>
          </cell>
          <cell r="H12">
            <v>43340</v>
          </cell>
        </row>
        <row r="13">
          <cell r="A13" t="str">
            <v>O17203</v>
          </cell>
          <cell r="B13" t="str">
            <v>SP</v>
          </cell>
          <cell r="C13" t="str">
            <v>L - ELV systems</v>
          </cell>
          <cell r="D13" t="str">
            <v>02 - Exhibition Hall 2 with Grand Foyer and EH2 Basement parking</v>
          </cell>
          <cell r="E13" t="str">
            <v>EH2-INT_D</v>
          </cell>
          <cell r="F13" t="str">
            <v>_</v>
          </cell>
          <cell r="G13">
            <v>43500</v>
          </cell>
          <cell r="H13">
            <v>43528</v>
          </cell>
        </row>
        <row r="14">
          <cell r="A14" t="str">
            <v>O17203</v>
          </cell>
          <cell r="B14" t="str">
            <v>SP</v>
          </cell>
          <cell r="C14" t="str">
            <v>L - ELV systems</v>
          </cell>
          <cell r="D14" t="str">
            <v>02 - Exhibition Hall 2 with Grand Foyer and EH2 Basement parking</v>
          </cell>
          <cell r="E14" t="str">
            <v>EH2-SCHEME</v>
          </cell>
          <cell r="F14">
            <v>43160</v>
          </cell>
          <cell r="G14">
            <v>43305</v>
          </cell>
          <cell r="H14">
            <v>43350</v>
          </cell>
        </row>
        <row r="15">
          <cell r="A15" t="str">
            <v>O17203</v>
          </cell>
          <cell r="B15" t="str">
            <v>SP</v>
          </cell>
          <cell r="C15" t="str">
            <v>L - ELV systems</v>
          </cell>
          <cell r="D15" t="str">
            <v>02 - Exhibition Hall 2 with Grand Foyer and EH2 Basement parking</v>
          </cell>
          <cell r="E15" t="str">
            <v>EH2-SS_B</v>
          </cell>
          <cell r="F15" t="str">
            <v>_</v>
          </cell>
          <cell r="G15">
            <v>43305</v>
          </cell>
          <cell r="H15">
            <v>43350</v>
          </cell>
        </row>
        <row r="16">
          <cell r="A16" t="str">
            <v>O17203</v>
          </cell>
          <cell r="B16" t="str">
            <v>SP</v>
          </cell>
          <cell r="C16" t="str">
            <v>L - ELV systems</v>
          </cell>
          <cell r="D16" t="str">
            <v>03 - Exhibition Hall 3 Service Building</v>
          </cell>
          <cell r="E16" t="str">
            <v>EH3-SCHEME</v>
          </cell>
          <cell r="F16">
            <v>43185</v>
          </cell>
          <cell r="G16">
            <v>43259</v>
          </cell>
          <cell r="H16">
            <v>43313</v>
          </cell>
        </row>
        <row r="17">
          <cell r="A17" t="str">
            <v>O17203</v>
          </cell>
          <cell r="B17" t="str">
            <v>SP</v>
          </cell>
          <cell r="C17" t="str">
            <v>L - ELV systems</v>
          </cell>
          <cell r="D17" t="str">
            <v>03 - Exhibition Hall 3 Service Building</v>
          </cell>
          <cell r="E17" t="str">
            <v>EH3-SS_B</v>
          </cell>
          <cell r="F17" t="str">
            <v>_</v>
          </cell>
          <cell r="G17">
            <v>43259</v>
          </cell>
          <cell r="H17">
            <v>43313</v>
          </cell>
        </row>
        <row r="18">
          <cell r="A18" t="str">
            <v>O17203</v>
          </cell>
          <cell r="B18" t="str">
            <v>SP</v>
          </cell>
          <cell r="C18" t="str">
            <v>L - ELV systems</v>
          </cell>
          <cell r="D18" t="str">
            <v>31 - Fire Station</v>
          </cell>
          <cell r="E18" t="str">
            <v>FS-F_A</v>
          </cell>
          <cell r="F18" t="str">
            <v>_</v>
          </cell>
          <cell r="G18">
            <v>43278</v>
          </cell>
          <cell r="H18">
            <v>43346</v>
          </cell>
        </row>
        <row r="19">
          <cell r="A19" t="str">
            <v>O17203</v>
          </cell>
          <cell r="B19" t="str">
            <v>SP</v>
          </cell>
          <cell r="C19" t="str">
            <v>L - ELV systems</v>
          </cell>
          <cell r="D19" t="str">
            <v>00 - MASTER PLAN AND EXTERNAL WORKS</v>
          </cell>
          <cell r="E19" t="str">
            <v>MSP-F_A</v>
          </cell>
          <cell r="F19" t="str">
            <v>_</v>
          </cell>
          <cell r="G19">
            <v>43451</v>
          </cell>
          <cell r="H19">
            <v>43479</v>
          </cell>
        </row>
        <row r="20">
          <cell r="A20" t="str">
            <v>O17203</v>
          </cell>
          <cell r="B20" t="str">
            <v>SP</v>
          </cell>
          <cell r="C20" t="str">
            <v>L - ELV systems</v>
          </cell>
          <cell r="D20" t="str">
            <v>00 - MASTER PLAN AND EXTERNAL WORKS</v>
          </cell>
          <cell r="E20" t="str">
            <v>OA-SCHEME</v>
          </cell>
          <cell r="F20" t="str">
            <v>_</v>
          </cell>
          <cell r="G20">
            <v>43451</v>
          </cell>
          <cell r="H20">
            <v>43479</v>
          </cell>
        </row>
        <row r="21">
          <cell r="A21" t="str">
            <v>O17203</v>
          </cell>
          <cell r="B21" t="str">
            <v>SP</v>
          </cell>
          <cell r="C21" t="str">
            <v>L - ELV systems</v>
          </cell>
          <cell r="D21" t="str">
            <v>0A - Service Gallery</v>
          </cell>
          <cell r="E21" t="str">
            <v>SG-F_A</v>
          </cell>
          <cell r="F21" t="str">
            <v>_</v>
          </cell>
          <cell r="G21">
            <v>43329</v>
          </cell>
          <cell r="H21">
            <v>43381</v>
          </cell>
        </row>
        <row r="22">
          <cell r="A22" t="str">
            <v>O17203</v>
          </cell>
          <cell r="B22" t="str">
            <v>SP</v>
          </cell>
          <cell r="C22" t="str">
            <v>L - ELV systems</v>
          </cell>
          <cell r="D22" t="str">
            <v>0A - Service Gallery</v>
          </cell>
          <cell r="E22" t="str">
            <v>SG-SCHEME</v>
          </cell>
          <cell r="F22">
            <v>43195</v>
          </cell>
          <cell r="G22">
            <v>43329</v>
          </cell>
          <cell r="H22">
            <v>43381</v>
          </cell>
        </row>
      </sheetData>
      <sheetData sheetId="21"/>
      <sheetData sheetId="22">
        <row r="1">
          <cell r="D1" t="str">
            <v>Structure No</v>
          </cell>
          <cell r="E1" t="str">
            <v>Document Set Name</v>
          </cell>
          <cell r="F1" t="str">
            <v>DD</v>
          </cell>
        </row>
        <row r="2">
          <cell r="D2" t="str">
            <v>01 - Exhibition Hall 1 with Grand Foyer and EH1 Basement parking</v>
          </cell>
          <cell r="E2" t="str">
            <v>EH1-SCHEME</v>
          </cell>
          <cell r="F2">
            <v>6</v>
          </cell>
        </row>
        <row r="3">
          <cell r="D3" t="str">
            <v>01 - Exhibition Hall 1 with Grand Foyer and EH1 Basement parking</v>
          </cell>
          <cell r="E3" t="str">
            <v>EH1-SS_B</v>
          </cell>
          <cell r="F3">
            <v>9</v>
          </cell>
        </row>
        <row r="4">
          <cell r="D4" t="str">
            <v>01 - Exhibition Hall 1 with Grand Foyer and EH1 Basement parking</v>
          </cell>
          <cell r="E4" t="str">
            <v>EH1-INT_D</v>
          </cell>
          <cell r="F4">
            <v>82</v>
          </cell>
        </row>
        <row r="5">
          <cell r="D5" t="str">
            <v>02 - Exhibition Hall 2 with Grand Foyer and EH2 Basement parking</v>
          </cell>
          <cell r="E5" t="str">
            <v>EH2-SCHEME</v>
          </cell>
          <cell r="F5">
            <v>3</v>
          </cell>
        </row>
        <row r="6">
          <cell r="D6" t="str">
            <v>02 - Exhibition Hall 2 with Grand Foyer and EH2 Basement parking</v>
          </cell>
          <cell r="E6" t="str">
            <v>EH2-SS_B</v>
          </cell>
          <cell r="F6">
            <v>14</v>
          </cell>
        </row>
        <row r="7">
          <cell r="D7" t="str">
            <v>02 - Exhibition Hall 2 with Grand Foyer and EH2 Basement parking</v>
          </cell>
          <cell r="E7" t="str">
            <v>EH2-INT_D</v>
          </cell>
          <cell r="F7">
            <v>77</v>
          </cell>
        </row>
        <row r="8">
          <cell r="D8" t="str">
            <v>03 - Exhibition Hall 3 Service Building</v>
          </cell>
          <cell r="E8" t="str">
            <v>EH3-SCHEME</v>
          </cell>
          <cell r="F8">
            <v>0</v>
          </cell>
        </row>
        <row r="9">
          <cell r="D9" t="str">
            <v>03 - Exhibition Hall 3 Service Building</v>
          </cell>
          <cell r="E9" t="str">
            <v>EH3-SS_B</v>
          </cell>
          <cell r="F9">
            <v>18</v>
          </cell>
        </row>
        <row r="10">
          <cell r="D10" t="str">
            <v>07 - Convention centre</v>
          </cell>
          <cell r="E10" t="str">
            <v>COC-SCHEME</v>
          </cell>
          <cell r="F10">
            <v>7</v>
          </cell>
        </row>
        <row r="11">
          <cell r="D11" t="str">
            <v>07 - Convention centre</v>
          </cell>
          <cell r="E11" t="str">
            <v>CC-SS_B</v>
          </cell>
          <cell r="F11">
            <v>21</v>
          </cell>
        </row>
        <row r="12">
          <cell r="D12" t="str">
            <v>07 - Convention centre</v>
          </cell>
          <cell r="E12" t="str">
            <v>CC-SS_C</v>
          </cell>
          <cell r="F12">
            <v>6</v>
          </cell>
        </row>
        <row r="13">
          <cell r="D13" t="str">
            <v>07 - Convention centre</v>
          </cell>
          <cell r="E13" t="str">
            <v>CC-INT_D</v>
          </cell>
          <cell r="F13">
            <v>53</v>
          </cell>
        </row>
        <row r="14">
          <cell r="D14" t="str">
            <v>07 - Convention centre</v>
          </cell>
          <cell r="E14" t="str">
            <v>CC-INT_E</v>
          </cell>
          <cell r="F14">
            <v>81</v>
          </cell>
        </row>
        <row r="15">
          <cell r="D15" t="str">
            <v>38 - CC Parking</v>
          </cell>
          <cell r="E15" t="str">
            <v>CCP-SS_B</v>
          </cell>
          <cell r="F15">
            <v>12</v>
          </cell>
        </row>
        <row r="16">
          <cell r="D16" t="str">
            <v>00 - MASTER PLAN AND EXTERNAL WORKS</v>
          </cell>
          <cell r="E16" t="str">
            <v>OA-SCHEME</v>
          </cell>
          <cell r="F16">
            <v>0</v>
          </cell>
        </row>
        <row r="17">
          <cell r="D17" t="str">
            <v>00 - MASTER PLAN AND EXTERNAL WORKS</v>
          </cell>
          <cell r="E17" t="str">
            <v>MSP-F_A</v>
          </cell>
          <cell r="F17">
            <v>30</v>
          </cell>
        </row>
        <row r="18">
          <cell r="D18" t="str">
            <v>0A - Service Gallery</v>
          </cell>
          <cell r="E18" t="str">
            <v>SG-SCHEME</v>
          </cell>
          <cell r="F18">
            <v>0</v>
          </cell>
        </row>
        <row r="19">
          <cell r="D19" t="str">
            <v>0A - Service Gallery</v>
          </cell>
          <cell r="E19" t="str">
            <v>SG-F_A</v>
          </cell>
          <cell r="F19">
            <v>11</v>
          </cell>
        </row>
        <row r="20">
          <cell r="D20" t="str">
            <v>30 - DG Yard and Electrical Sub Stations</v>
          </cell>
          <cell r="E20" t="str">
            <v>DG-SCHEME</v>
          </cell>
          <cell r="F20">
            <v>0</v>
          </cell>
        </row>
        <row r="21">
          <cell r="D21" t="str">
            <v>30 - DG Yard and Electrical Sub Stations</v>
          </cell>
          <cell r="E21" t="str">
            <v>DG-F_A</v>
          </cell>
          <cell r="F21">
            <v>9</v>
          </cell>
        </row>
        <row r="22">
          <cell r="D22" t="str">
            <v>31 - Fire Station</v>
          </cell>
          <cell r="E22" t="str">
            <v>FS-F_A</v>
          </cell>
          <cell r="F22">
            <v>2</v>
          </cell>
        </row>
        <row r="24">
          <cell r="E24" t="str">
            <v>tOtal</v>
          </cell>
          <cell r="F24">
            <v>441</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11"/>
  <sheetViews>
    <sheetView tabSelected="1" topLeftCell="A28" workbookViewId="0">
      <selection activeCell="G43" sqref="G43"/>
    </sheetView>
  </sheetViews>
  <sheetFormatPr defaultRowHeight="14.4" x14ac:dyDescent="0.3"/>
  <sheetData>
    <row r="2" spans="1:3" x14ac:dyDescent="0.3">
      <c r="A2" s="1" t="s">
        <v>0</v>
      </c>
      <c r="B2" s="1" t="s">
        <v>1</v>
      </c>
      <c r="C2" s="1" t="s">
        <v>2</v>
      </c>
    </row>
    <row r="3" spans="1:3" x14ac:dyDescent="0.3">
      <c r="A3" t="s">
        <v>3</v>
      </c>
      <c r="B3" t="s">
        <v>4</v>
      </c>
      <c r="C3" t="s">
        <v>5</v>
      </c>
    </row>
    <row r="4" spans="1:3" x14ac:dyDescent="0.3">
      <c r="A4" t="s">
        <v>6</v>
      </c>
      <c r="B4" t="s">
        <v>4</v>
      </c>
      <c r="C4" t="s">
        <v>7</v>
      </c>
    </row>
    <row r="5" spans="1:3" x14ac:dyDescent="0.3">
      <c r="A5" t="s">
        <v>8</v>
      </c>
      <c r="B5" t="s">
        <v>9</v>
      </c>
      <c r="C5" t="s">
        <v>5</v>
      </c>
    </row>
    <row r="6" spans="1:3" x14ac:dyDescent="0.3">
      <c r="A6" t="s">
        <v>10</v>
      </c>
      <c r="B6" t="s">
        <v>11</v>
      </c>
      <c r="C6" t="s">
        <v>12</v>
      </c>
    </row>
    <row r="7" spans="1:3" x14ac:dyDescent="0.3">
      <c r="A7" s="1" t="s">
        <v>0</v>
      </c>
      <c r="B7" s="1" t="s">
        <v>1</v>
      </c>
      <c r="C7" s="1" t="s">
        <v>2</v>
      </c>
    </row>
    <row r="8" spans="1:3" x14ac:dyDescent="0.3">
      <c r="A8" t="s">
        <v>13</v>
      </c>
      <c r="B8" t="s">
        <v>14</v>
      </c>
      <c r="C8" t="s">
        <v>5</v>
      </c>
    </row>
    <row r="9" spans="1:3" x14ac:dyDescent="0.3">
      <c r="A9" t="s">
        <v>15</v>
      </c>
      <c r="B9" t="s">
        <v>16</v>
      </c>
      <c r="C9" t="s">
        <v>17</v>
      </c>
    </row>
    <row r="10" spans="1:3" x14ac:dyDescent="0.3">
      <c r="A10" t="s">
        <v>18</v>
      </c>
      <c r="B10" t="s">
        <v>19</v>
      </c>
      <c r="C10" t="s">
        <v>20</v>
      </c>
    </row>
    <row r="11" spans="1:3" x14ac:dyDescent="0.3">
      <c r="A11" t="s">
        <v>21</v>
      </c>
      <c r="B11" t="s">
        <v>22</v>
      </c>
      <c r="C11" t="s">
        <v>12</v>
      </c>
    </row>
  </sheetData>
  <dataConsolid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3">
    <tabColor rgb="FFFF0000"/>
  </sheetPr>
  <dimension ref="A1:AA503"/>
  <sheetViews>
    <sheetView showGridLines="0" zoomScaleNormal="100" zoomScaleSheetLayoutView="100" workbookViewId="0">
      <selection activeCell="A5" sqref="A5:XFD5"/>
    </sheetView>
  </sheetViews>
  <sheetFormatPr defaultColWidth="10.44140625" defaultRowHeight="15.6" x14ac:dyDescent="0.3"/>
  <cols>
    <col min="1" max="1" width="1.88671875" style="12" customWidth="1"/>
    <col min="2" max="2" width="6.44140625" style="12" customWidth="1"/>
    <col min="3" max="4" width="12.5546875" style="12" customWidth="1"/>
    <col min="5" max="5" width="7.88671875" style="12" customWidth="1"/>
    <col min="6" max="6" width="30.44140625" style="12" customWidth="1"/>
    <col min="7" max="8" width="6.109375" style="12" customWidth="1"/>
    <col min="9" max="9" width="10.5546875" style="12" customWidth="1"/>
    <col min="10" max="11" width="9" style="12" bestFit="1" customWidth="1"/>
    <col min="12" max="12" width="7.88671875" style="12" customWidth="1"/>
    <col min="13" max="13" width="9" style="12" bestFit="1" customWidth="1"/>
    <col min="14" max="14" width="7.88671875" style="12" customWidth="1"/>
    <col min="15" max="15" width="7.5546875" style="12" customWidth="1"/>
    <col min="16" max="16" width="6.5546875" style="12" customWidth="1"/>
    <col min="17" max="17" width="10.5546875" style="12" customWidth="1"/>
    <col min="18" max="18" width="1.88671875" style="12" customWidth="1"/>
    <col min="19" max="20" width="6.44140625" style="12" customWidth="1"/>
    <col min="21" max="21" width="19.109375" style="12" bestFit="1" customWidth="1"/>
    <col min="22" max="22" width="10.44140625" style="12" bestFit="1" customWidth="1"/>
    <col min="23" max="32" width="6.44140625" style="12" customWidth="1"/>
    <col min="33" max="16384" width="10.44140625" style="12"/>
  </cols>
  <sheetData>
    <row r="1" spans="1:27" ht="50.1" customHeight="1" x14ac:dyDescent="0.3">
      <c r="A1" s="56"/>
      <c r="B1" s="57"/>
      <c r="C1" s="57"/>
      <c r="D1" s="57"/>
      <c r="E1" s="57"/>
      <c r="F1" s="57"/>
      <c r="G1" s="57"/>
      <c r="H1" s="57"/>
      <c r="I1" s="57"/>
      <c r="J1" s="57"/>
      <c r="K1" s="57"/>
      <c r="L1" s="57"/>
      <c r="M1" s="57"/>
      <c r="N1" s="57"/>
      <c r="O1" s="57"/>
      <c r="P1" s="57"/>
      <c r="Q1" s="57"/>
      <c r="R1" s="58"/>
    </row>
    <row r="2" spans="1:27" ht="18" customHeight="1" x14ac:dyDescent="0.3">
      <c r="A2" s="184" t="s">
        <v>23</v>
      </c>
      <c r="B2" s="185"/>
      <c r="C2" s="185"/>
      <c r="D2" s="186"/>
      <c r="E2" s="187" t="s">
        <v>24</v>
      </c>
      <c r="F2" s="188"/>
      <c r="G2" s="188"/>
      <c r="H2" s="188"/>
      <c r="I2" s="188"/>
      <c r="J2" s="188"/>
      <c r="K2" s="188"/>
      <c r="L2" s="188"/>
      <c r="M2" s="188"/>
      <c r="N2" s="189"/>
      <c r="O2" s="193" t="s">
        <v>129</v>
      </c>
      <c r="P2" s="193"/>
      <c r="Q2" s="193"/>
      <c r="R2" s="193"/>
    </row>
    <row r="3" spans="1:27" ht="18" customHeight="1" x14ac:dyDescent="0.3">
      <c r="A3" s="194" t="s">
        <v>25</v>
      </c>
      <c r="B3" s="195"/>
      <c r="C3" s="195"/>
      <c r="D3" s="196"/>
      <c r="E3" s="190"/>
      <c r="F3" s="191"/>
      <c r="G3" s="191"/>
      <c r="H3" s="191"/>
      <c r="I3" s="191"/>
      <c r="J3" s="191"/>
      <c r="K3" s="191"/>
      <c r="L3" s="191"/>
      <c r="M3" s="191"/>
      <c r="N3" s="192"/>
      <c r="O3" s="197" t="s">
        <v>130</v>
      </c>
      <c r="P3" s="197"/>
      <c r="Q3" s="197"/>
      <c r="R3" s="197"/>
    </row>
    <row r="4" spans="1:27" s="5" customFormat="1" ht="7.5" customHeight="1" x14ac:dyDescent="0.3">
      <c r="A4" s="2"/>
      <c r="B4" s="13"/>
      <c r="C4" s="13"/>
      <c r="D4" s="13"/>
      <c r="E4" s="13"/>
      <c r="F4" s="13"/>
      <c r="G4" s="13"/>
      <c r="H4" s="13"/>
      <c r="I4" s="13"/>
      <c r="J4" s="13"/>
      <c r="K4" s="13"/>
      <c r="L4" s="13"/>
      <c r="M4" s="13"/>
      <c r="N4" s="13"/>
      <c r="O4" s="13"/>
      <c r="P4" s="13"/>
      <c r="Q4" s="13"/>
      <c r="R4" s="14"/>
      <c r="S4" s="4"/>
    </row>
    <row r="5" spans="1:27" ht="12" customHeight="1" x14ac:dyDescent="0.25">
      <c r="A5" s="2"/>
      <c r="B5" s="198" t="s">
        <v>26</v>
      </c>
      <c r="C5" s="199"/>
      <c r="D5" s="200" t="s">
        <v>27</v>
      </c>
      <c r="E5" s="201"/>
      <c r="F5" s="201"/>
      <c r="G5" s="201"/>
      <c r="H5" s="202"/>
      <c r="I5" s="203" t="s">
        <v>28</v>
      </c>
      <c r="J5" s="204"/>
      <c r="K5" s="204"/>
      <c r="L5" s="204"/>
      <c r="M5" s="204"/>
      <c r="N5" s="204"/>
      <c r="O5" s="205"/>
      <c r="P5" s="116" t="s">
        <v>131</v>
      </c>
      <c r="Q5" s="117"/>
      <c r="R5" s="3"/>
      <c r="U5" s="6"/>
      <c r="V5" s="15"/>
      <c r="W5" s="15"/>
    </row>
    <row r="6" spans="1:27" s="16" customFormat="1" ht="12" customHeight="1" x14ac:dyDescent="0.3">
      <c r="A6" s="7"/>
      <c r="B6" s="214" t="s">
        <v>29</v>
      </c>
      <c r="C6" s="215"/>
      <c r="D6" s="216" t="s">
        <v>30</v>
      </c>
      <c r="E6" s="216"/>
      <c r="F6" s="216"/>
      <c r="G6" s="216"/>
      <c r="H6" s="216"/>
      <c r="I6" s="217" t="s">
        <v>31</v>
      </c>
      <c r="J6" s="218"/>
      <c r="K6" s="218" t="s">
        <v>32</v>
      </c>
      <c r="L6" s="218"/>
      <c r="M6" s="219"/>
      <c r="N6" s="219"/>
      <c r="O6" s="220"/>
      <c r="P6" s="182" t="s">
        <v>33</v>
      </c>
      <c r="Q6" s="183"/>
      <c r="R6" s="8"/>
      <c r="U6"/>
      <c r="V6" s="59"/>
      <c r="W6" s="60"/>
    </row>
    <row r="7" spans="1:27" s="16" customFormat="1" ht="12" customHeight="1" x14ac:dyDescent="0.3">
      <c r="A7" s="7"/>
      <c r="B7" s="206" t="s">
        <v>35</v>
      </c>
      <c r="C7" s="207"/>
      <c r="D7" s="208" t="s">
        <v>132</v>
      </c>
      <c r="E7" s="209"/>
      <c r="F7" s="209"/>
      <c r="G7" s="209"/>
      <c r="H7" s="210"/>
      <c r="I7" s="217" t="s">
        <v>36</v>
      </c>
      <c r="J7" s="218"/>
      <c r="K7" s="218" t="s">
        <v>37</v>
      </c>
      <c r="L7" s="218"/>
      <c r="M7" s="17"/>
      <c r="N7" s="17"/>
      <c r="O7" s="18"/>
      <c r="P7" s="221"/>
      <c r="Q7" s="222"/>
      <c r="R7" s="8"/>
      <c r="U7"/>
      <c r="V7" s="59"/>
      <c r="W7" s="60"/>
    </row>
    <row r="8" spans="1:27" ht="12" customHeight="1" x14ac:dyDescent="0.3">
      <c r="A8" s="9"/>
      <c r="B8" s="206" t="s">
        <v>39</v>
      </c>
      <c r="C8" s="207"/>
      <c r="D8" s="19" t="s">
        <v>40</v>
      </c>
      <c r="E8" s="20" t="s">
        <v>41</v>
      </c>
      <c r="F8" s="208" t="s">
        <v>62</v>
      </c>
      <c r="G8" s="209"/>
      <c r="H8" s="210"/>
      <c r="I8" s="211" t="s">
        <v>42</v>
      </c>
      <c r="J8" s="212"/>
      <c r="K8" s="212" t="s">
        <v>43</v>
      </c>
      <c r="L8" s="212"/>
      <c r="M8" s="212"/>
      <c r="N8" s="212"/>
      <c r="O8" s="213"/>
      <c r="P8" s="20" t="s">
        <v>129</v>
      </c>
      <c r="Q8" s="21"/>
      <c r="R8" s="10"/>
      <c r="U8"/>
      <c r="V8" s="59"/>
      <c r="W8" s="6"/>
      <c r="X8" s="22"/>
      <c r="Y8" s="22"/>
      <c r="Z8" s="22"/>
      <c r="AA8" s="22"/>
    </row>
    <row r="9" spans="1:27" ht="15.6" customHeight="1" x14ac:dyDescent="0.3">
      <c r="A9" s="9"/>
      <c r="B9" s="229" t="s">
        <v>44</v>
      </c>
      <c r="C9" s="231" t="s">
        <v>45</v>
      </c>
      <c r="D9" s="231"/>
      <c r="E9" s="232" t="s">
        <v>46</v>
      </c>
      <c r="F9" s="233"/>
      <c r="G9" s="236" t="s">
        <v>61</v>
      </c>
      <c r="H9" s="231" t="s">
        <v>47</v>
      </c>
      <c r="I9" s="23"/>
      <c r="J9" s="24" t="s">
        <v>137</v>
      </c>
      <c r="K9" s="24" t="s">
        <v>137</v>
      </c>
      <c r="L9" s="24" t="s">
        <v>137</v>
      </c>
      <c r="M9" s="24" t="s">
        <v>137</v>
      </c>
      <c r="N9" s="24" t="s">
        <v>137</v>
      </c>
      <c r="O9" s="24" t="s">
        <v>137</v>
      </c>
      <c r="P9" s="232" t="s">
        <v>48</v>
      </c>
      <c r="Q9" s="238"/>
      <c r="R9" s="10"/>
      <c r="U9"/>
      <c r="V9" s="59"/>
      <c r="W9" s="6"/>
      <c r="X9" s="22"/>
      <c r="Y9" s="22"/>
      <c r="Z9" s="22"/>
      <c r="AA9" s="22"/>
    </row>
    <row r="10" spans="1:27" ht="17.399999999999999" customHeight="1" x14ac:dyDescent="0.3">
      <c r="A10" s="9"/>
      <c r="B10" s="230"/>
      <c r="C10" s="231"/>
      <c r="D10" s="231"/>
      <c r="E10" s="234"/>
      <c r="F10" s="235"/>
      <c r="G10" s="237"/>
      <c r="H10" s="231"/>
      <c r="I10" s="25"/>
      <c r="J10" s="26" t="s">
        <v>51</v>
      </c>
      <c r="K10" s="26" t="s">
        <v>66</v>
      </c>
      <c r="L10" s="26"/>
      <c r="M10" s="26">
        <v>0</v>
      </c>
      <c r="N10" s="26">
        <v>1</v>
      </c>
      <c r="O10" s="26">
        <v>2</v>
      </c>
      <c r="P10" s="234"/>
      <c r="Q10" s="239"/>
      <c r="R10" s="10"/>
      <c r="U10"/>
      <c r="V10" s="59"/>
      <c r="W10" s="11"/>
      <c r="X10" s="22"/>
      <c r="Y10" s="22"/>
      <c r="Z10" s="22"/>
      <c r="AA10" s="22"/>
    </row>
    <row r="11" spans="1:27" ht="12" customHeight="1" x14ac:dyDescent="0.3">
      <c r="A11" s="30"/>
      <c r="B11" s="241"/>
      <c r="C11" s="243"/>
      <c r="D11" s="244"/>
      <c r="E11" s="247"/>
      <c r="F11" s="248"/>
      <c r="G11" s="223"/>
      <c r="H11" s="223"/>
      <c r="I11" s="27"/>
      <c r="J11" s="28"/>
      <c r="K11" s="28"/>
      <c r="L11" s="28"/>
      <c r="M11" s="28"/>
      <c r="N11" s="28"/>
      <c r="O11" s="28"/>
      <c r="P11" s="225"/>
      <c r="Q11" s="226"/>
      <c r="R11" s="31"/>
    </row>
    <row r="12" spans="1:27" ht="12" customHeight="1" x14ac:dyDescent="0.3">
      <c r="A12" s="30"/>
      <c r="B12" s="241"/>
      <c r="C12" s="245"/>
      <c r="D12" s="246"/>
      <c r="E12" s="249"/>
      <c r="F12" s="250"/>
      <c r="G12" s="223"/>
      <c r="H12" s="223"/>
      <c r="I12" s="27"/>
      <c r="J12" s="28"/>
      <c r="K12" s="28"/>
      <c r="L12" s="28"/>
      <c r="M12" s="28"/>
      <c r="N12" s="28"/>
      <c r="O12" s="28"/>
      <c r="P12" s="227"/>
      <c r="Q12" s="228"/>
      <c r="R12" s="31"/>
    </row>
    <row r="13" spans="1:27" ht="12" customHeight="1" x14ac:dyDescent="0.3">
      <c r="A13" s="30"/>
      <c r="B13" s="241"/>
      <c r="C13" s="245"/>
      <c r="D13" s="246"/>
      <c r="E13" s="249"/>
      <c r="F13" s="250"/>
      <c r="G13" s="223"/>
      <c r="H13" s="223"/>
      <c r="I13" s="27"/>
      <c r="J13" s="28"/>
      <c r="K13" s="28"/>
      <c r="L13" s="28"/>
      <c r="M13" s="28"/>
      <c r="N13" s="28"/>
      <c r="O13" s="28"/>
      <c r="P13" s="227"/>
      <c r="Q13" s="228"/>
      <c r="R13" s="31"/>
    </row>
    <row r="14" spans="1:27" ht="12" customHeight="1" x14ac:dyDescent="0.3">
      <c r="A14" s="30"/>
      <c r="B14" s="241"/>
      <c r="C14" s="245"/>
      <c r="D14" s="246"/>
      <c r="E14" s="249"/>
      <c r="F14" s="250"/>
      <c r="G14" s="223"/>
      <c r="H14" s="223"/>
      <c r="I14" s="27"/>
      <c r="J14" s="28"/>
      <c r="K14" s="28"/>
      <c r="L14" s="28"/>
      <c r="M14" s="28"/>
      <c r="N14" s="28"/>
      <c r="O14" s="28"/>
      <c r="P14" s="227"/>
      <c r="Q14" s="228"/>
      <c r="R14" s="31"/>
    </row>
    <row r="15" spans="1:27" ht="12" customHeight="1" x14ac:dyDescent="0.3">
      <c r="A15" s="30"/>
      <c r="B15" s="241"/>
      <c r="C15" s="245"/>
      <c r="D15" s="246"/>
      <c r="E15" s="249"/>
      <c r="F15" s="250"/>
      <c r="G15" s="223"/>
      <c r="H15" s="223"/>
      <c r="I15" s="27"/>
      <c r="J15" s="28"/>
      <c r="K15" s="28"/>
      <c r="L15" s="28"/>
      <c r="M15" s="28"/>
      <c r="N15" s="28"/>
      <c r="O15" s="28"/>
      <c r="P15" s="227"/>
      <c r="Q15" s="228"/>
      <c r="R15" s="31"/>
    </row>
    <row r="16" spans="1:27" ht="12" customHeight="1" x14ac:dyDescent="0.3">
      <c r="A16" s="30"/>
      <c r="B16" s="242"/>
      <c r="C16" s="245"/>
      <c r="D16" s="246"/>
      <c r="E16" s="249"/>
      <c r="F16" s="250"/>
      <c r="G16" s="224"/>
      <c r="H16" s="224"/>
      <c r="I16" s="32"/>
      <c r="J16" s="33"/>
      <c r="K16" s="33"/>
      <c r="L16" s="33"/>
      <c r="M16" s="33"/>
      <c r="N16" s="33"/>
      <c r="O16" s="33"/>
      <c r="P16" s="227"/>
      <c r="Q16" s="228"/>
      <c r="R16" s="31"/>
    </row>
    <row r="17" spans="1:18" ht="12" customHeight="1" x14ac:dyDescent="0.3">
      <c r="A17" s="30"/>
      <c r="B17" s="34"/>
      <c r="C17" s="34"/>
      <c r="D17" s="34"/>
      <c r="E17" s="35"/>
      <c r="F17" s="35"/>
      <c r="G17" s="36"/>
      <c r="H17" s="36"/>
      <c r="I17" s="37"/>
      <c r="J17" s="38"/>
      <c r="K17" s="38"/>
      <c r="L17" s="38"/>
      <c r="M17" s="38"/>
      <c r="N17" s="38"/>
      <c r="O17" s="38"/>
      <c r="P17" s="39"/>
      <c r="Q17" s="39"/>
      <c r="R17" s="31"/>
    </row>
    <row r="18" spans="1:18" s="54" customFormat="1" ht="14.1" customHeight="1" x14ac:dyDescent="0.3">
      <c r="A18" s="61"/>
      <c r="B18" s="40"/>
      <c r="C18" s="40"/>
      <c r="D18" s="40"/>
      <c r="E18" s="41"/>
      <c r="F18" s="41"/>
      <c r="G18" s="42"/>
      <c r="H18" s="42"/>
      <c r="I18" s="43"/>
      <c r="J18" s="44"/>
      <c r="K18" s="44"/>
      <c r="L18" s="44"/>
      <c r="M18" s="44"/>
      <c r="N18" s="44"/>
      <c r="O18" s="44"/>
      <c r="P18" s="45"/>
      <c r="Q18" s="45"/>
      <c r="R18" s="62"/>
    </row>
    <row r="19" spans="1:18" ht="12" customHeight="1" x14ac:dyDescent="0.3">
      <c r="A19" s="30"/>
      <c r="B19" s="40"/>
      <c r="C19" s="240" t="s">
        <v>135</v>
      </c>
      <c r="D19" s="240"/>
      <c r="E19" s="41"/>
      <c r="F19" s="41"/>
      <c r="G19" s="42"/>
      <c r="H19" s="42"/>
      <c r="I19" s="43"/>
      <c r="J19" s="44"/>
      <c r="K19" s="44"/>
      <c r="L19" s="44"/>
      <c r="M19" s="38"/>
      <c r="N19" s="118" t="s">
        <v>136</v>
      </c>
      <c r="O19" s="38"/>
      <c r="P19" s="45"/>
      <c r="Q19" s="45"/>
      <c r="R19" s="31"/>
    </row>
    <row r="20" spans="1:18" ht="12" customHeight="1" x14ac:dyDescent="0.3">
      <c r="A20" s="46"/>
      <c r="B20" s="47"/>
      <c r="C20" s="47"/>
      <c r="D20" s="47"/>
      <c r="E20" s="48"/>
      <c r="F20" s="48"/>
      <c r="G20" s="49"/>
      <c r="H20" s="49"/>
      <c r="I20" s="50"/>
      <c r="J20" s="51"/>
      <c r="K20" s="51"/>
      <c r="L20" s="51"/>
      <c r="M20" s="51"/>
      <c r="N20" s="51"/>
      <c r="O20" s="51"/>
      <c r="P20" s="52"/>
      <c r="Q20" s="52"/>
      <c r="R20" s="53"/>
    </row>
    <row r="21" spans="1:18" ht="15.9" customHeight="1" x14ac:dyDescent="0.3">
      <c r="B21" s="40"/>
      <c r="C21" s="40"/>
      <c r="D21" s="40"/>
      <c r="E21" s="41"/>
      <c r="F21" s="41"/>
      <c r="G21" s="42"/>
      <c r="H21" s="42"/>
      <c r="I21" s="43"/>
      <c r="J21" s="44"/>
      <c r="K21" s="44"/>
      <c r="L21" s="44"/>
      <c r="M21" s="44"/>
      <c r="N21" s="44"/>
      <c r="O21" s="44"/>
      <c r="P21" s="45"/>
      <c r="Q21" s="45"/>
    </row>
    <row r="22" spans="1:18" ht="15.9" customHeight="1" x14ac:dyDescent="0.3">
      <c r="B22" s="40"/>
      <c r="C22" s="40"/>
      <c r="D22" s="40"/>
      <c r="E22" s="41"/>
      <c r="F22" s="41"/>
      <c r="G22" s="42"/>
      <c r="H22" s="42"/>
      <c r="I22" s="43"/>
      <c r="J22" s="63"/>
      <c r="K22" s="63"/>
      <c r="L22" s="63"/>
      <c r="M22" s="63"/>
      <c r="N22" s="63"/>
      <c r="O22" s="63"/>
      <c r="P22" s="45"/>
      <c r="Q22" s="45"/>
    </row>
    <row r="23" spans="1:18" ht="15.9" customHeight="1" x14ac:dyDescent="0.3"/>
    <row r="24" spans="1:18" ht="15.9" customHeight="1" x14ac:dyDescent="0.3"/>
    <row r="25" spans="1:18" ht="15.9" customHeight="1" x14ac:dyDescent="0.3"/>
    <row r="26" spans="1:18" ht="15.9" customHeight="1" x14ac:dyDescent="0.3"/>
    <row r="27" spans="1:18" ht="15.9" customHeight="1" x14ac:dyDescent="0.3"/>
    <row r="28" spans="1:18" ht="15.9" customHeight="1" x14ac:dyDescent="0.3"/>
    <row r="29" spans="1:18" ht="15.9" customHeight="1" x14ac:dyDescent="0.3"/>
    <row r="30" spans="1:18" ht="15.9" customHeight="1" x14ac:dyDescent="0.3"/>
    <row r="31" spans="1:18" ht="15.9" customHeight="1" x14ac:dyDescent="0.3"/>
    <row r="32" spans="1:18" ht="15.9" customHeight="1" x14ac:dyDescent="0.3"/>
    <row r="33" ht="15.9" customHeight="1" x14ac:dyDescent="0.3"/>
    <row r="34" ht="15.9" customHeight="1" x14ac:dyDescent="0.3"/>
    <row r="35" ht="15.9" customHeight="1" x14ac:dyDescent="0.3"/>
    <row r="36" ht="15.9" customHeight="1" x14ac:dyDescent="0.3"/>
    <row r="37" ht="15.9" customHeight="1" x14ac:dyDescent="0.3"/>
    <row r="38" ht="15.9" customHeight="1" x14ac:dyDescent="0.3"/>
    <row r="39" ht="15.9" customHeight="1" x14ac:dyDescent="0.3"/>
    <row r="40" ht="15.9" customHeight="1" x14ac:dyDescent="0.3"/>
    <row r="41" ht="15.9" customHeight="1" x14ac:dyDescent="0.3"/>
    <row r="42" ht="15.9" customHeight="1" x14ac:dyDescent="0.3"/>
    <row r="43" ht="15.9" customHeight="1" x14ac:dyDescent="0.3"/>
    <row r="44" ht="15.9" customHeight="1" x14ac:dyDescent="0.3"/>
    <row r="45" ht="15.9" customHeight="1" x14ac:dyDescent="0.3"/>
    <row r="46" ht="15.9" customHeight="1" x14ac:dyDescent="0.3"/>
    <row r="47" ht="15.9" customHeight="1" x14ac:dyDescent="0.3"/>
    <row r="48" ht="15.9" customHeight="1" x14ac:dyDescent="0.3"/>
    <row r="49" ht="15.9" customHeight="1" x14ac:dyDescent="0.3"/>
    <row r="50" ht="15.9" customHeight="1" x14ac:dyDescent="0.3"/>
    <row r="51" ht="15.9" customHeight="1" x14ac:dyDescent="0.3"/>
    <row r="52" ht="15.9" customHeight="1" x14ac:dyDescent="0.3"/>
    <row r="53" ht="15.9" customHeight="1" x14ac:dyDescent="0.3"/>
    <row r="54" ht="15.9" customHeight="1" x14ac:dyDescent="0.3"/>
    <row r="55" ht="15.9" customHeight="1" x14ac:dyDescent="0.3"/>
    <row r="56" ht="15.9" customHeight="1" x14ac:dyDescent="0.3"/>
    <row r="57" ht="15.9" customHeight="1" x14ac:dyDescent="0.3"/>
    <row r="58" ht="15.9" customHeight="1" x14ac:dyDescent="0.3"/>
    <row r="59" ht="15.9" customHeight="1" x14ac:dyDescent="0.3"/>
    <row r="60" ht="15.9" customHeight="1" x14ac:dyDescent="0.3"/>
    <row r="61" ht="15.9" customHeight="1" x14ac:dyDescent="0.3"/>
    <row r="62" ht="15.9" customHeight="1" x14ac:dyDescent="0.3"/>
    <row r="63" ht="15.9" customHeight="1" x14ac:dyDescent="0.3"/>
    <row r="64" ht="15.9" customHeight="1" x14ac:dyDescent="0.3"/>
    <row r="65" ht="15.9" customHeight="1" x14ac:dyDescent="0.3"/>
    <row r="66" ht="15.9" customHeight="1" x14ac:dyDescent="0.3"/>
    <row r="67" ht="15.9" customHeight="1" x14ac:dyDescent="0.3"/>
    <row r="68" ht="15.9" customHeight="1" x14ac:dyDescent="0.3"/>
    <row r="69" ht="15.9" customHeight="1" x14ac:dyDescent="0.3"/>
    <row r="70" ht="15.9" customHeight="1" x14ac:dyDescent="0.3"/>
    <row r="71" ht="15.9" customHeight="1" x14ac:dyDescent="0.3"/>
    <row r="72" ht="15.9" customHeight="1" x14ac:dyDescent="0.3"/>
    <row r="73" ht="15.9" customHeight="1" x14ac:dyDescent="0.3"/>
    <row r="74" ht="15.9" customHeight="1" x14ac:dyDescent="0.3"/>
    <row r="75" ht="15.9" customHeight="1" x14ac:dyDescent="0.3"/>
    <row r="76" ht="15.9" customHeight="1" x14ac:dyDescent="0.3"/>
    <row r="77" ht="15.9" customHeight="1" x14ac:dyDescent="0.3"/>
    <row r="78" ht="15.9" customHeight="1" x14ac:dyDescent="0.3"/>
    <row r="79" ht="15.9" customHeight="1" x14ac:dyDescent="0.3"/>
    <row r="80" ht="15.9" customHeight="1" x14ac:dyDescent="0.3"/>
    <row r="81" ht="15.9" customHeight="1" x14ac:dyDescent="0.3"/>
    <row r="82" ht="15.9" customHeight="1" x14ac:dyDescent="0.3"/>
    <row r="83" ht="15.9" customHeight="1" x14ac:dyDescent="0.3"/>
    <row r="84" ht="15.9" customHeight="1" x14ac:dyDescent="0.3"/>
    <row r="85" ht="15.9" customHeight="1" x14ac:dyDescent="0.3"/>
    <row r="86" ht="15.9" customHeight="1" x14ac:dyDescent="0.3"/>
    <row r="87" ht="15.9" customHeight="1" x14ac:dyDescent="0.3"/>
    <row r="88" ht="15.9" customHeight="1" x14ac:dyDescent="0.3"/>
    <row r="89" ht="15.9" customHeight="1" x14ac:dyDescent="0.3"/>
    <row r="90" ht="15.9" customHeight="1" x14ac:dyDescent="0.3"/>
    <row r="91" ht="15.9" customHeight="1" x14ac:dyDescent="0.3"/>
    <row r="92" ht="15.9" customHeight="1" x14ac:dyDescent="0.3"/>
    <row r="93" ht="15.9" customHeight="1" x14ac:dyDescent="0.3"/>
    <row r="94" ht="15.9" customHeight="1" x14ac:dyDescent="0.3"/>
    <row r="95" ht="15.9" customHeight="1" x14ac:dyDescent="0.3"/>
    <row r="96" ht="15.9" customHeight="1" x14ac:dyDescent="0.3"/>
    <row r="97" ht="15.9" customHeight="1" x14ac:dyDescent="0.3"/>
    <row r="98" ht="15.9" customHeight="1" x14ac:dyDescent="0.3"/>
    <row r="99" ht="15.9" customHeight="1" x14ac:dyDescent="0.3"/>
    <row r="100" ht="15.9" customHeight="1" x14ac:dyDescent="0.3"/>
    <row r="101" ht="15.9" customHeight="1" x14ac:dyDescent="0.3"/>
    <row r="102" ht="15.9" customHeight="1" x14ac:dyDescent="0.3"/>
    <row r="103" ht="15.9" customHeight="1" x14ac:dyDescent="0.3"/>
    <row r="104" ht="15.9" customHeight="1" x14ac:dyDescent="0.3"/>
    <row r="105" ht="15.9" customHeight="1" x14ac:dyDescent="0.3"/>
    <row r="106" ht="15.9" customHeight="1" x14ac:dyDescent="0.3"/>
    <row r="107" ht="15.9" customHeight="1" x14ac:dyDescent="0.3"/>
    <row r="108" ht="15.9" customHeight="1" x14ac:dyDescent="0.3"/>
    <row r="109" ht="15.9" customHeight="1" x14ac:dyDescent="0.3"/>
    <row r="110" ht="15.9" customHeight="1" x14ac:dyDescent="0.3"/>
    <row r="111" ht="15.9" customHeight="1" x14ac:dyDescent="0.3"/>
    <row r="112" ht="15.9" customHeight="1" x14ac:dyDescent="0.3"/>
    <row r="113" ht="15.9" customHeight="1" x14ac:dyDescent="0.3"/>
    <row r="114" ht="15.9" customHeight="1" x14ac:dyDescent="0.3"/>
    <row r="115" ht="15.9" customHeight="1" x14ac:dyDescent="0.3"/>
    <row r="116" ht="15.9" customHeight="1" x14ac:dyDescent="0.3"/>
    <row r="117" ht="15.9" customHeight="1" x14ac:dyDescent="0.3"/>
    <row r="118" ht="15.9" customHeight="1" x14ac:dyDescent="0.3"/>
    <row r="119" ht="15.9" customHeight="1" x14ac:dyDescent="0.3"/>
    <row r="120" ht="15.9" customHeight="1" x14ac:dyDescent="0.3"/>
    <row r="121" ht="15.9" customHeight="1" x14ac:dyDescent="0.3"/>
    <row r="122" ht="15.9" customHeight="1" x14ac:dyDescent="0.3"/>
    <row r="123" ht="15.9" customHeight="1" x14ac:dyDescent="0.3"/>
    <row r="124" ht="15.9" customHeight="1" x14ac:dyDescent="0.3"/>
    <row r="125" ht="15.9" customHeight="1" x14ac:dyDescent="0.3"/>
    <row r="126" ht="15.9" customHeight="1" x14ac:dyDescent="0.3"/>
    <row r="127" ht="15.9" customHeight="1" x14ac:dyDescent="0.3"/>
    <row r="128" ht="15.9" customHeight="1" x14ac:dyDescent="0.3"/>
    <row r="129" ht="15.9" customHeight="1" x14ac:dyDescent="0.3"/>
    <row r="130" ht="15.9" customHeight="1" x14ac:dyDescent="0.3"/>
    <row r="131" ht="15.9" customHeight="1" x14ac:dyDescent="0.3"/>
    <row r="132" ht="15.9" customHeight="1" x14ac:dyDescent="0.3"/>
    <row r="133" ht="15.9" customHeight="1" x14ac:dyDescent="0.3"/>
    <row r="134" ht="15.9" customHeight="1" x14ac:dyDescent="0.3"/>
    <row r="135" ht="15.9" customHeight="1" x14ac:dyDescent="0.3"/>
    <row r="136" ht="15.9" customHeight="1" x14ac:dyDescent="0.3"/>
    <row r="137" ht="15.9" customHeight="1" x14ac:dyDescent="0.3"/>
    <row r="138" ht="15.9" customHeight="1" x14ac:dyDescent="0.3"/>
    <row r="139" ht="15.9" customHeight="1" x14ac:dyDescent="0.3"/>
    <row r="140" ht="15.9" customHeight="1" x14ac:dyDescent="0.3"/>
    <row r="141" ht="15.9" customHeight="1" x14ac:dyDescent="0.3"/>
    <row r="142" ht="15.9" customHeight="1" x14ac:dyDescent="0.3"/>
    <row r="143" ht="15.9" customHeight="1" x14ac:dyDescent="0.3"/>
    <row r="144" ht="15.9" customHeight="1" x14ac:dyDescent="0.3"/>
    <row r="145" ht="15.9" customHeight="1" x14ac:dyDescent="0.3"/>
    <row r="146" ht="15.9" customHeight="1" x14ac:dyDescent="0.3"/>
    <row r="147" ht="15.9" customHeight="1" x14ac:dyDescent="0.3"/>
    <row r="148" ht="15.9" customHeight="1" x14ac:dyDescent="0.3"/>
    <row r="149" ht="15.9" customHeight="1" x14ac:dyDescent="0.3"/>
    <row r="150" ht="15.9" customHeight="1" x14ac:dyDescent="0.3"/>
    <row r="151" ht="15.9" customHeight="1" x14ac:dyDescent="0.3"/>
    <row r="152" ht="15.9" customHeight="1" x14ac:dyDescent="0.3"/>
    <row r="153" ht="15.9" customHeight="1" x14ac:dyDescent="0.3"/>
    <row r="154" ht="15.9" customHeight="1" x14ac:dyDescent="0.3"/>
    <row r="155" ht="15.9" customHeight="1" x14ac:dyDescent="0.3"/>
    <row r="156" ht="15.9" customHeight="1" x14ac:dyDescent="0.3"/>
    <row r="157" ht="15.9" customHeight="1" x14ac:dyDescent="0.3"/>
    <row r="158" ht="15.9" customHeight="1" x14ac:dyDescent="0.3"/>
    <row r="159" ht="15.9" customHeight="1" x14ac:dyDescent="0.3"/>
    <row r="160" ht="15.9" customHeight="1" x14ac:dyDescent="0.3"/>
    <row r="161" ht="15.9" customHeight="1" x14ac:dyDescent="0.3"/>
    <row r="162" ht="15.9" customHeight="1" x14ac:dyDescent="0.3"/>
    <row r="163" ht="15.9" customHeight="1" x14ac:dyDescent="0.3"/>
    <row r="164" ht="15.9" customHeight="1" x14ac:dyDescent="0.3"/>
    <row r="165" ht="15.9" customHeight="1" x14ac:dyDescent="0.3"/>
    <row r="166" ht="15.9" customHeight="1" x14ac:dyDescent="0.3"/>
    <row r="167" ht="15.9" customHeight="1" x14ac:dyDescent="0.3"/>
    <row r="168" ht="15.9" customHeight="1" x14ac:dyDescent="0.3"/>
    <row r="169" ht="15.9" customHeight="1" x14ac:dyDescent="0.3"/>
    <row r="170" ht="15.9" customHeight="1" x14ac:dyDescent="0.3"/>
    <row r="171" ht="15.9" customHeight="1" x14ac:dyDescent="0.3"/>
    <row r="172" ht="15.9" customHeight="1" x14ac:dyDescent="0.3"/>
    <row r="173" ht="15.9" customHeight="1" x14ac:dyDescent="0.3"/>
    <row r="174" ht="15.9" customHeight="1" x14ac:dyDescent="0.3"/>
    <row r="175" ht="15.9" customHeight="1" x14ac:dyDescent="0.3"/>
    <row r="176" ht="15.9" customHeight="1" x14ac:dyDescent="0.3"/>
    <row r="177" ht="15.9" customHeight="1" x14ac:dyDescent="0.3"/>
    <row r="178" ht="15.9" customHeight="1" x14ac:dyDescent="0.3"/>
    <row r="179" ht="15.9" customHeight="1" x14ac:dyDescent="0.3"/>
    <row r="180" ht="15.9" customHeight="1" x14ac:dyDescent="0.3"/>
    <row r="181" ht="15.9" customHeight="1" x14ac:dyDescent="0.3"/>
    <row r="182" ht="15.9" customHeight="1" x14ac:dyDescent="0.3"/>
    <row r="183" ht="15.9" customHeight="1" x14ac:dyDescent="0.3"/>
    <row r="184" ht="15.9" customHeight="1" x14ac:dyDescent="0.3"/>
    <row r="185" ht="15.9" customHeight="1" x14ac:dyDescent="0.3"/>
    <row r="186" ht="15.9" customHeight="1" x14ac:dyDescent="0.3"/>
    <row r="187" ht="15.9" customHeight="1" x14ac:dyDescent="0.3"/>
    <row r="188" ht="15.9" customHeight="1" x14ac:dyDescent="0.3"/>
    <row r="189" ht="15.9" customHeight="1" x14ac:dyDescent="0.3"/>
    <row r="190" ht="15.9" customHeight="1" x14ac:dyDescent="0.3"/>
    <row r="191" ht="15.9" customHeight="1" x14ac:dyDescent="0.3"/>
    <row r="192" ht="15.9" customHeight="1" x14ac:dyDescent="0.3"/>
    <row r="193" ht="15.9" customHeight="1" x14ac:dyDescent="0.3"/>
    <row r="194" ht="15.9" customHeight="1" x14ac:dyDescent="0.3"/>
    <row r="195" ht="15.9" customHeight="1" x14ac:dyDescent="0.3"/>
    <row r="196" ht="15.9" customHeight="1" x14ac:dyDescent="0.3"/>
    <row r="197" ht="15.9" customHeight="1" x14ac:dyDescent="0.3"/>
    <row r="198" ht="15.9" customHeight="1" x14ac:dyDescent="0.3"/>
    <row r="199" ht="15.9" customHeight="1" x14ac:dyDescent="0.3"/>
    <row r="200" ht="15.9" customHeight="1" x14ac:dyDescent="0.3"/>
    <row r="201" ht="15.9" customHeight="1" x14ac:dyDescent="0.3"/>
    <row r="202" ht="15.9" customHeight="1" x14ac:dyDescent="0.3"/>
    <row r="203" ht="15.9" customHeight="1" x14ac:dyDescent="0.3"/>
    <row r="204" ht="15.9" customHeight="1" x14ac:dyDescent="0.3"/>
    <row r="205" ht="15.9" customHeight="1" x14ac:dyDescent="0.3"/>
    <row r="206" ht="15.9" customHeight="1" x14ac:dyDescent="0.3"/>
    <row r="207" ht="15.9" customHeight="1" x14ac:dyDescent="0.3"/>
    <row r="208" ht="15.9" customHeight="1" x14ac:dyDescent="0.3"/>
    <row r="209" ht="15.9" customHeight="1" x14ac:dyDescent="0.3"/>
    <row r="210" ht="15.9" customHeight="1" x14ac:dyDescent="0.3"/>
    <row r="211" ht="15.9" customHeight="1" x14ac:dyDescent="0.3"/>
    <row r="212" ht="15.9" customHeight="1" x14ac:dyDescent="0.3"/>
    <row r="213" ht="15.9" customHeight="1" x14ac:dyDescent="0.3"/>
    <row r="214" ht="15.9" customHeight="1" x14ac:dyDescent="0.3"/>
    <row r="215" ht="15.9" customHeight="1" x14ac:dyDescent="0.3"/>
    <row r="216" ht="15.9" customHeight="1" x14ac:dyDescent="0.3"/>
    <row r="217" ht="15.9" customHeight="1" x14ac:dyDescent="0.3"/>
    <row r="218" ht="15.9" customHeight="1" x14ac:dyDescent="0.3"/>
    <row r="219" ht="15.9" customHeight="1" x14ac:dyDescent="0.3"/>
    <row r="220" ht="15.9" customHeight="1" x14ac:dyDescent="0.3"/>
    <row r="221" ht="15.9" customHeight="1" x14ac:dyDescent="0.3"/>
    <row r="222" ht="15.9" customHeight="1" x14ac:dyDescent="0.3"/>
    <row r="223" ht="15.9" customHeight="1" x14ac:dyDescent="0.3"/>
    <row r="224" ht="15.9" customHeight="1" x14ac:dyDescent="0.3"/>
    <row r="225" ht="15.9" customHeight="1" x14ac:dyDescent="0.3"/>
    <row r="226" ht="15.9" customHeight="1" x14ac:dyDescent="0.3"/>
    <row r="227" ht="15.9" customHeight="1" x14ac:dyDescent="0.3"/>
    <row r="228" ht="15.9" customHeight="1" x14ac:dyDescent="0.3"/>
    <row r="229" ht="15.9" customHeight="1" x14ac:dyDescent="0.3"/>
    <row r="230" ht="15.9" customHeight="1" x14ac:dyDescent="0.3"/>
    <row r="231" ht="15.9" customHeight="1" x14ac:dyDescent="0.3"/>
    <row r="232" ht="15.9" customHeight="1" x14ac:dyDescent="0.3"/>
    <row r="233" ht="15.9" customHeight="1" x14ac:dyDescent="0.3"/>
    <row r="234" ht="15.9" customHeight="1" x14ac:dyDescent="0.3"/>
    <row r="235" ht="15.9" customHeight="1" x14ac:dyDescent="0.3"/>
    <row r="236" ht="15.9" customHeight="1" x14ac:dyDescent="0.3"/>
    <row r="237" ht="15.9" customHeight="1" x14ac:dyDescent="0.3"/>
    <row r="238" ht="15.9" customHeight="1" x14ac:dyDescent="0.3"/>
    <row r="239" ht="15.9" customHeight="1" x14ac:dyDescent="0.3"/>
    <row r="240" ht="15.9" customHeight="1" x14ac:dyDescent="0.3"/>
    <row r="241" ht="15.9" customHeight="1" x14ac:dyDescent="0.3"/>
    <row r="242" ht="15.9" customHeight="1" x14ac:dyDescent="0.3"/>
    <row r="243" ht="15.9" customHeight="1" x14ac:dyDescent="0.3"/>
    <row r="244" ht="15.9" customHeight="1" x14ac:dyDescent="0.3"/>
    <row r="245" ht="15.9" customHeight="1" x14ac:dyDescent="0.3"/>
    <row r="246" ht="15.9" customHeight="1" x14ac:dyDescent="0.3"/>
    <row r="247" ht="15.9" customHeight="1" x14ac:dyDescent="0.3"/>
    <row r="248" ht="15.9" customHeight="1" x14ac:dyDescent="0.3"/>
    <row r="249" ht="15.9" customHeight="1" x14ac:dyDescent="0.3"/>
    <row r="250" ht="15.9" customHeight="1" x14ac:dyDescent="0.3"/>
    <row r="251" ht="15.9" customHeight="1" x14ac:dyDescent="0.3"/>
    <row r="252" ht="15.9" customHeight="1" x14ac:dyDescent="0.3"/>
    <row r="253" ht="15.9" customHeight="1" x14ac:dyDescent="0.3"/>
    <row r="254" ht="15.9" customHeight="1" x14ac:dyDescent="0.3"/>
    <row r="255" ht="15.9" customHeight="1" x14ac:dyDescent="0.3"/>
    <row r="256" ht="15.9" customHeight="1" x14ac:dyDescent="0.3"/>
    <row r="257" ht="15.9" customHeight="1" x14ac:dyDescent="0.3"/>
    <row r="258" ht="15.9" customHeight="1" x14ac:dyDescent="0.3"/>
    <row r="259" ht="15.9" customHeight="1" x14ac:dyDescent="0.3"/>
    <row r="260" ht="15.9" customHeight="1" x14ac:dyDescent="0.3"/>
    <row r="261" ht="15.9" customHeight="1" x14ac:dyDescent="0.3"/>
    <row r="262" ht="15.9" customHeight="1" x14ac:dyDescent="0.3"/>
    <row r="263" ht="15.9" customHeight="1" x14ac:dyDescent="0.3"/>
    <row r="264" ht="15.9" customHeight="1" x14ac:dyDescent="0.3"/>
    <row r="265" ht="15.9" customHeight="1" x14ac:dyDescent="0.3"/>
    <row r="266" ht="15.9" customHeight="1" x14ac:dyDescent="0.3"/>
    <row r="267" ht="15.9" customHeight="1" x14ac:dyDescent="0.3"/>
    <row r="268" ht="15.9" customHeight="1" x14ac:dyDescent="0.3"/>
    <row r="269" ht="15.9" customHeight="1" x14ac:dyDescent="0.3"/>
    <row r="270" ht="15.9" customHeight="1" x14ac:dyDescent="0.3"/>
    <row r="271" ht="15.9" customHeight="1" x14ac:dyDescent="0.3"/>
    <row r="272" ht="15.9" customHeight="1" x14ac:dyDescent="0.3"/>
    <row r="273" ht="15.9" customHeight="1" x14ac:dyDescent="0.3"/>
    <row r="274" ht="15.9" customHeight="1" x14ac:dyDescent="0.3"/>
    <row r="275" ht="15.9" customHeight="1" x14ac:dyDescent="0.3"/>
    <row r="276" ht="15.9" customHeight="1" x14ac:dyDescent="0.3"/>
    <row r="277" ht="15.9" customHeight="1" x14ac:dyDescent="0.3"/>
    <row r="278" ht="15.9" customHeight="1" x14ac:dyDescent="0.3"/>
    <row r="279" ht="15.9" customHeight="1" x14ac:dyDescent="0.3"/>
    <row r="280" ht="15.9" customHeight="1" x14ac:dyDescent="0.3"/>
    <row r="281" ht="15.9" customHeight="1" x14ac:dyDescent="0.3"/>
    <row r="282" ht="15.9" customHeight="1" x14ac:dyDescent="0.3"/>
    <row r="283" ht="15.9" customHeight="1" x14ac:dyDescent="0.3"/>
    <row r="284" ht="15.9" customHeight="1" x14ac:dyDescent="0.3"/>
    <row r="285" ht="15.9" customHeight="1" x14ac:dyDescent="0.3"/>
    <row r="286" ht="15.9" customHeight="1" x14ac:dyDescent="0.3"/>
    <row r="287" ht="15.9" customHeight="1" x14ac:dyDescent="0.3"/>
    <row r="288" ht="15.9" customHeight="1" x14ac:dyDescent="0.3"/>
    <row r="289" ht="15.9" customHeight="1" x14ac:dyDescent="0.3"/>
    <row r="290" ht="15.9" customHeight="1" x14ac:dyDescent="0.3"/>
    <row r="291" ht="15.9" customHeight="1" x14ac:dyDescent="0.3"/>
    <row r="292" ht="15.9" customHeight="1" x14ac:dyDescent="0.3"/>
    <row r="293" ht="15.9" customHeight="1" x14ac:dyDescent="0.3"/>
    <row r="294" ht="15.9" customHeight="1" x14ac:dyDescent="0.3"/>
    <row r="295" ht="15.9" customHeight="1" x14ac:dyDescent="0.3"/>
    <row r="296" ht="15.9" customHeight="1" x14ac:dyDescent="0.3"/>
    <row r="297" ht="15.9" customHeight="1" x14ac:dyDescent="0.3"/>
    <row r="298" ht="15.9" customHeight="1" x14ac:dyDescent="0.3"/>
    <row r="299" ht="15.9" customHeight="1" x14ac:dyDescent="0.3"/>
    <row r="300" ht="15.9" customHeight="1" x14ac:dyDescent="0.3"/>
    <row r="301" ht="15.9" customHeight="1" x14ac:dyDescent="0.3"/>
    <row r="302" ht="15.9" customHeight="1" x14ac:dyDescent="0.3"/>
    <row r="303" ht="15.9" customHeight="1" x14ac:dyDescent="0.3"/>
    <row r="304" ht="15.9" customHeight="1" x14ac:dyDescent="0.3"/>
    <row r="305" ht="15.9" customHeight="1" x14ac:dyDescent="0.3"/>
    <row r="306" ht="15.9" customHeight="1" x14ac:dyDescent="0.3"/>
    <row r="307" ht="15.9" customHeight="1" x14ac:dyDescent="0.3"/>
    <row r="308" ht="15.9" customHeight="1" x14ac:dyDescent="0.3"/>
    <row r="309" ht="15.9" customHeight="1" x14ac:dyDescent="0.3"/>
    <row r="310" ht="15.9" customHeight="1" x14ac:dyDescent="0.3"/>
    <row r="311" ht="15.9" customHeight="1" x14ac:dyDescent="0.3"/>
    <row r="312" ht="15.9" customHeight="1" x14ac:dyDescent="0.3"/>
    <row r="313" ht="15.9" customHeight="1" x14ac:dyDescent="0.3"/>
    <row r="314" ht="15.9" customHeight="1" x14ac:dyDescent="0.3"/>
    <row r="315" ht="15.9" customHeight="1" x14ac:dyDescent="0.3"/>
    <row r="316" ht="15.9" customHeight="1" x14ac:dyDescent="0.3"/>
    <row r="317" ht="15.9" customHeight="1" x14ac:dyDescent="0.3"/>
    <row r="318" ht="15.9" customHeight="1" x14ac:dyDescent="0.3"/>
    <row r="319" ht="15.9" customHeight="1" x14ac:dyDescent="0.3"/>
    <row r="320" ht="15.9" customHeight="1" x14ac:dyDescent="0.3"/>
    <row r="321" ht="15.9" customHeight="1" x14ac:dyDescent="0.3"/>
    <row r="322" ht="15.9" customHeight="1" x14ac:dyDescent="0.3"/>
    <row r="323" ht="15.9" customHeight="1" x14ac:dyDescent="0.3"/>
    <row r="324" ht="15.9" customHeight="1" x14ac:dyDescent="0.3"/>
    <row r="325" ht="15.9" customHeight="1" x14ac:dyDescent="0.3"/>
    <row r="326" ht="15.9" customHeight="1" x14ac:dyDescent="0.3"/>
    <row r="327" ht="15.9" customHeight="1" x14ac:dyDescent="0.3"/>
    <row r="328" ht="15.9" customHeight="1" x14ac:dyDescent="0.3"/>
    <row r="329" ht="15.9" customHeight="1" x14ac:dyDescent="0.3"/>
    <row r="330" ht="15.9" customHeight="1" x14ac:dyDescent="0.3"/>
    <row r="331" ht="15.9" customHeight="1" x14ac:dyDescent="0.3"/>
    <row r="332" ht="15.9" customHeight="1" x14ac:dyDescent="0.3"/>
    <row r="333" ht="15.9" customHeight="1" x14ac:dyDescent="0.3"/>
    <row r="334" ht="15.9" customHeight="1" x14ac:dyDescent="0.3"/>
    <row r="335" ht="15.9" customHeight="1" x14ac:dyDescent="0.3"/>
    <row r="336" ht="15.9" customHeight="1" x14ac:dyDescent="0.3"/>
    <row r="337" ht="15.9" customHeight="1" x14ac:dyDescent="0.3"/>
    <row r="338" ht="15.9" customHeight="1" x14ac:dyDescent="0.3"/>
    <row r="339" ht="15.9" customHeight="1" x14ac:dyDescent="0.3"/>
    <row r="340" ht="15.9" customHeight="1" x14ac:dyDescent="0.3"/>
    <row r="341" ht="15.9" customHeight="1" x14ac:dyDescent="0.3"/>
    <row r="342" ht="15.9" customHeight="1" x14ac:dyDescent="0.3"/>
    <row r="343" ht="15.9" customHeight="1" x14ac:dyDescent="0.3"/>
    <row r="344" ht="15.9" customHeight="1" x14ac:dyDescent="0.3"/>
    <row r="345" ht="15.9" customHeight="1" x14ac:dyDescent="0.3"/>
    <row r="346" ht="15.9" customHeight="1" x14ac:dyDescent="0.3"/>
    <row r="347" ht="15.9" customHeight="1" x14ac:dyDescent="0.3"/>
    <row r="348" ht="15.9" customHeight="1" x14ac:dyDescent="0.3"/>
    <row r="349" ht="15.9" customHeight="1" x14ac:dyDescent="0.3"/>
    <row r="350" ht="15.9" customHeight="1" x14ac:dyDescent="0.3"/>
    <row r="351" ht="15.9" customHeight="1" x14ac:dyDescent="0.3"/>
    <row r="352" ht="15.9" customHeight="1" x14ac:dyDescent="0.3"/>
    <row r="353" ht="15.9" customHeight="1" x14ac:dyDescent="0.3"/>
    <row r="354" ht="15.9" customHeight="1" x14ac:dyDescent="0.3"/>
    <row r="355" ht="15.9" customHeight="1" x14ac:dyDescent="0.3"/>
    <row r="356" ht="15.9" customHeight="1" x14ac:dyDescent="0.3"/>
    <row r="357" ht="15.9" customHeight="1" x14ac:dyDescent="0.3"/>
    <row r="358" ht="15.9" customHeight="1" x14ac:dyDescent="0.3"/>
    <row r="359" ht="15.9" customHeight="1" x14ac:dyDescent="0.3"/>
    <row r="360" ht="15.9" customHeight="1" x14ac:dyDescent="0.3"/>
    <row r="361" ht="15.9" customHeight="1" x14ac:dyDescent="0.3"/>
    <row r="362" ht="15.9" customHeight="1" x14ac:dyDescent="0.3"/>
    <row r="363" ht="15.9" customHeight="1" x14ac:dyDescent="0.3"/>
    <row r="364" ht="15.9" customHeight="1" x14ac:dyDescent="0.3"/>
    <row r="365" ht="15.9" customHeight="1" x14ac:dyDescent="0.3"/>
    <row r="366" ht="15.9" customHeight="1" x14ac:dyDescent="0.3"/>
    <row r="367" ht="15.9" customHeight="1" x14ac:dyDescent="0.3"/>
    <row r="368" ht="15.9" customHeight="1" x14ac:dyDescent="0.3"/>
    <row r="369" ht="15.9" customHeight="1" x14ac:dyDescent="0.3"/>
    <row r="370" ht="15.9" customHeight="1" x14ac:dyDescent="0.3"/>
    <row r="371" ht="15.9" customHeight="1" x14ac:dyDescent="0.3"/>
    <row r="372" ht="15.9" customHeight="1" x14ac:dyDescent="0.3"/>
    <row r="373" ht="15.9" customHeight="1" x14ac:dyDescent="0.3"/>
    <row r="374" ht="15.9" customHeight="1" x14ac:dyDescent="0.3"/>
    <row r="375" ht="15.9" customHeight="1" x14ac:dyDescent="0.3"/>
    <row r="376" ht="15.9" customHeight="1" x14ac:dyDescent="0.3"/>
    <row r="377" ht="15.9" customHeight="1" x14ac:dyDescent="0.3"/>
    <row r="378" ht="15.9" customHeight="1" x14ac:dyDescent="0.3"/>
    <row r="379" ht="15.9" customHeight="1" x14ac:dyDescent="0.3"/>
    <row r="380" ht="15.9" customHeight="1" x14ac:dyDescent="0.3"/>
    <row r="381" ht="15.9" customHeight="1" x14ac:dyDescent="0.3"/>
    <row r="382" ht="15.9" customHeight="1" x14ac:dyDescent="0.3"/>
    <row r="383" ht="15.9" customHeight="1" x14ac:dyDescent="0.3"/>
    <row r="384" ht="15.9" customHeight="1" x14ac:dyDescent="0.3"/>
    <row r="385" ht="15.9" customHeight="1" x14ac:dyDescent="0.3"/>
    <row r="386" ht="15.9" customHeight="1" x14ac:dyDescent="0.3"/>
    <row r="387" ht="15.9" customHeight="1" x14ac:dyDescent="0.3"/>
    <row r="388" ht="15.9" customHeight="1" x14ac:dyDescent="0.3"/>
    <row r="389" ht="15.9" customHeight="1" x14ac:dyDescent="0.3"/>
    <row r="390" ht="15.9" customHeight="1" x14ac:dyDescent="0.3"/>
    <row r="391" ht="15.9" customHeight="1" x14ac:dyDescent="0.3"/>
    <row r="392" ht="15.9" customHeight="1" x14ac:dyDescent="0.3"/>
    <row r="393" ht="15.9" customHeight="1" x14ac:dyDescent="0.3"/>
    <row r="394" ht="15.9" customHeight="1" x14ac:dyDescent="0.3"/>
    <row r="395" ht="15.9" customHeight="1" x14ac:dyDescent="0.3"/>
    <row r="396" ht="15.9" customHeight="1" x14ac:dyDescent="0.3"/>
    <row r="397" ht="15.9" customHeight="1" x14ac:dyDescent="0.3"/>
    <row r="398" ht="15.9" customHeight="1" x14ac:dyDescent="0.3"/>
    <row r="399" ht="15.9" customHeight="1" x14ac:dyDescent="0.3"/>
    <row r="400" ht="15.9" customHeight="1" x14ac:dyDescent="0.3"/>
    <row r="401" ht="15.9" customHeight="1" x14ac:dyDescent="0.3"/>
    <row r="402" ht="15.9" customHeight="1" x14ac:dyDescent="0.3"/>
    <row r="403" ht="15.9" customHeight="1" x14ac:dyDescent="0.3"/>
    <row r="404" ht="15.9" customHeight="1" x14ac:dyDescent="0.3"/>
    <row r="405" ht="15.9" customHeight="1" x14ac:dyDescent="0.3"/>
    <row r="406" ht="15.9" customHeight="1" x14ac:dyDescent="0.3"/>
    <row r="407" ht="15.9" customHeight="1" x14ac:dyDescent="0.3"/>
    <row r="408" ht="15.9" customHeight="1" x14ac:dyDescent="0.3"/>
    <row r="409" ht="15.9" customHeight="1" x14ac:dyDescent="0.3"/>
    <row r="410" ht="15.9" customHeight="1" x14ac:dyDescent="0.3"/>
    <row r="411" ht="15.9" customHeight="1" x14ac:dyDescent="0.3"/>
    <row r="412" ht="15.9" customHeight="1" x14ac:dyDescent="0.3"/>
    <row r="413" ht="15.9" customHeight="1" x14ac:dyDescent="0.3"/>
    <row r="414" ht="15.9" customHeight="1" x14ac:dyDescent="0.3"/>
    <row r="415" ht="15.9" customHeight="1" x14ac:dyDescent="0.3"/>
    <row r="416" ht="15.9" customHeight="1" x14ac:dyDescent="0.3"/>
    <row r="417" ht="15.9" customHeight="1" x14ac:dyDescent="0.3"/>
    <row r="418" ht="15.9" customHeight="1" x14ac:dyDescent="0.3"/>
    <row r="419" ht="15.9" customHeight="1" x14ac:dyDescent="0.3"/>
    <row r="420" ht="15.9" customHeight="1" x14ac:dyDescent="0.3"/>
    <row r="421" ht="15.9" customHeight="1" x14ac:dyDescent="0.3"/>
    <row r="422" ht="15.9" customHeight="1" x14ac:dyDescent="0.3"/>
    <row r="423" ht="15.9" customHeight="1" x14ac:dyDescent="0.3"/>
    <row r="424" ht="15.9" customHeight="1" x14ac:dyDescent="0.3"/>
    <row r="425" ht="15.9" customHeight="1" x14ac:dyDescent="0.3"/>
    <row r="426" ht="15.9" customHeight="1" x14ac:dyDescent="0.3"/>
    <row r="427" ht="15.9" customHeight="1" x14ac:dyDescent="0.3"/>
    <row r="428" ht="15.9" customHeight="1" x14ac:dyDescent="0.3"/>
    <row r="429" ht="15.9" customHeight="1" x14ac:dyDescent="0.3"/>
    <row r="430" ht="15.9" customHeight="1" x14ac:dyDescent="0.3"/>
    <row r="431" ht="15.9" customHeight="1" x14ac:dyDescent="0.3"/>
    <row r="432" ht="15.9" customHeight="1" x14ac:dyDescent="0.3"/>
    <row r="433" ht="15.9" customHeight="1" x14ac:dyDescent="0.3"/>
    <row r="434" ht="15.9" customHeight="1" x14ac:dyDescent="0.3"/>
    <row r="435" ht="15.9" customHeight="1" x14ac:dyDescent="0.3"/>
    <row r="436" ht="15.9" customHeight="1" x14ac:dyDescent="0.3"/>
    <row r="437" ht="15.9" customHeight="1" x14ac:dyDescent="0.3"/>
    <row r="438" ht="15.9" customHeight="1" x14ac:dyDescent="0.3"/>
    <row r="439" ht="15.9" customHeight="1" x14ac:dyDescent="0.3"/>
    <row r="440" ht="15.9" customHeight="1" x14ac:dyDescent="0.3"/>
    <row r="441" ht="15.9" customHeight="1" x14ac:dyDescent="0.3"/>
    <row r="442" ht="15.9" customHeight="1" x14ac:dyDescent="0.3"/>
    <row r="443" ht="15.9" customHeight="1" x14ac:dyDescent="0.3"/>
    <row r="444" ht="15.9" customHeight="1" x14ac:dyDescent="0.3"/>
    <row r="445" ht="15.9" customHeight="1" x14ac:dyDescent="0.3"/>
    <row r="446" ht="15.9" customHeight="1" x14ac:dyDescent="0.3"/>
    <row r="447" ht="15.9" customHeight="1" x14ac:dyDescent="0.3"/>
    <row r="448" ht="15.9" customHeight="1" x14ac:dyDescent="0.3"/>
    <row r="449" ht="15.9" customHeight="1" x14ac:dyDescent="0.3"/>
    <row r="450" ht="15.9" customHeight="1" x14ac:dyDescent="0.3"/>
    <row r="451" ht="15.9" customHeight="1" x14ac:dyDescent="0.3"/>
    <row r="452" ht="15.9" customHeight="1" x14ac:dyDescent="0.3"/>
    <row r="453" ht="15.9" customHeight="1" x14ac:dyDescent="0.3"/>
    <row r="454" ht="15.9" customHeight="1" x14ac:dyDescent="0.3"/>
    <row r="455" ht="15.9" customHeight="1" x14ac:dyDescent="0.3"/>
    <row r="456" ht="15.9" customHeight="1" x14ac:dyDescent="0.3"/>
    <row r="457" ht="15.9" customHeight="1" x14ac:dyDescent="0.3"/>
    <row r="458" ht="15.9" customHeight="1" x14ac:dyDescent="0.3"/>
    <row r="459" ht="15.9" customHeight="1" x14ac:dyDescent="0.3"/>
    <row r="460" ht="15.9" customHeight="1" x14ac:dyDescent="0.3"/>
    <row r="461" ht="15.9" customHeight="1" x14ac:dyDescent="0.3"/>
    <row r="462" ht="15.9" customHeight="1" x14ac:dyDescent="0.3"/>
    <row r="463" ht="15.9" customHeight="1" x14ac:dyDescent="0.3"/>
    <row r="464" ht="15.9" customHeight="1" x14ac:dyDescent="0.3"/>
    <row r="465" ht="15.9" customHeight="1" x14ac:dyDescent="0.3"/>
    <row r="466" ht="15.9" customHeight="1" x14ac:dyDescent="0.3"/>
    <row r="467" ht="15.9" customHeight="1" x14ac:dyDescent="0.3"/>
    <row r="468" ht="15.9" customHeight="1" x14ac:dyDescent="0.3"/>
    <row r="469" ht="15.9" customHeight="1" x14ac:dyDescent="0.3"/>
    <row r="470" ht="15.9" customHeight="1" x14ac:dyDescent="0.3"/>
    <row r="471" ht="15.9" customHeight="1" x14ac:dyDescent="0.3"/>
    <row r="472" ht="15.9" customHeight="1" x14ac:dyDescent="0.3"/>
    <row r="473" ht="15.9" customHeight="1" x14ac:dyDescent="0.3"/>
    <row r="474" ht="15.9" customHeight="1" x14ac:dyDescent="0.3"/>
    <row r="475" ht="15.9" customHeight="1" x14ac:dyDescent="0.3"/>
    <row r="476" ht="15.9" customHeight="1" x14ac:dyDescent="0.3"/>
    <row r="477" ht="15.9" customHeight="1" x14ac:dyDescent="0.3"/>
    <row r="478" ht="15.9" customHeight="1" x14ac:dyDescent="0.3"/>
    <row r="479" ht="15.9" customHeight="1" x14ac:dyDescent="0.3"/>
    <row r="480" ht="15.9" customHeight="1" x14ac:dyDescent="0.3"/>
    <row r="481" ht="15.9" customHeight="1" x14ac:dyDescent="0.3"/>
    <row r="482" ht="15.9" customHeight="1" x14ac:dyDescent="0.3"/>
    <row r="483" ht="15.9" customHeight="1" x14ac:dyDescent="0.3"/>
    <row r="484" ht="15.9" customHeight="1" x14ac:dyDescent="0.3"/>
    <row r="485" ht="15.9" customHeight="1" x14ac:dyDescent="0.3"/>
    <row r="486" ht="15.9" customHeight="1" x14ac:dyDescent="0.3"/>
    <row r="487" ht="15.9" customHeight="1" x14ac:dyDescent="0.3"/>
    <row r="488" ht="15.9" customHeight="1" x14ac:dyDescent="0.3"/>
    <row r="489" ht="15.9" customHeight="1" x14ac:dyDescent="0.3"/>
    <row r="490" ht="15.9" customHeight="1" x14ac:dyDescent="0.3"/>
    <row r="491" ht="15.9" customHeight="1" x14ac:dyDescent="0.3"/>
    <row r="492" ht="15.9" customHeight="1" x14ac:dyDescent="0.3"/>
    <row r="493" ht="15.9" customHeight="1" x14ac:dyDescent="0.3"/>
    <row r="494" ht="15.9" customHeight="1" x14ac:dyDescent="0.3"/>
    <row r="495" ht="15.9" customHeight="1" x14ac:dyDescent="0.3"/>
    <row r="496" ht="15.9" customHeight="1" x14ac:dyDescent="0.3"/>
    <row r="497" ht="15.9" customHeight="1" x14ac:dyDescent="0.3"/>
    <row r="498" ht="15.9" customHeight="1" x14ac:dyDescent="0.3"/>
    <row r="499" ht="15.9" customHeight="1" x14ac:dyDescent="0.3"/>
    <row r="500" ht="15.9" customHeight="1" x14ac:dyDescent="0.3"/>
    <row r="501" ht="15.9" customHeight="1" x14ac:dyDescent="0.3"/>
    <row r="502" ht="15.9" customHeight="1" x14ac:dyDescent="0.3"/>
    <row r="503" ht="15.9" customHeight="1" x14ac:dyDescent="0.3"/>
  </sheetData>
  <mergeCells count="36">
    <mergeCell ref="C19:D19"/>
    <mergeCell ref="B11:B16"/>
    <mergeCell ref="C11:D16"/>
    <mergeCell ref="E11:F16"/>
    <mergeCell ref="G11:G16"/>
    <mergeCell ref="P7:Q7"/>
    <mergeCell ref="H11:H16"/>
    <mergeCell ref="P11:Q16"/>
    <mergeCell ref="B9:B10"/>
    <mergeCell ref="C9:D10"/>
    <mergeCell ref="E9:F10"/>
    <mergeCell ref="G9:G10"/>
    <mergeCell ref="H9:H10"/>
    <mergeCell ref="P9:Q10"/>
    <mergeCell ref="B8:C8"/>
    <mergeCell ref="F8:H8"/>
    <mergeCell ref="I8:J8"/>
    <mergeCell ref="K8:O8"/>
    <mergeCell ref="B6:C6"/>
    <mergeCell ref="D6:H6"/>
    <mergeCell ref="I6:J6"/>
    <mergeCell ref="K6:L6"/>
    <mergeCell ref="M6:O6"/>
    <mergeCell ref="B7:C7"/>
    <mergeCell ref="D7:H7"/>
    <mergeCell ref="I7:J7"/>
    <mergeCell ref="K7:L7"/>
    <mergeCell ref="P6:Q6"/>
    <mergeCell ref="A2:D2"/>
    <mergeCell ref="E2:N3"/>
    <mergeCell ref="O2:R2"/>
    <mergeCell ref="A3:D3"/>
    <mergeCell ref="O3:R3"/>
    <mergeCell ref="B5:C5"/>
    <mergeCell ref="D5:H5"/>
    <mergeCell ref="I5:O5"/>
  </mergeCells>
  <printOptions horizontalCentered="1"/>
  <pageMargins left="0.3" right="0.3" top="0.45" bottom="0.75" header="0.3" footer="0.3"/>
  <pageSetup paperSize="9" scale="93" orientation="landscape" r:id="rId1"/>
  <headerFooter>
    <oddFooter>&amp;L&amp;1#&amp;"Calibri"&amp;8 Sensitivity: LNT Construction Internal Use</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2">
    <tabColor rgb="FFFF0000"/>
  </sheetPr>
  <dimension ref="A1:AA546"/>
  <sheetViews>
    <sheetView showGridLines="0" zoomScaleNormal="100" zoomScaleSheetLayoutView="100" workbookViewId="0">
      <selection activeCell="G17" sqref="G17:G22"/>
    </sheetView>
  </sheetViews>
  <sheetFormatPr defaultColWidth="10.44140625" defaultRowHeight="15.6" x14ac:dyDescent="0.3"/>
  <cols>
    <col min="1" max="1" width="1.88671875" style="12" customWidth="1"/>
    <col min="2" max="2" width="6.44140625" style="12" customWidth="1"/>
    <col min="3" max="4" width="12.5546875" style="12" customWidth="1"/>
    <col min="5" max="5" width="7.88671875" style="12" customWidth="1"/>
    <col min="6" max="6" width="30.44140625" style="12" customWidth="1"/>
    <col min="7" max="8" width="6.109375" style="12" customWidth="1"/>
    <col min="9" max="9" width="10.5546875" style="12" customWidth="1"/>
    <col min="10" max="11" width="9" style="12" bestFit="1" customWidth="1"/>
    <col min="12" max="12" width="7.88671875" style="12" customWidth="1"/>
    <col min="13" max="13" width="9" style="12" bestFit="1" customWidth="1"/>
    <col min="14" max="14" width="7.88671875" style="12" customWidth="1"/>
    <col min="15" max="15" width="7.5546875" style="12" customWidth="1"/>
    <col min="16" max="16" width="6.5546875" style="12" customWidth="1"/>
    <col min="17" max="17" width="10.5546875" style="12" customWidth="1"/>
    <col min="18" max="18" width="1.88671875" style="12" customWidth="1"/>
    <col min="19" max="20" width="6.44140625" style="12" customWidth="1"/>
    <col min="21" max="21" width="20.44140625" style="12" customWidth="1"/>
    <col min="22" max="22" width="10.44140625" style="12" customWidth="1"/>
    <col min="23" max="32" width="6.44140625" style="12" customWidth="1"/>
    <col min="33" max="16384" width="10.44140625" style="12"/>
  </cols>
  <sheetData>
    <row r="1" spans="1:27" ht="50.1" customHeight="1" x14ac:dyDescent="0.3">
      <c r="A1" s="56"/>
      <c r="B1" s="57"/>
      <c r="C1" s="57"/>
      <c r="D1" s="57"/>
      <c r="E1" s="57"/>
      <c r="F1" s="57"/>
      <c r="G1" s="57"/>
      <c r="H1" s="57"/>
      <c r="I1" s="57"/>
      <c r="J1" s="57"/>
      <c r="K1" s="57"/>
      <c r="L1" s="57"/>
      <c r="M1" s="57"/>
      <c r="N1" s="57"/>
      <c r="O1" s="57"/>
      <c r="P1" s="57"/>
      <c r="Q1" s="57"/>
      <c r="R1" s="58"/>
    </row>
    <row r="2" spans="1:27" ht="18" customHeight="1" x14ac:dyDescent="0.3">
      <c r="A2" s="184" t="s">
        <v>23</v>
      </c>
      <c r="B2" s="185"/>
      <c r="C2" s="185"/>
      <c r="D2" s="186"/>
      <c r="E2" s="187" t="s">
        <v>24</v>
      </c>
      <c r="F2" s="188"/>
      <c r="G2" s="188"/>
      <c r="H2" s="188"/>
      <c r="I2" s="188"/>
      <c r="J2" s="188"/>
      <c r="K2" s="188"/>
      <c r="L2" s="188"/>
      <c r="M2" s="188"/>
      <c r="N2" s="189"/>
      <c r="O2" s="193" t="s">
        <v>129</v>
      </c>
      <c r="P2" s="193"/>
      <c r="Q2" s="193"/>
      <c r="R2" s="193"/>
    </row>
    <row r="3" spans="1:27" ht="18" customHeight="1" x14ac:dyDescent="0.3">
      <c r="A3" s="194" t="s">
        <v>25</v>
      </c>
      <c r="B3" s="195"/>
      <c r="C3" s="195"/>
      <c r="D3" s="196"/>
      <c r="E3" s="190"/>
      <c r="F3" s="191"/>
      <c r="G3" s="191"/>
      <c r="H3" s="191"/>
      <c r="I3" s="191"/>
      <c r="J3" s="191"/>
      <c r="K3" s="191"/>
      <c r="L3" s="191"/>
      <c r="M3" s="191"/>
      <c r="N3" s="192"/>
      <c r="O3" s="197" t="s">
        <v>130</v>
      </c>
      <c r="P3" s="197"/>
      <c r="Q3" s="197"/>
      <c r="R3" s="197"/>
    </row>
    <row r="4" spans="1:27" s="5" customFormat="1" ht="7.5" customHeight="1" x14ac:dyDescent="0.3">
      <c r="A4" s="2"/>
      <c r="B4" s="13"/>
      <c r="C4" s="13"/>
      <c r="D4" s="13"/>
      <c r="E4" s="13"/>
      <c r="F4" s="13"/>
      <c r="G4" s="13"/>
      <c r="H4" s="13"/>
      <c r="I4" s="13"/>
      <c r="J4" s="13"/>
      <c r="K4" s="13"/>
      <c r="L4" s="13"/>
      <c r="M4" s="13"/>
      <c r="N4" s="13"/>
      <c r="O4" s="13"/>
      <c r="P4" s="13"/>
      <c r="Q4" s="13"/>
      <c r="R4" s="14"/>
      <c r="S4" s="4"/>
    </row>
    <row r="5" spans="1:27" ht="12" customHeight="1" x14ac:dyDescent="0.25">
      <c r="A5" s="2"/>
      <c r="B5" s="198" t="s">
        <v>26</v>
      </c>
      <c r="C5" s="199"/>
      <c r="D5" s="200" t="s">
        <v>27</v>
      </c>
      <c r="E5" s="201"/>
      <c r="F5" s="201"/>
      <c r="G5" s="201"/>
      <c r="H5" s="202"/>
      <c r="I5" s="203" t="s">
        <v>28</v>
      </c>
      <c r="J5" s="204"/>
      <c r="K5" s="204"/>
      <c r="L5" s="204"/>
      <c r="M5" s="204"/>
      <c r="N5" s="204"/>
      <c r="O5" s="205"/>
      <c r="P5" s="119" t="s">
        <v>131</v>
      </c>
      <c r="Q5" s="117"/>
      <c r="R5" s="3"/>
      <c r="U5" s="6"/>
      <c r="V5" s="15"/>
      <c r="W5" s="15"/>
    </row>
    <row r="6" spans="1:27" s="16" customFormat="1" ht="12" customHeight="1" x14ac:dyDescent="0.3">
      <c r="A6" s="7"/>
      <c r="B6" s="214" t="s">
        <v>29</v>
      </c>
      <c r="C6" s="215"/>
      <c r="D6" s="216" t="s">
        <v>30</v>
      </c>
      <c r="E6" s="216"/>
      <c r="F6" s="216"/>
      <c r="G6" s="216"/>
      <c r="H6" s="216"/>
      <c r="I6" s="217" t="s">
        <v>31</v>
      </c>
      <c r="J6" s="218"/>
      <c r="K6" s="218" t="s">
        <v>32</v>
      </c>
      <c r="L6" s="218"/>
      <c r="M6" s="219"/>
      <c r="N6" s="219"/>
      <c r="O6" s="220"/>
      <c r="P6" s="182" t="s">
        <v>33</v>
      </c>
      <c r="Q6" s="183"/>
      <c r="R6" s="8"/>
      <c r="U6" t="s">
        <v>34</v>
      </c>
      <c r="V6" s="59">
        <v>43179</v>
      </c>
      <c r="W6" s="60"/>
    </row>
    <row r="7" spans="1:27" s="16" customFormat="1" ht="12" customHeight="1" x14ac:dyDescent="0.3">
      <c r="A7" s="7"/>
      <c r="B7" s="206" t="s">
        <v>35</v>
      </c>
      <c r="C7" s="207"/>
      <c r="D7" s="208" t="s">
        <v>132</v>
      </c>
      <c r="E7" s="209"/>
      <c r="F7" s="209"/>
      <c r="G7" s="209"/>
      <c r="H7" s="210"/>
      <c r="I7" s="217" t="s">
        <v>36</v>
      </c>
      <c r="J7" s="218"/>
      <c r="K7" s="218" t="s">
        <v>37</v>
      </c>
      <c r="L7" s="218"/>
      <c r="M7" s="17"/>
      <c r="N7" s="17"/>
      <c r="O7" s="18"/>
      <c r="P7" s="221"/>
      <c r="Q7" s="222"/>
      <c r="R7" s="8"/>
      <c r="U7" t="s">
        <v>38</v>
      </c>
      <c r="V7" s="59">
        <v>43207</v>
      </c>
      <c r="W7" s="60"/>
    </row>
    <row r="8" spans="1:27" ht="12" customHeight="1" x14ac:dyDescent="0.3">
      <c r="A8" s="9"/>
      <c r="B8" s="206" t="s">
        <v>39</v>
      </c>
      <c r="C8" s="207"/>
      <c r="D8" s="19" t="s">
        <v>40</v>
      </c>
      <c r="E8" s="20" t="s">
        <v>41</v>
      </c>
      <c r="F8" s="208" t="s">
        <v>138</v>
      </c>
      <c r="G8" s="209"/>
      <c r="H8" s="210"/>
      <c r="I8" s="211" t="s">
        <v>42</v>
      </c>
      <c r="J8" s="212"/>
      <c r="K8" s="212" t="s">
        <v>43</v>
      </c>
      <c r="L8" s="212"/>
      <c r="M8" s="212"/>
      <c r="N8" s="212"/>
      <c r="O8" s="213"/>
      <c r="P8" s="20" t="s">
        <v>129</v>
      </c>
      <c r="Q8" s="21"/>
      <c r="R8" s="10"/>
      <c r="U8" t="s">
        <v>60</v>
      </c>
      <c r="V8" s="59">
        <v>43207</v>
      </c>
      <c r="W8" s="6"/>
      <c r="X8" s="22"/>
      <c r="Y8" s="22"/>
      <c r="Z8" s="22"/>
      <c r="AA8" s="22"/>
    </row>
    <row r="9" spans="1:27" ht="15.6" customHeight="1" x14ac:dyDescent="0.3">
      <c r="A9" s="9"/>
      <c r="B9" s="229" t="s">
        <v>44</v>
      </c>
      <c r="C9" s="231" t="s">
        <v>45</v>
      </c>
      <c r="D9" s="231"/>
      <c r="E9" s="232" t="s">
        <v>46</v>
      </c>
      <c r="F9" s="233"/>
      <c r="G9" s="236" t="s">
        <v>61</v>
      </c>
      <c r="H9" s="231" t="s">
        <v>47</v>
      </c>
      <c r="I9" s="23"/>
      <c r="J9" s="24" t="s">
        <v>137</v>
      </c>
      <c r="K9" s="24" t="s">
        <v>137</v>
      </c>
      <c r="L9" s="24" t="s">
        <v>137</v>
      </c>
      <c r="M9" s="24" t="s">
        <v>137</v>
      </c>
      <c r="N9" s="24" t="s">
        <v>137</v>
      </c>
      <c r="O9" s="24" t="s">
        <v>137</v>
      </c>
      <c r="P9" s="232" t="s">
        <v>48</v>
      </c>
      <c r="Q9" s="238"/>
      <c r="R9" s="10"/>
      <c r="U9" t="s">
        <v>49</v>
      </c>
      <c r="V9" s="59">
        <v>43242</v>
      </c>
      <c r="W9" s="6"/>
      <c r="X9" s="22"/>
      <c r="Y9" s="22"/>
      <c r="Z9" s="22"/>
      <c r="AA9" s="22"/>
    </row>
    <row r="10" spans="1:27" ht="17.399999999999999" customHeight="1" x14ac:dyDescent="0.3">
      <c r="A10" s="9"/>
      <c r="B10" s="230"/>
      <c r="C10" s="231"/>
      <c r="D10" s="231"/>
      <c r="E10" s="234"/>
      <c r="F10" s="235"/>
      <c r="G10" s="237"/>
      <c r="H10" s="231"/>
      <c r="I10" s="25"/>
      <c r="J10" s="26" t="s">
        <v>51</v>
      </c>
      <c r="K10" s="26" t="s">
        <v>66</v>
      </c>
      <c r="L10" s="26"/>
      <c r="M10" s="26">
        <v>0</v>
      </c>
      <c r="N10" s="26">
        <v>1</v>
      </c>
      <c r="O10" s="26">
        <v>2</v>
      </c>
      <c r="P10" s="234"/>
      <c r="Q10" s="239"/>
      <c r="R10" s="10"/>
      <c r="U10" t="s">
        <v>50</v>
      </c>
      <c r="V10" s="59">
        <v>43242</v>
      </c>
      <c r="W10" s="11"/>
      <c r="X10" s="22"/>
      <c r="Y10" s="22"/>
      <c r="Z10" s="22"/>
      <c r="AA10" s="22"/>
    </row>
    <row r="11" spans="1:27" ht="12" customHeight="1" x14ac:dyDescent="0.3">
      <c r="A11" s="30"/>
      <c r="B11" s="241"/>
      <c r="C11" s="243"/>
      <c r="D11" s="244"/>
      <c r="E11" s="247"/>
      <c r="F11" s="248"/>
      <c r="G11" s="223"/>
      <c r="H11" s="223"/>
      <c r="I11" s="27" t="s">
        <v>52</v>
      </c>
      <c r="J11" s="28"/>
      <c r="K11" s="28"/>
      <c r="L11" s="28"/>
      <c r="M11" s="28"/>
      <c r="N11" s="28"/>
      <c r="O11" s="28"/>
      <c r="P11" s="225"/>
      <c r="Q11" s="226"/>
      <c r="R11" s="31"/>
    </row>
    <row r="12" spans="1:27" ht="12" customHeight="1" x14ac:dyDescent="0.3">
      <c r="A12" s="30"/>
      <c r="B12" s="241"/>
      <c r="C12" s="245"/>
      <c r="D12" s="246"/>
      <c r="E12" s="249"/>
      <c r="F12" s="250"/>
      <c r="G12" s="223"/>
      <c r="H12" s="223"/>
      <c r="I12" s="27" t="s">
        <v>54</v>
      </c>
      <c r="J12" s="28"/>
      <c r="K12" s="28"/>
      <c r="L12" s="28"/>
      <c r="M12" s="28"/>
      <c r="N12" s="28"/>
      <c r="O12" s="28"/>
      <c r="P12" s="227"/>
      <c r="Q12" s="228"/>
      <c r="R12" s="31"/>
    </row>
    <row r="13" spans="1:27" ht="12" customHeight="1" x14ac:dyDescent="0.3">
      <c r="A13" s="30"/>
      <c r="B13" s="241"/>
      <c r="C13" s="245"/>
      <c r="D13" s="246"/>
      <c r="E13" s="249"/>
      <c r="F13" s="250"/>
      <c r="G13" s="223"/>
      <c r="H13" s="223"/>
      <c r="I13" s="27" t="s">
        <v>55</v>
      </c>
      <c r="J13" s="28"/>
      <c r="K13" s="28"/>
      <c r="L13" s="28"/>
      <c r="M13" s="28"/>
      <c r="N13" s="28"/>
      <c r="O13" s="28"/>
      <c r="P13" s="227"/>
      <c r="Q13" s="228"/>
      <c r="R13" s="31"/>
    </row>
    <row r="14" spans="1:27" ht="12" customHeight="1" x14ac:dyDescent="0.3">
      <c r="A14" s="30"/>
      <c r="B14" s="241"/>
      <c r="C14" s="245"/>
      <c r="D14" s="246"/>
      <c r="E14" s="249"/>
      <c r="F14" s="250"/>
      <c r="G14" s="223"/>
      <c r="H14" s="223"/>
      <c r="I14" s="27" t="s">
        <v>56</v>
      </c>
      <c r="J14" s="28"/>
      <c r="K14" s="28"/>
      <c r="L14" s="28"/>
      <c r="M14" s="28"/>
      <c r="N14" s="28"/>
      <c r="O14" s="28"/>
      <c r="P14" s="227"/>
      <c r="Q14" s="228"/>
      <c r="R14" s="31"/>
    </row>
    <row r="15" spans="1:27" ht="12" customHeight="1" x14ac:dyDescent="0.3">
      <c r="A15" s="30"/>
      <c r="B15" s="241"/>
      <c r="C15" s="245"/>
      <c r="D15" s="246"/>
      <c r="E15" s="249"/>
      <c r="F15" s="250"/>
      <c r="G15" s="223"/>
      <c r="H15" s="223"/>
      <c r="I15" s="27" t="s">
        <v>57</v>
      </c>
      <c r="J15" s="28"/>
      <c r="K15" s="28"/>
      <c r="L15" s="28"/>
      <c r="M15" s="28"/>
      <c r="N15" s="28"/>
      <c r="O15" s="28"/>
      <c r="P15" s="227"/>
      <c r="Q15" s="228"/>
      <c r="R15" s="31"/>
    </row>
    <row r="16" spans="1:27" ht="12" customHeight="1" x14ac:dyDescent="0.3">
      <c r="A16" s="30"/>
      <c r="B16" s="241"/>
      <c r="C16" s="251"/>
      <c r="D16" s="252"/>
      <c r="E16" s="253"/>
      <c r="F16" s="254"/>
      <c r="G16" s="223"/>
      <c r="H16" s="223"/>
      <c r="I16" s="32" t="s">
        <v>58</v>
      </c>
      <c r="J16" s="29"/>
      <c r="K16" s="29"/>
      <c r="L16" s="29"/>
      <c r="M16" s="29"/>
      <c r="N16" s="33"/>
      <c r="O16" s="33"/>
      <c r="P16" s="227"/>
      <c r="Q16" s="228"/>
      <c r="R16" s="31"/>
    </row>
    <row r="17" spans="1:18" ht="12" customHeight="1" x14ac:dyDescent="0.3">
      <c r="A17" s="30"/>
      <c r="B17" s="241"/>
      <c r="C17" s="243"/>
      <c r="D17" s="244"/>
      <c r="E17" s="247"/>
      <c r="F17" s="248"/>
      <c r="G17" s="223"/>
      <c r="H17" s="223"/>
      <c r="I17" s="27" t="s">
        <v>52</v>
      </c>
      <c r="J17" s="28"/>
      <c r="K17" s="28"/>
      <c r="L17" s="28"/>
      <c r="M17" s="28"/>
      <c r="N17" s="28"/>
      <c r="O17" s="28"/>
      <c r="P17" s="225"/>
      <c r="Q17" s="226"/>
      <c r="R17" s="31"/>
    </row>
    <row r="18" spans="1:18" ht="12" customHeight="1" x14ac:dyDescent="0.3">
      <c r="A18" s="30"/>
      <c r="B18" s="241"/>
      <c r="C18" s="245"/>
      <c r="D18" s="246"/>
      <c r="E18" s="249"/>
      <c r="F18" s="250"/>
      <c r="G18" s="223"/>
      <c r="H18" s="223"/>
      <c r="I18" s="27" t="s">
        <v>54</v>
      </c>
      <c r="J18" s="28"/>
      <c r="K18" s="28"/>
      <c r="L18" s="28"/>
      <c r="M18" s="28"/>
      <c r="N18" s="28"/>
      <c r="O18" s="28"/>
      <c r="P18" s="227"/>
      <c r="Q18" s="228"/>
      <c r="R18" s="31"/>
    </row>
    <row r="19" spans="1:18" ht="12" customHeight="1" x14ac:dyDescent="0.3">
      <c r="A19" s="30"/>
      <c r="B19" s="241"/>
      <c r="C19" s="245"/>
      <c r="D19" s="246"/>
      <c r="E19" s="249"/>
      <c r="F19" s="250"/>
      <c r="G19" s="223"/>
      <c r="H19" s="223"/>
      <c r="I19" s="27" t="s">
        <v>55</v>
      </c>
      <c r="J19" s="28"/>
      <c r="K19" s="28"/>
      <c r="L19" s="28"/>
      <c r="M19" s="28"/>
      <c r="N19" s="28"/>
      <c r="O19" s="28"/>
      <c r="P19" s="227"/>
      <c r="Q19" s="228"/>
      <c r="R19" s="31"/>
    </row>
    <row r="20" spans="1:18" ht="12" customHeight="1" x14ac:dyDescent="0.3">
      <c r="A20" s="30"/>
      <c r="B20" s="241"/>
      <c r="C20" s="245"/>
      <c r="D20" s="246"/>
      <c r="E20" s="249"/>
      <c r="F20" s="250"/>
      <c r="G20" s="223"/>
      <c r="H20" s="223"/>
      <c r="I20" s="27" t="s">
        <v>56</v>
      </c>
      <c r="J20" s="28"/>
      <c r="K20" s="28"/>
      <c r="L20" s="28"/>
      <c r="M20" s="28"/>
      <c r="N20" s="28"/>
      <c r="O20" s="28"/>
      <c r="P20" s="227"/>
      <c r="Q20" s="228"/>
      <c r="R20" s="31"/>
    </row>
    <row r="21" spans="1:18" ht="12" customHeight="1" x14ac:dyDescent="0.3">
      <c r="A21" s="30"/>
      <c r="B21" s="241"/>
      <c r="C21" s="245"/>
      <c r="D21" s="246"/>
      <c r="E21" s="249"/>
      <c r="F21" s="250"/>
      <c r="G21" s="223"/>
      <c r="H21" s="223"/>
      <c r="I21" s="27" t="s">
        <v>57</v>
      </c>
      <c r="J21" s="28"/>
      <c r="K21" s="28"/>
      <c r="L21" s="28"/>
      <c r="M21" s="28"/>
      <c r="N21" s="28"/>
      <c r="O21" s="28"/>
      <c r="P21" s="227"/>
      <c r="Q21" s="228"/>
      <c r="R21" s="31"/>
    </row>
    <row r="22" spans="1:18" ht="12" customHeight="1" x14ac:dyDescent="0.3">
      <c r="A22" s="30"/>
      <c r="B22" s="241"/>
      <c r="C22" s="251"/>
      <c r="D22" s="252"/>
      <c r="E22" s="253"/>
      <c r="F22" s="254"/>
      <c r="G22" s="223"/>
      <c r="H22" s="223"/>
      <c r="I22" s="32" t="s">
        <v>58</v>
      </c>
      <c r="J22" s="29"/>
      <c r="K22" s="29"/>
      <c r="L22" s="29"/>
      <c r="M22" s="29"/>
      <c r="N22" s="33"/>
      <c r="O22" s="33"/>
      <c r="P22" s="227"/>
      <c r="Q22" s="228"/>
      <c r="R22" s="31"/>
    </row>
    <row r="23" spans="1:18" ht="12" customHeight="1" x14ac:dyDescent="0.3">
      <c r="A23" s="30"/>
      <c r="B23" s="241"/>
      <c r="C23" s="243"/>
      <c r="D23" s="244"/>
      <c r="E23" s="247"/>
      <c r="F23" s="248"/>
      <c r="G23" s="223"/>
      <c r="H23" s="223"/>
      <c r="I23" s="27" t="s">
        <v>52</v>
      </c>
      <c r="J23" s="28"/>
      <c r="K23" s="28"/>
      <c r="L23" s="28"/>
      <c r="M23" s="28"/>
      <c r="N23" s="28"/>
      <c r="O23" s="28"/>
      <c r="P23" s="225"/>
      <c r="Q23" s="226"/>
      <c r="R23" s="31"/>
    </row>
    <row r="24" spans="1:18" ht="12" customHeight="1" x14ac:dyDescent="0.3">
      <c r="A24" s="30"/>
      <c r="B24" s="241"/>
      <c r="C24" s="245"/>
      <c r="D24" s="246"/>
      <c r="E24" s="249"/>
      <c r="F24" s="250"/>
      <c r="G24" s="223"/>
      <c r="H24" s="223"/>
      <c r="I24" s="27" t="s">
        <v>54</v>
      </c>
      <c r="J24" s="28"/>
      <c r="K24" s="28"/>
      <c r="L24" s="28"/>
      <c r="M24" s="28"/>
      <c r="N24" s="28"/>
      <c r="O24" s="28"/>
      <c r="P24" s="227"/>
      <c r="Q24" s="228"/>
      <c r="R24" s="31"/>
    </row>
    <row r="25" spans="1:18" ht="12" customHeight="1" x14ac:dyDescent="0.3">
      <c r="A25" s="30"/>
      <c r="B25" s="241"/>
      <c r="C25" s="245"/>
      <c r="D25" s="246"/>
      <c r="E25" s="249"/>
      <c r="F25" s="250"/>
      <c r="G25" s="223"/>
      <c r="H25" s="223"/>
      <c r="I25" s="27" t="s">
        <v>55</v>
      </c>
      <c r="J25" s="28"/>
      <c r="K25" s="28"/>
      <c r="L25" s="28"/>
      <c r="M25" s="28"/>
      <c r="N25" s="28"/>
      <c r="O25" s="28"/>
      <c r="P25" s="227"/>
      <c r="Q25" s="228"/>
      <c r="R25" s="31"/>
    </row>
    <row r="26" spans="1:18" ht="12" customHeight="1" x14ac:dyDescent="0.3">
      <c r="A26" s="30"/>
      <c r="B26" s="241"/>
      <c r="C26" s="245"/>
      <c r="D26" s="246"/>
      <c r="E26" s="249"/>
      <c r="F26" s="250"/>
      <c r="G26" s="223"/>
      <c r="H26" s="223"/>
      <c r="I26" s="27" t="s">
        <v>56</v>
      </c>
      <c r="J26" s="28"/>
      <c r="K26" s="28"/>
      <c r="L26" s="28"/>
      <c r="M26" s="28"/>
      <c r="N26" s="28"/>
      <c r="O26" s="28"/>
      <c r="P26" s="227"/>
      <c r="Q26" s="228"/>
      <c r="R26" s="31"/>
    </row>
    <row r="27" spans="1:18" ht="12" customHeight="1" x14ac:dyDescent="0.3">
      <c r="A27" s="30"/>
      <c r="B27" s="241"/>
      <c r="C27" s="245"/>
      <c r="D27" s="246"/>
      <c r="E27" s="249"/>
      <c r="F27" s="250"/>
      <c r="G27" s="223"/>
      <c r="H27" s="223"/>
      <c r="I27" s="27" t="s">
        <v>57</v>
      </c>
      <c r="J27" s="28"/>
      <c r="K27" s="28"/>
      <c r="L27" s="28"/>
      <c r="M27" s="28"/>
      <c r="N27" s="28"/>
      <c r="O27" s="28"/>
      <c r="P27" s="227"/>
      <c r="Q27" s="228"/>
      <c r="R27" s="31"/>
    </row>
    <row r="28" spans="1:18" ht="12" customHeight="1" x14ac:dyDescent="0.3">
      <c r="A28" s="30"/>
      <c r="B28" s="241"/>
      <c r="C28" s="251"/>
      <c r="D28" s="252"/>
      <c r="E28" s="253"/>
      <c r="F28" s="254"/>
      <c r="G28" s="223"/>
      <c r="H28" s="223"/>
      <c r="I28" s="32" t="s">
        <v>58</v>
      </c>
      <c r="J28" s="29"/>
      <c r="K28" s="29"/>
      <c r="L28" s="29"/>
      <c r="M28" s="29"/>
      <c r="N28" s="33"/>
      <c r="O28" s="33"/>
      <c r="P28" s="227"/>
      <c r="Q28" s="228"/>
      <c r="R28" s="31"/>
    </row>
    <row r="29" spans="1:18" ht="12" customHeight="1" x14ac:dyDescent="0.3">
      <c r="A29" s="30"/>
      <c r="B29" s="241"/>
      <c r="C29" s="243"/>
      <c r="D29" s="244"/>
      <c r="E29" s="247"/>
      <c r="F29" s="248"/>
      <c r="G29" s="223"/>
      <c r="H29" s="223"/>
      <c r="I29" s="27" t="s">
        <v>52</v>
      </c>
      <c r="J29" s="28"/>
      <c r="K29" s="28"/>
      <c r="L29" s="28"/>
      <c r="M29" s="28"/>
      <c r="N29" s="28"/>
      <c r="O29" s="28"/>
      <c r="P29" s="225"/>
      <c r="Q29" s="226"/>
      <c r="R29" s="31"/>
    </row>
    <row r="30" spans="1:18" ht="12" customHeight="1" x14ac:dyDescent="0.3">
      <c r="A30" s="30"/>
      <c r="B30" s="241"/>
      <c r="C30" s="245"/>
      <c r="D30" s="246"/>
      <c r="E30" s="249"/>
      <c r="F30" s="250"/>
      <c r="G30" s="223"/>
      <c r="H30" s="223"/>
      <c r="I30" s="27" t="s">
        <v>54</v>
      </c>
      <c r="J30" s="28"/>
      <c r="K30" s="28"/>
      <c r="L30" s="28"/>
      <c r="M30" s="28"/>
      <c r="N30" s="28"/>
      <c r="O30" s="28"/>
      <c r="P30" s="227"/>
      <c r="Q30" s="228"/>
      <c r="R30" s="31"/>
    </row>
    <row r="31" spans="1:18" ht="12" customHeight="1" x14ac:dyDescent="0.3">
      <c r="A31" s="30"/>
      <c r="B31" s="241"/>
      <c r="C31" s="245"/>
      <c r="D31" s="246"/>
      <c r="E31" s="249"/>
      <c r="F31" s="250"/>
      <c r="G31" s="223"/>
      <c r="H31" s="223"/>
      <c r="I31" s="27" t="s">
        <v>55</v>
      </c>
      <c r="J31" s="28"/>
      <c r="K31" s="28"/>
      <c r="L31" s="28"/>
      <c r="M31" s="28"/>
      <c r="N31" s="28"/>
      <c r="O31" s="28"/>
      <c r="P31" s="227"/>
      <c r="Q31" s="228"/>
      <c r="R31" s="31"/>
    </row>
    <row r="32" spans="1:18" ht="12" customHeight="1" x14ac:dyDescent="0.3">
      <c r="A32" s="30"/>
      <c r="B32" s="241"/>
      <c r="C32" s="245"/>
      <c r="D32" s="246"/>
      <c r="E32" s="249"/>
      <c r="F32" s="250"/>
      <c r="G32" s="223"/>
      <c r="H32" s="223"/>
      <c r="I32" s="27" t="s">
        <v>56</v>
      </c>
      <c r="J32" s="28"/>
      <c r="K32" s="28"/>
      <c r="L32" s="28"/>
      <c r="M32" s="28"/>
      <c r="N32" s="28"/>
      <c r="O32" s="28"/>
      <c r="P32" s="227"/>
      <c r="Q32" s="228"/>
      <c r="R32" s="31"/>
    </row>
    <row r="33" spans="1:18" ht="12" customHeight="1" x14ac:dyDescent="0.3">
      <c r="A33" s="30"/>
      <c r="B33" s="241"/>
      <c r="C33" s="245"/>
      <c r="D33" s="246"/>
      <c r="E33" s="249"/>
      <c r="F33" s="250"/>
      <c r="G33" s="223"/>
      <c r="H33" s="223"/>
      <c r="I33" s="27" t="s">
        <v>57</v>
      </c>
      <c r="J33" s="28"/>
      <c r="K33" s="28"/>
      <c r="L33" s="28"/>
      <c r="M33" s="28"/>
      <c r="N33" s="28"/>
      <c r="O33" s="28"/>
      <c r="P33" s="227"/>
      <c r="Q33" s="228"/>
      <c r="R33" s="31"/>
    </row>
    <row r="34" spans="1:18" ht="12" customHeight="1" x14ac:dyDescent="0.3">
      <c r="A34" s="30"/>
      <c r="B34" s="241"/>
      <c r="C34" s="251"/>
      <c r="D34" s="252"/>
      <c r="E34" s="253"/>
      <c r="F34" s="254"/>
      <c r="G34" s="223"/>
      <c r="H34" s="223"/>
      <c r="I34" s="32" t="s">
        <v>58</v>
      </c>
      <c r="J34" s="29"/>
      <c r="K34" s="29"/>
      <c r="L34" s="29"/>
      <c r="M34" s="29"/>
      <c r="N34" s="33"/>
      <c r="O34" s="33"/>
      <c r="P34" s="227"/>
      <c r="Q34" s="228"/>
      <c r="R34" s="31"/>
    </row>
    <row r="35" spans="1:18" ht="12" customHeight="1" x14ac:dyDescent="0.3">
      <c r="A35" s="30"/>
      <c r="B35" s="241"/>
      <c r="C35" s="243"/>
      <c r="D35" s="244"/>
      <c r="E35" s="247"/>
      <c r="F35" s="248"/>
      <c r="G35" s="223"/>
      <c r="H35" s="223"/>
      <c r="I35" s="27" t="s">
        <v>52</v>
      </c>
      <c r="J35" s="28"/>
      <c r="K35" s="28"/>
      <c r="L35" s="28"/>
      <c r="M35" s="28"/>
      <c r="N35" s="28"/>
      <c r="O35" s="28"/>
      <c r="P35" s="225"/>
      <c r="Q35" s="226"/>
      <c r="R35" s="31"/>
    </row>
    <row r="36" spans="1:18" ht="12" customHeight="1" x14ac:dyDescent="0.3">
      <c r="A36" s="30"/>
      <c r="B36" s="241"/>
      <c r="C36" s="245"/>
      <c r="D36" s="246"/>
      <c r="E36" s="249"/>
      <c r="F36" s="250"/>
      <c r="G36" s="223"/>
      <c r="H36" s="223"/>
      <c r="I36" s="27" t="s">
        <v>54</v>
      </c>
      <c r="J36" s="28"/>
      <c r="K36" s="28"/>
      <c r="L36" s="28"/>
      <c r="M36" s="28"/>
      <c r="N36" s="28"/>
      <c r="O36" s="28"/>
      <c r="P36" s="227"/>
      <c r="Q36" s="228"/>
      <c r="R36" s="31"/>
    </row>
    <row r="37" spans="1:18" ht="12" customHeight="1" x14ac:dyDescent="0.3">
      <c r="A37" s="30"/>
      <c r="B37" s="241"/>
      <c r="C37" s="245"/>
      <c r="D37" s="246"/>
      <c r="E37" s="249"/>
      <c r="F37" s="250"/>
      <c r="G37" s="223"/>
      <c r="H37" s="223"/>
      <c r="I37" s="27" t="s">
        <v>55</v>
      </c>
      <c r="J37" s="28"/>
      <c r="K37" s="28"/>
      <c r="L37" s="28"/>
      <c r="M37" s="28"/>
      <c r="N37" s="28"/>
      <c r="O37" s="28"/>
      <c r="P37" s="227"/>
      <c r="Q37" s="228"/>
      <c r="R37" s="31"/>
    </row>
    <row r="38" spans="1:18" ht="12" customHeight="1" x14ac:dyDescent="0.3">
      <c r="A38" s="30"/>
      <c r="B38" s="241"/>
      <c r="C38" s="245"/>
      <c r="D38" s="246"/>
      <c r="E38" s="249"/>
      <c r="F38" s="250"/>
      <c r="G38" s="223"/>
      <c r="H38" s="223"/>
      <c r="I38" s="27" t="s">
        <v>56</v>
      </c>
      <c r="J38" s="28"/>
      <c r="K38" s="28"/>
      <c r="L38" s="28"/>
      <c r="M38" s="28"/>
      <c r="N38" s="28"/>
      <c r="O38" s="28"/>
      <c r="P38" s="227"/>
      <c r="Q38" s="228"/>
      <c r="R38" s="31"/>
    </row>
    <row r="39" spans="1:18" ht="12" customHeight="1" x14ac:dyDescent="0.3">
      <c r="A39" s="30"/>
      <c r="B39" s="241"/>
      <c r="C39" s="245"/>
      <c r="D39" s="246"/>
      <c r="E39" s="249"/>
      <c r="F39" s="250"/>
      <c r="G39" s="223"/>
      <c r="H39" s="223"/>
      <c r="I39" s="27" t="s">
        <v>57</v>
      </c>
      <c r="J39" s="28"/>
      <c r="K39" s="28"/>
      <c r="L39" s="28"/>
      <c r="M39" s="28"/>
      <c r="N39" s="28"/>
      <c r="O39" s="28"/>
      <c r="P39" s="227"/>
      <c r="Q39" s="228"/>
      <c r="R39" s="31"/>
    </row>
    <row r="40" spans="1:18" ht="12" customHeight="1" x14ac:dyDescent="0.3">
      <c r="A40" s="30"/>
      <c r="B40" s="241"/>
      <c r="C40" s="251"/>
      <c r="D40" s="252"/>
      <c r="E40" s="253"/>
      <c r="F40" s="254"/>
      <c r="G40" s="223"/>
      <c r="H40" s="223"/>
      <c r="I40" s="32" t="s">
        <v>58</v>
      </c>
      <c r="J40" s="29"/>
      <c r="K40" s="29"/>
      <c r="L40" s="29"/>
      <c r="M40" s="29"/>
      <c r="N40" s="33"/>
      <c r="O40" s="33"/>
      <c r="P40" s="227"/>
      <c r="Q40" s="228"/>
      <c r="R40" s="31"/>
    </row>
    <row r="41" spans="1:18" ht="12" customHeight="1" x14ac:dyDescent="0.3">
      <c r="A41" s="30"/>
      <c r="B41" s="241"/>
      <c r="C41" s="243"/>
      <c r="D41" s="244"/>
      <c r="E41" s="247"/>
      <c r="F41" s="248"/>
      <c r="G41" s="223"/>
      <c r="H41" s="223"/>
      <c r="I41" s="27" t="s">
        <v>52</v>
      </c>
      <c r="J41" s="28"/>
      <c r="K41" s="28"/>
      <c r="L41" s="28"/>
      <c r="M41" s="28"/>
      <c r="N41" s="28"/>
      <c r="O41" s="28"/>
      <c r="P41" s="225"/>
      <c r="Q41" s="226"/>
      <c r="R41" s="31"/>
    </row>
    <row r="42" spans="1:18" ht="12" customHeight="1" x14ac:dyDescent="0.3">
      <c r="A42" s="30"/>
      <c r="B42" s="241"/>
      <c r="C42" s="245"/>
      <c r="D42" s="246"/>
      <c r="E42" s="249"/>
      <c r="F42" s="250"/>
      <c r="G42" s="223"/>
      <c r="H42" s="223"/>
      <c r="I42" s="27" t="s">
        <v>54</v>
      </c>
      <c r="J42" s="28"/>
      <c r="K42" s="28"/>
      <c r="L42" s="28"/>
      <c r="M42" s="28"/>
      <c r="N42" s="28"/>
      <c r="O42" s="28"/>
      <c r="P42" s="227"/>
      <c r="Q42" s="228"/>
      <c r="R42" s="31"/>
    </row>
    <row r="43" spans="1:18" ht="12" customHeight="1" x14ac:dyDescent="0.3">
      <c r="A43" s="30"/>
      <c r="B43" s="241"/>
      <c r="C43" s="245"/>
      <c r="D43" s="246"/>
      <c r="E43" s="249"/>
      <c r="F43" s="250"/>
      <c r="G43" s="223"/>
      <c r="H43" s="223"/>
      <c r="I43" s="27" t="s">
        <v>55</v>
      </c>
      <c r="J43" s="28"/>
      <c r="K43" s="28"/>
      <c r="L43" s="28"/>
      <c r="M43" s="28"/>
      <c r="N43" s="28"/>
      <c r="O43" s="28"/>
      <c r="P43" s="227"/>
      <c r="Q43" s="228"/>
      <c r="R43" s="31"/>
    </row>
    <row r="44" spans="1:18" ht="12" customHeight="1" x14ac:dyDescent="0.3">
      <c r="A44" s="30"/>
      <c r="B44" s="241"/>
      <c r="C44" s="245"/>
      <c r="D44" s="246"/>
      <c r="E44" s="249"/>
      <c r="F44" s="250"/>
      <c r="G44" s="223"/>
      <c r="H44" s="223"/>
      <c r="I44" s="27" t="s">
        <v>56</v>
      </c>
      <c r="J44" s="28"/>
      <c r="K44" s="28"/>
      <c r="L44" s="28"/>
      <c r="M44" s="28"/>
      <c r="N44" s="28"/>
      <c r="O44" s="28"/>
      <c r="P44" s="227"/>
      <c r="Q44" s="228"/>
      <c r="R44" s="31"/>
    </row>
    <row r="45" spans="1:18" ht="12" customHeight="1" x14ac:dyDescent="0.3">
      <c r="A45" s="30"/>
      <c r="B45" s="241"/>
      <c r="C45" s="245"/>
      <c r="D45" s="246"/>
      <c r="E45" s="249"/>
      <c r="F45" s="250"/>
      <c r="G45" s="223"/>
      <c r="H45" s="223"/>
      <c r="I45" s="27" t="s">
        <v>57</v>
      </c>
      <c r="J45" s="28"/>
      <c r="K45" s="28"/>
      <c r="L45" s="28"/>
      <c r="M45" s="28"/>
      <c r="N45" s="28"/>
      <c r="O45" s="28"/>
      <c r="P45" s="227"/>
      <c r="Q45" s="228"/>
      <c r="R45" s="31"/>
    </row>
    <row r="46" spans="1:18" ht="12" customHeight="1" x14ac:dyDescent="0.3">
      <c r="A46" s="30"/>
      <c r="B46" s="241"/>
      <c r="C46" s="251"/>
      <c r="D46" s="252"/>
      <c r="E46" s="253"/>
      <c r="F46" s="254"/>
      <c r="G46" s="223"/>
      <c r="H46" s="223"/>
      <c r="I46" s="32" t="s">
        <v>58</v>
      </c>
      <c r="J46" s="29"/>
      <c r="K46" s="29"/>
      <c r="L46" s="29"/>
      <c r="M46" s="29"/>
      <c r="N46" s="33"/>
      <c r="O46" s="33"/>
      <c r="P46" s="227"/>
      <c r="Q46" s="228"/>
      <c r="R46" s="31"/>
    </row>
    <row r="47" spans="1:18" ht="12" customHeight="1" x14ac:dyDescent="0.3">
      <c r="A47" s="30"/>
      <c r="B47" s="241"/>
      <c r="C47" s="243"/>
      <c r="D47" s="244"/>
      <c r="E47" s="247"/>
      <c r="F47" s="248"/>
      <c r="G47" s="223"/>
      <c r="H47" s="223"/>
      <c r="I47" s="27" t="s">
        <v>52</v>
      </c>
      <c r="J47" s="28"/>
      <c r="K47" s="28"/>
      <c r="L47" s="28"/>
      <c r="M47" s="28"/>
      <c r="N47" s="28"/>
      <c r="O47" s="28"/>
      <c r="P47" s="225"/>
      <c r="Q47" s="226"/>
      <c r="R47" s="31"/>
    </row>
    <row r="48" spans="1:18" ht="12" customHeight="1" x14ac:dyDescent="0.3">
      <c r="A48" s="30"/>
      <c r="B48" s="241"/>
      <c r="C48" s="245"/>
      <c r="D48" s="246"/>
      <c r="E48" s="249"/>
      <c r="F48" s="250"/>
      <c r="G48" s="223"/>
      <c r="H48" s="223"/>
      <c r="I48" s="27" t="s">
        <v>54</v>
      </c>
      <c r="J48" s="28"/>
      <c r="K48" s="28"/>
      <c r="L48" s="28"/>
      <c r="M48" s="28"/>
      <c r="N48" s="28"/>
      <c r="O48" s="28"/>
      <c r="P48" s="227"/>
      <c r="Q48" s="228"/>
      <c r="R48" s="31"/>
    </row>
    <row r="49" spans="1:18" ht="12" customHeight="1" x14ac:dyDescent="0.3">
      <c r="A49" s="30"/>
      <c r="B49" s="241"/>
      <c r="C49" s="245"/>
      <c r="D49" s="246"/>
      <c r="E49" s="249"/>
      <c r="F49" s="250"/>
      <c r="G49" s="223"/>
      <c r="H49" s="223"/>
      <c r="I49" s="27" t="s">
        <v>55</v>
      </c>
      <c r="J49" s="28"/>
      <c r="K49" s="28"/>
      <c r="L49" s="28"/>
      <c r="M49" s="28"/>
      <c r="N49" s="28"/>
      <c r="O49" s="28"/>
      <c r="P49" s="227"/>
      <c r="Q49" s="228"/>
      <c r="R49" s="31"/>
    </row>
    <row r="50" spans="1:18" ht="12" customHeight="1" x14ac:dyDescent="0.3">
      <c r="A50" s="30"/>
      <c r="B50" s="241"/>
      <c r="C50" s="245"/>
      <c r="D50" s="246"/>
      <c r="E50" s="249"/>
      <c r="F50" s="250"/>
      <c r="G50" s="223"/>
      <c r="H50" s="223"/>
      <c r="I50" s="27" t="s">
        <v>56</v>
      </c>
      <c r="J50" s="28"/>
      <c r="K50" s="28"/>
      <c r="L50" s="28"/>
      <c r="M50" s="28"/>
      <c r="N50" s="28"/>
      <c r="O50" s="28"/>
      <c r="P50" s="227"/>
      <c r="Q50" s="228"/>
      <c r="R50" s="31"/>
    </row>
    <row r="51" spans="1:18" ht="12" customHeight="1" x14ac:dyDescent="0.3">
      <c r="A51" s="30"/>
      <c r="B51" s="241"/>
      <c r="C51" s="245"/>
      <c r="D51" s="246"/>
      <c r="E51" s="249"/>
      <c r="F51" s="250"/>
      <c r="G51" s="223"/>
      <c r="H51" s="223"/>
      <c r="I51" s="27" t="s">
        <v>57</v>
      </c>
      <c r="J51" s="28"/>
      <c r="K51" s="28"/>
      <c r="L51" s="28"/>
      <c r="M51" s="28"/>
      <c r="N51" s="28"/>
      <c r="O51" s="28"/>
      <c r="P51" s="227"/>
      <c r="Q51" s="228"/>
      <c r="R51" s="31"/>
    </row>
    <row r="52" spans="1:18" ht="12" customHeight="1" x14ac:dyDescent="0.3">
      <c r="A52" s="30"/>
      <c r="B52" s="241"/>
      <c r="C52" s="251"/>
      <c r="D52" s="252"/>
      <c r="E52" s="253"/>
      <c r="F52" s="254"/>
      <c r="G52" s="223"/>
      <c r="H52" s="223"/>
      <c r="I52" s="32" t="s">
        <v>58</v>
      </c>
      <c r="J52" s="29"/>
      <c r="K52" s="29"/>
      <c r="L52" s="29"/>
      <c r="M52" s="29"/>
      <c r="N52" s="33"/>
      <c r="O52" s="33"/>
      <c r="P52" s="227"/>
      <c r="Q52" s="228"/>
      <c r="R52" s="31"/>
    </row>
    <row r="53" spans="1:18" ht="12" customHeight="1" x14ac:dyDescent="0.3">
      <c r="A53" s="30"/>
      <c r="B53" s="241"/>
      <c r="C53" s="243"/>
      <c r="D53" s="244"/>
      <c r="E53" s="247"/>
      <c r="F53" s="248"/>
      <c r="G53" s="223"/>
      <c r="H53" s="223"/>
      <c r="I53" s="27" t="s">
        <v>52</v>
      </c>
      <c r="J53" s="28"/>
      <c r="K53" s="28"/>
      <c r="L53" s="28"/>
      <c r="M53" s="28"/>
      <c r="N53" s="28"/>
      <c r="O53" s="28"/>
      <c r="P53" s="225"/>
      <c r="Q53" s="226"/>
      <c r="R53" s="31"/>
    </row>
    <row r="54" spans="1:18" ht="12" customHeight="1" x14ac:dyDescent="0.3">
      <c r="A54" s="30"/>
      <c r="B54" s="241"/>
      <c r="C54" s="245"/>
      <c r="D54" s="246"/>
      <c r="E54" s="249"/>
      <c r="F54" s="250"/>
      <c r="G54" s="223"/>
      <c r="H54" s="223"/>
      <c r="I54" s="27" t="s">
        <v>54</v>
      </c>
      <c r="J54" s="28"/>
      <c r="K54" s="28"/>
      <c r="L54" s="28"/>
      <c r="M54" s="28"/>
      <c r="N54" s="28"/>
      <c r="O54" s="28"/>
      <c r="P54" s="227"/>
      <c r="Q54" s="228"/>
      <c r="R54" s="31"/>
    </row>
    <row r="55" spans="1:18" ht="12" customHeight="1" x14ac:dyDescent="0.3">
      <c r="A55" s="30"/>
      <c r="B55" s="241"/>
      <c r="C55" s="245"/>
      <c r="D55" s="246"/>
      <c r="E55" s="249"/>
      <c r="F55" s="250"/>
      <c r="G55" s="223"/>
      <c r="H55" s="223"/>
      <c r="I55" s="27" t="s">
        <v>55</v>
      </c>
      <c r="J55" s="28"/>
      <c r="K55" s="28"/>
      <c r="L55" s="28"/>
      <c r="M55" s="28"/>
      <c r="N55" s="28"/>
      <c r="O55" s="28"/>
      <c r="P55" s="227"/>
      <c r="Q55" s="228"/>
      <c r="R55" s="31"/>
    </row>
    <row r="56" spans="1:18" ht="12" customHeight="1" x14ac:dyDescent="0.3">
      <c r="A56" s="30"/>
      <c r="B56" s="241"/>
      <c r="C56" s="245"/>
      <c r="D56" s="246"/>
      <c r="E56" s="249"/>
      <c r="F56" s="250"/>
      <c r="G56" s="223"/>
      <c r="H56" s="223"/>
      <c r="I56" s="27" t="s">
        <v>56</v>
      </c>
      <c r="J56" s="28"/>
      <c r="K56" s="28"/>
      <c r="L56" s="28"/>
      <c r="M56" s="28"/>
      <c r="N56" s="28"/>
      <c r="O56" s="28"/>
      <c r="P56" s="227"/>
      <c r="Q56" s="228"/>
      <c r="R56" s="31"/>
    </row>
    <row r="57" spans="1:18" ht="12" customHeight="1" x14ac:dyDescent="0.3">
      <c r="A57" s="30"/>
      <c r="B57" s="241"/>
      <c r="C57" s="245"/>
      <c r="D57" s="246"/>
      <c r="E57" s="249"/>
      <c r="F57" s="250"/>
      <c r="G57" s="223"/>
      <c r="H57" s="223"/>
      <c r="I57" s="27" t="s">
        <v>57</v>
      </c>
      <c r="J57" s="28"/>
      <c r="K57" s="28"/>
      <c r="L57" s="28"/>
      <c r="M57" s="28"/>
      <c r="N57" s="28"/>
      <c r="O57" s="28"/>
      <c r="P57" s="227"/>
      <c r="Q57" s="228"/>
      <c r="R57" s="31"/>
    </row>
    <row r="58" spans="1:18" ht="12" customHeight="1" x14ac:dyDescent="0.3">
      <c r="A58" s="30"/>
      <c r="B58" s="241"/>
      <c r="C58" s="251"/>
      <c r="D58" s="252"/>
      <c r="E58" s="249"/>
      <c r="F58" s="250"/>
      <c r="G58" s="223"/>
      <c r="H58" s="223"/>
      <c r="I58" s="32" t="s">
        <v>58</v>
      </c>
      <c r="J58" s="29"/>
      <c r="K58" s="29"/>
      <c r="L58" s="29"/>
      <c r="M58" s="29"/>
      <c r="N58" s="33"/>
      <c r="O58" s="33"/>
      <c r="P58" s="227"/>
      <c r="Q58" s="228"/>
      <c r="R58" s="31"/>
    </row>
    <row r="59" spans="1:18" ht="12" customHeight="1" x14ac:dyDescent="0.3">
      <c r="A59" s="30"/>
      <c r="B59" s="34"/>
      <c r="C59" s="34"/>
      <c r="D59" s="34"/>
      <c r="E59" s="35"/>
      <c r="F59" s="35"/>
      <c r="G59" s="36"/>
      <c r="H59" s="36"/>
      <c r="I59" s="37"/>
      <c r="J59" s="38"/>
      <c r="K59" s="38"/>
      <c r="L59" s="38"/>
      <c r="M59" s="38"/>
      <c r="N59" s="38"/>
      <c r="O59" s="38"/>
      <c r="P59" s="39"/>
      <c r="Q59" s="39"/>
      <c r="R59" s="31"/>
    </row>
    <row r="60" spans="1:18" ht="12" customHeight="1" x14ac:dyDescent="0.3">
      <c r="A60" s="30"/>
      <c r="B60" s="40"/>
      <c r="C60" s="40"/>
      <c r="D60" s="40"/>
      <c r="E60" s="41"/>
      <c r="F60" s="41"/>
      <c r="G60" s="42"/>
      <c r="H60" s="42"/>
      <c r="I60" s="43"/>
      <c r="J60" s="44"/>
      <c r="K60" s="44"/>
      <c r="L60" s="44"/>
      <c r="M60" s="44"/>
      <c r="N60" s="44"/>
      <c r="O60" s="44"/>
      <c r="P60" s="45"/>
      <c r="Q60" s="45"/>
      <c r="R60" s="31"/>
    </row>
    <row r="61" spans="1:18" s="54" customFormat="1" ht="14.1" customHeight="1" x14ac:dyDescent="0.3">
      <c r="A61" s="61"/>
      <c r="B61" s="40"/>
      <c r="C61" s="40"/>
      <c r="D61" s="40"/>
      <c r="E61" s="41"/>
      <c r="F61" s="41"/>
      <c r="G61" s="42"/>
      <c r="H61" s="42"/>
      <c r="I61" s="43"/>
      <c r="J61" s="44"/>
      <c r="K61" s="44"/>
      <c r="L61" s="44"/>
      <c r="M61" s="44"/>
      <c r="N61" s="44"/>
      <c r="O61" s="44"/>
      <c r="P61" s="45"/>
      <c r="Q61" s="45"/>
      <c r="R61" s="62"/>
    </row>
    <row r="62" spans="1:18" ht="12" customHeight="1" x14ac:dyDescent="0.3">
      <c r="A62" s="30"/>
      <c r="B62" s="40"/>
      <c r="C62" s="240" t="s">
        <v>135</v>
      </c>
      <c r="D62" s="240"/>
      <c r="E62" s="41"/>
      <c r="F62" s="41"/>
      <c r="G62" s="42"/>
      <c r="H62" s="42"/>
      <c r="I62" s="43"/>
      <c r="J62" s="44"/>
      <c r="K62" s="44"/>
      <c r="L62" s="44"/>
      <c r="M62" s="38"/>
      <c r="N62" s="118" t="s">
        <v>136</v>
      </c>
      <c r="O62" s="38"/>
      <c r="P62" s="45"/>
      <c r="Q62" s="45"/>
      <c r="R62" s="31"/>
    </row>
    <row r="63" spans="1:18" ht="12" customHeight="1" x14ac:dyDescent="0.3">
      <c r="A63" s="46"/>
      <c r="B63" s="47"/>
      <c r="C63" s="47"/>
      <c r="D63" s="47"/>
      <c r="E63" s="48"/>
      <c r="F63" s="48"/>
      <c r="G63" s="49"/>
      <c r="H63" s="49"/>
      <c r="I63" s="50"/>
      <c r="J63" s="51"/>
      <c r="K63" s="51"/>
      <c r="L63" s="51"/>
      <c r="M63" s="51"/>
      <c r="N63" s="51"/>
      <c r="O63" s="51"/>
      <c r="P63" s="52"/>
      <c r="Q63" s="52"/>
      <c r="R63" s="53"/>
    </row>
    <row r="64" spans="1:18" ht="15.9" customHeight="1" x14ac:dyDescent="0.3">
      <c r="B64" s="40"/>
      <c r="C64" s="40"/>
      <c r="D64" s="40"/>
      <c r="E64" s="41"/>
      <c r="F64" s="41"/>
      <c r="G64" s="42"/>
      <c r="H64" s="42"/>
      <c r="I64" s="43"/>
      <c r="J64" s="44"/>
      <c r="K64" s="44"/>
      <c r="L64" s="44"/>
      <c r="M64" s="44"/>
      <c r="N64" s="44"/>
      <c r="O64" s="44"/>
      <c r="P64" s="45"/>
      <c r="Q64" s="45"/>
    </row>
    <row r="65" spans="2:17" ht="15.9" customHeight="1" x14ac:dyDescent="0.3">
      <c r="B65" s="40"/>
      <c r="C65" s="40"/>
      <c r="D65" s="40"/>
      <c r="E65" s="41"/>
      <c r="F65" s="41"/>
      <c r="G65" s="42"/>
      <c r="H65" s="42"/>
      <c r="I65" s="43"/>
      <c r="J65" s="63"/>
      <c r="K65" s="63"/>
      <c r="L65" s="63"/>
      <c r="M65" s="63"/>
      <c r="N65" s="63"/>
      <c r="O65" s="63"/>
      <c r="P65" s="45"/>
      <c r="Q65" s="45"/>
    </row>
    <row r="66" spans="2:17" ht="15.9" customHeight="1" x14ac:dyDescent="0.3"/>
    <row r="67" spans="2:17" ht="15.9" customHeight="1" x14ac:dyDescent="0.3"/>
    <row r="68" spans="2:17" ht="15.9" customHeight="1" x14ac:dyDescent="0.3"/>
    <row r="69" spans="2:17" ht="15.9" customHeight="1" x14ac:dyDescent="0.3"/>
    <row r="70" spans="2:17" ht="15.9" customHeight="1" x14ac:dyDescent="0.3"/>
    <row r="71" spans="2:17" ht="15.9" customHeight="1" x14ac:dyDescent="0.3"/>
    <row r="72" spans="2:17" ht="15.9" customHeight="1" x14ac:dyDescent="0.3"/>
    <row r="73" spans="2:17" ht="15.9" customHeight="1" x14ac:dyDescent="0.3"/>
    <row r="74" spans="2:17" ht="15.9" customHeight="1" x14ac:dyDescent="0.3"/>
    <row r="75" spans="2:17" ht="15.9" customHeight="1" x14ac:dyDescent="0.3"/>
    <row r="76" spans="2:17" ht="15.9" customHeight="1" x14ac:dyDescent="0.3"/>
    <row r="77" spans="2:17" ht="15.9" customHeight="1" x14ac:dyDescent="0.3"/>
    <row r="78" spans="2:17" ht="15.9" customHeight="1" x14ac:dyDescent="0.3"/>
    <row r="79" spans="2:17" ht="15.9" customHeight="1" x14ac:dyDescent="0.3"/>
    <row r="80" spans="2:17" ht="15.9" customHeight="1" x14ac:dyDescent="0.3"/>
    <row r="81" ht="15.9" customHeight="1" x14ac:dyDescent="0.3"/>
    <row r="82" ht="15.9" customHeight="1" x14ac:dyDescent="0.3"/>
    <row r="83" ht="15.9" customHeight="1" x14ac:dyDescent="0.3"/>
    <row r="84" ht="15.9" customHeight="1" x14ac:dyDescent="0.3"/>
    <row r="85" ht="15.9" customHeight="1" x14ac:dyDescent="0.3"/>
    <row r="86" ht="15.9" customHeight="1" x14ac:dyDescent="0.3"/>
    <row r="87" ht="15.9" customHeight="1" x14ac:dyDescent="0.3"/>
    <row r="88" ht="15.9" customHeight="1" x14ac:dyDescent="0.3"/>
    <row r="89" ht="15.9" customHeight="1" x14ac:dyDescent="0.3"/>
    <row r="90" ht="15.9" customHeight="1" x14ac:dyDescent="0.3"/>
    <row r="91" ht="15.9" customHeight="1" x14ac:dyDescent="0.3"/>
    <row r="92" ht="15.9" customHeight="1" x14ac:dyDescent="0.3"/>
    <row r="93" ht="15.9" customHeight="1" x14ac:dyDescent="0.3"/>
    <row r="94" ht="15.9" customHeight="1" x14ac:dyDescent="0.3"/>
    <row r="95" ht="15.9" customHeight="1" x14ac:dyDescent="0.3"/>
    <row r="96" ht="15.9" customHeight="1" x14ac:dyDescent="0.3"/>
    <row r="97" ht="15.9" customHeight="1" x14ac:dyDescent="0.3"/>
    <row r="98" ht="15.9" customHeight="1" x14ac:dyDescent="0.3"/>
    <row r="99" ht="15.9" customHeight="1" x14ac:dyDescent="0.3"/>
    <row r="100" ht="15.9" customHeight="1" x14ac:dyDescent="0.3"/>
    <row r="101" ht="15.9" customHeight="1" x14ac:dyDescent="0.3"/>
    <row r="102" ht="15.9" customHeight="1" x14ac:dyDescent="0.3"/>
    <row r="103" ht="15.9" customHeight="1" x14ac:dyDescent="0.3"/>
    <row r="104" ht="15.9" customHeight="1" x14ac:dyDescent="0.3"/>
    <row r="105" ht="15.9" customHeight="1" x14ac:dyDescent="0.3"/>
    <row r="106" ht="15.9" customHeight="1" x14ac:dyDescent="0.3"/>
    <row r="107" ht="15.9" customHeight="1" x14ac:dyDescent="0.3"/>
    <row r="108" ht="15.9" customHeight="1" x14ac:dyDescent="0.3"/>
    <row r="109" ht="15.9" customHeight="1" x14ac:dyDescent="0.3"/>
    <row r="110" ht="15.9" customHeight="1" x14ac:dyDescent="0.3"/>
    <row r="111" ht="15.9" customHeight="1" x14ac:dyDescent="0.3"/>
    <row r="112" ht="15.9" customHeight="1" x14ac:dyDescent="0.3"/>
    <row r="113" ht="15.9" customHeight="1" x14ac:dyDescent="0.3"/>
    <row r="114" ht="15.9" customHeight="1" x14ac:dyDescent="0.3"/>
    <row r="115" ht="15.9" customHeight="1" x14ac:dyDescent="0.3"/>
    <row r="116" ht="15.9" customHeight="1" x14ac:dyDescent="0.3"/>
    <row r="117" ht="15.9" customHeight="1" x14ac:dyDescent="0.3"/>
    <row r="118" ht="15.9" customHeight="1" x14ac:dyDescent="0.3"/>
    <row r="119" ht="15.9" customHeight="1" x14ac:dyDescent="0.3"/>
    <row r="120" ht="15.9" customHeight="1" x14ac:dyDescent="0.3"/>
    <row r="121" ht="15.9" customHeight="1" x14ac:dyDescent="0.3"/>
    <row r="122" ht="15.9" customHeight="1" x14ac:dyDescent="0.3"/>
    <row r="123" ht="15.9" customHeight="1" x14ac:dyDescent="0.3"/>
    <row r="124" ht="15.9" customHeight="1" x14ac:dyDescent="0.3"/>
    <row r="125" ht="15.9" customHeight="1" x14ac:dyDescent="0.3"/>
    <row r="126" ht="15.9" customHeight="1" x14ac:dyDescent="0.3"/>
    <row r="127" ht="15.9" customHeight="1" x14ac:dyDescent="0.3"/>
    <row r="128" ht="15.9" customHeight="1" x14ac:dyDescent="0.3"/>
    <row r="129" ht="15.9" customHeight="1" x14ac:dyDescent="0.3"/>
    <row r="130" ht="15.9" customHeight="1" x14ac:dyDescent="0.3"/>
    <row r="131" ht="15.9" customHeight="1" x14ac:dyDescent="0.3"/>
    <row r="132" ht="15.9" customHeight="1" x14ac:dyDescent="0.3"/>
    <row r="133" ht="15.9" customHeight="1" x14ac:dyDescent="0.3"/>
    <row r="134" ht="15.9" customHeight="1" x14ac:dyDescent="0.3"/>
    <row r="135" ht="15.9" customHeight="1" x14ac:dyDescent="0.3"/>
    <row r="136" ht="15.9" customHeight="1" x14ac:dyDescent="0.3"/>
    <row r="137" ht="15.9" customHeight="1" x14ac:dyDescent="0.3"/>
    <row r="138" ht="15.9" customHeight="1" x14ac:dyDescent="0.3"/>
    <row r="139" ht="15.9" customHeight="1" x14ac:dyDescent="0.3"/>
    <row r="140" ht="15.9" customHeight="1" x14ac:dyDescent="0.3"/>
    <row r="141" ht="15.9" customHeight="1" x14ac:dyDescent="0.3"/>
    <row r="142" ht="15.9" customHeight="1" x14ac:dyDescent="0.3"/>
    <row r="143" ht="15.9" customHeight="1" x14ac:dyDescent="0.3"/>
    <row r="144" ht="15.9" customHeight="1" x14ac:dyDescent="0.3"/>
    <row r="145" ht="15.9" customHeight="1" x14ac:dyDescent="0.3"/>
    <row r="146" ht="15.9" customHeight="1" x14ac:dyDescent="0.3"/>
    <row r="147" ht="15.9" customHeight="1" x14ac:dyDescent="0.3"/>
    <row r="148" ht="15.9" customHeight="1" x14ac:dyDescent="0.3"/>
    <row r="149" ht="15.9" customHeight="1" x14ac:dyDescent="0.3"/>
    <row r="150" ht="15.9" customHeight="1" x14ac:dyDescent="0.3"/>
    <row r="151" ht="15.9" customHeight="1" x14ac:dyDescent="0.3"/>
    <row r="152" ht="15.9" customHeight="1" x14ac:dyDescent="0.3"/>
    <row r="153" ht="15.9" customHeight="1" x14ac:dyDescent="0.3"/>
    <row r="154" ht="15.9" customHeight="1" x14ac:dyDescent="0.3"/>
    <row r="155" ht="15.9" customHeight="1" x14ac:dyDescent="0.3"/>
    <row r="156" ht="15.9" customHeight="1" x14ac:dyDescent="0.3"/>
    <row r="157" ht="15.9" customHeight="1" x14ac:dyDescent="0.3"/>
    <row r="158" ht="15.9" customHeight="1" x14ac:dyDescent="0.3"/>
    <row r="159" ht="15.9" customHeight="1" x14ac:dyDescent="0.3"/>
    <row r="160" ht="15.9" customHeight="1" x14ac:dyDescent="0.3"/>
    <row r="161" ht="15.9" customHeight="1" x14ac:dyDescent="0.3"/>
    <row r="162" ht="15.9" customHeight="1" x14ac:dyDescent="0.3"/>
    <row r="163" ht="15.9" customHeight="1" x14ac:dyDescent="0.3"/>
    <row r="164" ht="15.9" customHeight="1" x14ac:dyDescent="0.3"/>
    <row r="165" ht="15.9" customHeight="1" x14ac:dyDescent="0.3"/>
    <row r="166" ht="15.9" customHeight="1" x14ac:dyDescent="0.3"/>
    <row r="167" ht="15.9" customHeight="1" x14ac:dyDescent="0.3"/>
    <row r="168" ht="15.9" customHeight="1" x14ac:dyDescent="0.3"/>
    <row r="169" ht="15.9" customHeight="1" x14ac:dyDescent="0.3"/>
    <row r="170" ht="15.9" customHeight="1" x14ac:dyDescent="0.3"/>
    <row r="171" ht="15.9" customHeight="1" x14ac:dyDescent="0.3"/>
    <row r="172" ht="15.9" customHeight="1" x14ac:dyDescent="0.3"/>
    <row r="173" ht="15.9" customHeight="1" x14ac:dyDescent="0.3"/>
    <row r="174" ht="15.9" customHeight="1" x14ac:dyDescent="0.3"/>
    <row r="175" ht="15.9" customHeight="1" x14ac:dyDescent="0.3"/>
    <row r="176" ht="15.9" customHeight="1" x14ac:dyDescent="0.3"/>
    <row r="177" ht="15.9" customHeight="1" x14ac:dyDescent="0.3"/>
    <row r="178" ht="15.9" customHeight="1" x14ac:dyDescent="0.3"/>
    <row r="179" ht="15.9" customHeight="1" x14ac:dyDescent="0.3"/>
    <row r="180" ht="15.9" customHeight="1" x14ac:dyDescent="0.3"/>
    <row r="181" ht="15.9" customHeight="1" x14ac:dyDescent="0.3"/>
    <row r="182" ht="15.9" customHeight="1" x14ac:dyDescent="0.3"/>
    <row r="183" ht="15.9" customHeight="1" x14ac:dyDescent="0.3"/>
    <row r="184" ht="15.9" customHeight="1" x14ac:dyDescent="0.3"/>
    <row r="185" ht="15.9" customHeight="1" x14ac:dyDescent="0.3"/>
    <row r="186" ht="15.9" customHeight="1" x14ac:dyDescent="0.3"/>
    <row r="187" ht="15.9" customHeight="1" x14ac:dyDescent="0.3"/>
    <row r="188" ht="15.9" customHeight="1" x14ac:dyDescent="0.3"/>
    <row r="189" ht="15.9" customHeight="1" x14ac:dyDescent="0.3"/>
    <row r="190" ht="15.9" customHeight="1" x14ac:dyDescent="0.3"/>
    <row r="191" ht="15.9" customHeight="1" x14ac:dyDescent="0.3"/>
    <row r="192" ht="15.9" customHeight="1" x14ac:dyDescent="0.3"/>
    <row r="193" ht="15.9" customHeight="1" x14ac:dyDescent="0.3"/>
    <row r="194" ht="15.9" customHeight="1" x14ac:dyDescent="0.3"/>
    <row r="195" ht="15.9" customHeight="1" x14ac:dyDescent="0.3"/>
    <row r="196" ht="15.9" customHeight="1" x14ac:dyDescent="0.3"/>
    <row r="197" ht="15.9" customHeight="1" x14ac:dyDescent="0.3"/>
    <row r="198" ht="15.9" customHeight="1" x14ac:dyDescent="0.3"/>
    <row r="199" ht="15.9" customHeight="1" x14ac:dyDescent="0.3"/>
    <row r="200" ht="15.9" customHeight="1" x14ac:dyDescent="0.3"/>
    <row r="201" ht="15.9" customHeight="1" x14ac:dyDescent="0.3"/>
    <row r="202" ht="15.9" customHeight="1" x14ac:dyDescent="0.3"/>
    <row r="203" ht="15.9" customHeight="1" x14ac:dyDescent="0.3"/>
    <row r="204" ht="15.9" customHeight="1" x14ac:dyDescent="0.3"/>
    <row r="205" ht="15.9" customHeight="1" x14ac:dyDescent="0.3"/>
    <row r="206" ht="15.9" customHeight="1" x14ac:dyDescent="0.3"/>
    <row r="207" ht="15.9" customHeight="1" x14ac:dyDescent="0.3"/>
    <row r="208" ht="15.9" customHeight="1" x14ac:dyDescent="0.3"/>
    <row r="209" ht="15.9" customHeight="1" x14ac:dyDescent="0.3"/>
    <row r="210" ht="15.9" customHeight="1" x14ac:dyDescent="0.3"/>
    <row r="211" ht="15.9" customHeight="1" x14ac:dyDescent="0.3"/>
    <row r="212" ht="15.9" customHeight="1" x14ac:dyDescent="0.3"/>
    <row r="213" ht="15.9" customHeight="1" x14ac:dyDescent="0.3"/>
    <row r="214" ht="15.9" customHeight="1" x14ac:dyDescent="0.3"/>
    <row r="215" ht="15.9" customHeight="1" x14ac:dyDescent="0.3"/>
    <row r="216" ht="15.9" customHeight="1" x14ac:dyDescent="0.3"/>
    <row r="217" ht="15.9" customHeight="1" x14ac:dyDescent="0.3"/>
    <row r="218" ht="15.9" customHeight="1" x14ac:dyDescent="0.3"/>
    <row r="219" ht="15.9" customHeight="1" x14ac:dyDescent="0.3"/>
    <row r="220" ht="15.9" customHeight="1" x14ac:dyDescent="0.3"/>
    <row r="221" ht="15.9" customHeight="1" x14ac:dyDescent="0.3"/>
    <row r="222" ht="15.9" customHeight="1" x14ac:dyDescent="0.3"/>
    <row r="223" ht="15.9" customHeight="1" x14ac:dyDescent="0.3"/>
    <row r="224" ht="15.9" customHeight="1" x14ac:dyDescent="0.3"/>
    <row r="225" ht="15.9" customHeight="1" x14ac:dyDescent="0.3"/>
    <row r="226" ht="15.9" customHeight="1" x14ac:dyDescent="0.3"/>
    <row r="227" ht="15.9" customHeight="1" x14ac:dyDescent="0.3"/>
    <row r="228" ht="15.9" customHeight="1" x14ac:dyDescent="0.3"/>
    <row r="229" ht="15.9" customHeight="1" x14ac:dyDescent="0.3"/>
    <row r="230" ht="15.9" customHeight="1" x14ac:dyDescent="0.3"/>
    <row r="231" ht="15.9" customHeight="1" x14ac:dyDescent="0.3"/>
    <row r="232" ht="15.9" customHeight="1" x14ac:dyDescent="0.3"/>
    <row r="233" ht="15.9" customHeight="1" x14ac:dyDescent="0.3"/>
    <row r="234" ht="15.9" customHeight="1" x14ac:dyDescent="0.3"/>
    <row r="235" ht="15.9" customHeight="1" x14ac:dyDescent="0.3"/>
    <row r="236" ht="15.9" customHeight="1" x14ac:dyDescent="0.3"/>
    <row r="237" ht="15.9" customHeight="1" x14ac:dyDescent="0.3"/>
    <row r="238" ht="15.9" customHeight="1" x14ac:dyDescent="0.3"/>
    <row r="239" ht="15.9" customHeight="1" x14ac:dyDescent="0.3"/>
    <row r="240" ht="15.9" customHeight="1" x14ac:dyDescent="0.3"/>
    <row r="241" ht="15.9" customHeight="1" x14ac:dyDescent="0.3"/>
    <row r="242" ht="15.9" customHeight="1" x14ac:dyDescent="0.3"/>
    <row r="243" ht="15.9" customHeight="1" x14ac:dyDescent="0.3"/>
    <row r="244" ht="15.9" customHeight="1" x14ac:dyDescent="0.3"/>
    <row r="245" ht="15.9" customHeight="1" x14ac:dyDescent="0.3"/>
    <row r="246" ht="15.9" customHeight="1" x14ac:dyDescent="0.3"/>
    <row r="247" ht="15.9" customHeight="1" x14ac:dyDescent="0.3"/>
    <row r="248" ht="15.9" customHeight="1" x14ac:dyDescent="0.3"/>
    <row r="249" ht="15.9" customHeight="1" x14ac:dyDescent="0.3"/>
    <row r="250" ht="15.9" customHeight="1" x14ac:dyDescent="0.3"/>
    <row r="251" ht="15.9" customHeight="1" x14ac:dyDescent="0.3"/>
    <row r="252" ht="15.9" customHeight="1" x14ac:dyDescent="0.3"/>
    <row r="253" ht="15.9" customHeight="1" x14ac:dyDescent="0.3"/>
    <row r="254" ht="15.9" customHeight="1" x14ac:dyDescent="0.3"/>
    <row r="255" ht="15.9" customHeight="1" x14ac:dyDescent="0.3"/>
    <row r="256" ht="15.9" customHeight="1" x14ac:dyDescent="0.3"/>
    <row r="257" ht="15.9" customHeight="1" x14ac:dyDescent="0.3"/>
    <row r="258" ht="15.9" customHeight="1" x14ac:dyDescent="0.3"/>
    <row r="259" ht="15.9" customHeight="1" x14ac:dyDescent="0.3"/>
    <row r="260" ht="15.9" customHeight="1" x14ac:dyDescent="0.3"/>
    <row r="261" ht="15.9" customHeight="1" x14ac:dyDescent="0.3"/>
    <row r="262" ht="15.9" customHeight="1" x14ac:dyDescent="0.3"/>
    <row r="263" ht="15.9" customHeight="1" x14ac:dyDescent="0.3"/>
    <row r="264" ht="15.9" customHeight="1" x14ac:dyDescent="0.3"/>
    <row r="265" ht="15.9" customHeight="1" x14ac:dyDescent="0.3"/>
    <row r="266" ht="15.9" customHeight="1" x14ac:dyDescent="0.3"/>
    <row r="267" ht="15.9" customHeight="1" x14ac:dyDescent="0.3"/>
    <row r="268" ht="15.9" customHeight="1" x14ac:dyDescent="0.3"/>
    <row r="269" ht="15.9" customHeight="1" x14ac:dyDescent="0.3"/>
    <row r="270" ht="15.9" customHeight="1" x14ac:dyDescent="0.3"/>
    <row r="271" ht="15.9" customHeight="1" x14ac:dyDescent="0.3"/>
    <row r="272" ht="15.9" customHeight="1" x14ac:dyDescent="0.3"/>
    <row r="273" ht="15.9" customHeight="1" x14ac:dyDescent="0.3"/>
    <row r="274" ht="15.9" customHeight="1" x14ac:dyDescent="0.3"/>
    <row r="275" ht="15.9" customHeight="1" x14ac:dyDescent="0.3"/>
    <row r="276" ht="15.9" customHeight="1" x14ac:dyDescent="0.3"/>
    <row r="277" ht="15.9" customHeight="1" x14ac:dyDescent="0.3"/>
    <row r="278" ht="15.9" customHeight="1" x14ac:dyDescent="0.3"/>
    <row r="279" ht="15.9" customHeight="1" x14ac:dyDescent="0.3"/>
    <row r="280" ht="15.9" customHeight="1" x14ac:dyDescent="0.3"/>
    <row r="281" ht="15.9" customHeight="1" x14ac:dyDescent="0.3"/>
    <row r="282" ht="15.9" customHeight="1" x14ac:dyDescent="0.3"/>
    <row r="283" ht="15.9" customHeight="1" x14ac:dyDescent="0.3"/>
    <row r="284" ht="15.9" customHeight="1" x14ac:dyDescent="0.3"/>
    <row r="285" ht="15.9" customHeight="1" x14ac:dyDescent="0.3"/>
    <row r="286" ht="15.9" customHeight="1" x14ac:dyDescent="0.3"/>
    <row r="287" ht="15.9" customHeight="1" x14ac:dyDescent="0.3"/>
    <row r="288" ht="15.9" customHeight="1" x14ac:dyDescent="0.3"/>
    <row r="289" ht="15.9" customHeight="1" x14ac:dyDescent="0.3"/>
    <row r="290" ht="15.9" customHeight="1" x14ac:dyDescent="0.3"/>
    <row r="291" ht="15.9" customHeight="1" x14ac:dyDescent="0.3"/>
    <row r="292" ht="15.9" customHeight="1" x14ac:dyDescent="0.3"/>
    <row r="293" ht="15.9" customHeight="1" x14ac:dyDescent="0.3"/>
    <row r="294" ht="15.9" customHeight="1" x14ac:dyDescent="0.3"/>
    <row r="295" ht="15.9" customHeight="1" x14ac:dyDescent="0.3"/>
    <row r="296" ht="15.9" customHeight="1" x14ac:dyDescent="0.3"/>
    <row r="297" ht="15.9" customHeight="1" x14ac:dyDescent="0.3"/>
    <row r="298" ht="15.9" customHeight="1" x14ac:dyDescent="0.3"/>
    <row r="299" ht="15.9" customHeight="1" x14ac:dyDescent="0.3"/>
    <row r="300" ht="15.9" customHeight="1" x14ac:dyDescent="0.3"/>
    <row r="301" ht="15.9" customHeight="1" x14ac:dyDescent="0.3"/>
    <row r="302" ht="15.9" customHeight="1" x14ac:dyDescent="0.3"/>
    <row r="303" ht="15.9" customHeight="1" x14ac:dyDescent="0.3"/>
    <row r="304" ht="15.9" customHeight="1" x14ac:dyDescent="0.3"/>
    <row r="305" ht="15.9" customHeight="1" x14ac:dyDescent="0.3"/>
    <row r="306" ht="15.9" customHeight="1" x14ac:dyDescent="0.3"/>
    <row r="307" ht="15.9" customHeight="1" x14ac:dyDescent="0.3"/>
    <row r="308" ht="15.9" customHeight="1" x14ac:dyDescent="0.3"/>
    <row r="309" ht="15.9" customHeight="1" x14ac:dyDescent="0.3"/>
    <row r="310" ht="15.9" customHeight="1" x14ac:dyDescent="0.3"/>
    <row r="311" ht="15.9" customHeight="1" x14ac:dyDescent="0.3"/>
    <row r="312" ht="15.9" customHeight="1" x14ac:dyDescent="0.3"/>
    <row r="313" ht="15.9" customHeight="1" x14ac:dyDescent="0.3"/>
    <row r="314" ht="15.9" customHeight="1" x14ac:dyDescent="0.3"/>
    <row r="315" ht="15.9" customHeight="1" x14ac:dyDescent="0.3"/>
    <row r="316" ht="15.9" customHeight="1" x14ac:dyDescent="0.3"/>
    <row r="317" ht="15.9" customHeight="1" x14ac:dyDescent="0.3"/>
    <row r="318" ht="15.9" customHeight="1" x14ac:dyDescent="0.3"/>
    <row r="319" ht="15.9" customHeight="1" x14ac:dyDescent="0.3"/>
    <row r="320" ht="15.9" customHeight="1" x14ac:dyDescent="0.3"/>
    <row r="321" ht="15.9" customHeight="1" x14ac:dyDescent="0.3"/>
    <row r="322" ht="15.9" customHeight="1" x14ac:dyDescent="0.3"/>
    <row r="323" ht="15.9" customHeight="1" x14ac:dyDescent="0.3"/>
    <row r="324" ht="15.9" customHeight="1" x14ac:dyDescent="0.3"/>
    <row r="325" ht="15.9" customHeight="1" x14ac:dyDescent="0.3"/>
    <row r="326" ht="15.9" customHeight="1" x14ac:dyDescent="0.3"/>
    <row r="327" ht="15.9" customHeight="1" x14ac:dyDescent="0.3"/>
    <row r="328" ht="15.9" customHeight="1" x14ac:dyDescent="0.3"/>
    <row r="329" ht="15.9" customHeight="1" x14ac:dyDescent="0.3"/>
    <row r="330" ht="15.9" customHeight="1" x14ac:dyDescent="0.3"/>
    <row r="331" ht="15.9" customHeight="1" x14ac:dyDescent="0.3"/>
    <row r="332" ht="15.9" customHeight="1" x14ac:dyDescent="0.3"/>
    <row r="333" ht="15.9" customHeight="1" x14ac:dyDescent="0.3"/>
    <row r="334" ht="15.9" customHeight="1" x14ac:dyDescent="0.3"/>
    <row r="335" ht="15.9" customHeight="1" x14ac:dyDescent="0.3"/>
    <row r="336" ht="15.9" customHeight="1" x14ac:dyDescent="0.3"/>
    <row r="337" ht="15.9" customHeight="1" x14ac:dyDescent="0.3"/>
    <row r="338" ht="15.9" customHeight="1" x14ac:dyDescent="0.3"/>
    <row r="339" ht="15.9" customHeight="1" x14ac:dyDescent="0.3"/>
    <row r="340" ht="15.9" customHeight="1" x14ac:dyDescent="0.3"/>
    <row r="341" ht="15.9" customHeight="1" x14ac:dyDescent="0.3"/>
    <row r="342" ht="15.9" customHeight="1" x14ac:dyDescent="0.3"/>
    <row r="343" ht="15.9" customHeight="1" x14ac:dyDescent="0.3"/>
    <row r="344" ht="15.9" customHeight="1" x14ac:dyDescent="0.3"/>
    <row r="345" ht="15.9" customHeight="1" x14ac:dyDescent="0.3"/>
    <row r="346" ht="15.9" customHeight="1" x14ac:dyDescent="0.3"/>
    <row r="347" ht="15.9" customHeight="1" x14ac:dyDescent="0.3"/>
    <row r="348" ht="15.9" customHeight="1" x14ac:dyDescent="0.3"/>
    <row r="349" ht="15.9" customHeight="1" x14ac:dyDescent="0.3"/>
    <row r="350" ht="15.9" customHeight="1" x14ac:dyDescent="0.3"/>
    <row r="351" ht="15.9" customHeight="1" x14ac:dyDescent="0.3"/>
    <row r="352" ht="15.9" customHeight="1" x14ac:dyDescent="0.3"/>
    <row r="353" ht="15.9" customHeight="1" x14ac:dyDescent="0.3"/>
    <row r="354" ht="15.9" customHeight="1" x14ac:dyDescent="0.3"/>
    <row r="355" ht="15.9" customHeight="1" x14ac:dyDescent="0.3"/>
    <row r="356" ht="15.9" customHeight="1" x14ac:dyDescent="0.3"/>
    <row r="357" ht="15.9" customHeight="1" x14ac:dyDescent="0.3"/>
    <row r="358" ht="15.9" customHeight="1" x14ac:dyDescent="0.3"/>
    <row r="359" ht="15.9" customHeight="1" x14ac:dyDescent="0.3"/>
    <row r="360" ht="15.9" customHeight="1" x14ac:dyDescent="0.3"/>
    <row r="361" ht="15.9" customHeight="1" x14ac:dyDescent="0.3"/>
    <row r="362" ht="15.9" customHeight="1" x14ac:dyDescent="0.3"/>
    <row r="363" ht="15.9" customHeight="1" x14ac:dyDescent="0.3"/>
    <row r="364" ht="15.9" customHeight="1" x14ac:dyDescent="0.3"/>
    <row r="365" ht="15.9" customHeight="1" x14ac:dyDescent="0.3"/>
    <row r="366" ht="15.9" customHeight="1" x14ac:dyDescent="0.3"/>
    <row r="367" ht="15.9" customHeight="1" x14ac:dyDescent="0.3"/>
    <row r="368" ht="15.9" customHeight="1" x14ac:dyDescent="0.3"/>
    <row r="369" ht="15.9" customHeight="1" x14ac:dyDescent="0.3"/>
    <row r="370" ht="15.9" customHeight="1" x14ac:dyDescent="0.3"/>
    <row r="371" ht="15.9" customHeight="1" x14ac:dyDescent="0.3"/>
    <row r="372" ht="15.9" customHeight="1" x14ac:dyDescent="0.3"/>
    <row r="373" ht="15.9" customHeight="1" x14ac:dyDescent="0.3"/>
    <row r="374" ht="15.9" customHeight="1" x14ac:dyDescent="0.3"/>
    <row r="375" ht="15.9" customHeight="1" x14ac:dyDescent="0.3"/>
    <row r="376" ht="15.9" customHeight="1" x14ac:dyDescent="0.3"/>
    <row r="377" ht="15.9" customHeight="1" x14ac:dyDescent="0.3"/>
    <row r="378" ht="15.9" customHeight="1" x14ac:dyDescent="0.3"/>
    <row r="379" ht="15.9" customHeight="1" x14ac:dyDescent="0.3"/>
    <row r="380" ht="15.9" customHeight="1" x14ac:dyDescent="0.3"/>
    <row r="381" ht="15.9" customHeight="1" x14ac:dyDescent="0.3"/>
    <row r="382" ht="15.9" customHeight="1" x14ac:dyDescent="0.3"/>
    <row r="383" ht="15.9" customHeight="1" x14ac:dyDescent="0.3"/>
    <row r="384" ht="15.9" customHeight="1" x14ac:dyDescent="0.3"/>
    <row r="385" ht="15.9" customHeight="1" x14ac:dyDescent="0.3"/>
    <row r="386" ht="15.9" customHeight="1" x14ac:dyDescent="0.3"/>
    <row r="387" ht="15.9" customHeight="1" x14ac:dyDescent="0.3"/>
    <row r="388" ht="15.9" customHeight="1" x14ac:dyDescent="0.3"/>
    <row r="389" ht="15.9" customHeight="1" x14ac:dyDescent="0.3"/>
    <row r="390" ht="15.9" customHeight="1" x14ac:dyDescent="0.3"/>
    <row r="391" ht="15.9" customHeight="1" x14ac:dyDescent="0.3"/>
    <row r="392" ht="15.9" customHeight="1" x14ac:dyDescent="0.3"/>
    <row r="393" ht="15.9" customHeight="1" x14ac:dyDescent="0.3"/>
    <row r="394" ht="15.9" customHeight="1" x14ac:dyDescent="0.3"/>
    <row r="395" ht="15.9" customHeight="1" x14ac:dyDescent="0.3"/>
    <row r="396" ht="15.9" customHeight="1" x14ac:dyDescent="0.3"/>
    <row r="397" ht="15.9" customHeight="1" x14ac:dyDescent="0.3"/>
    <row r="398" ht="15.9" customHeight="1" x14ac:dyDescent="0.3"/>
    <row r="399" ht="15.9" customHeight="1" x14ac:dyDescent="0.3"/>
    <row r="400" ht="15.9" customHeight="1" x14ac:dyDescent="0.3"/>
    <row r="401" ht="15.9" customHeight="1" x14ac:dyDescent="0.3"/>
    <row r="402" ht="15.9" customHeight="1" x14ac:dyDescent="0.3"/>
    <row r="403" ht="15.9" customHeight="1" x14ac:dyDescent="0.3"/>
    <row r="404" ht="15.9" customHeight="1" x14ac:dyDescent="0.3"/>
    <row r="405" ht="15.9" customHeight="1" x14ac:dyDescent="0.3"/>
    <row r="406" ht="15.9" customHeight="1" x14ac:dyDescent="0.3"/>
    <row r="407" ht="15.9" customHeight="1" x14ac:dyDescent="0.3"/>
    <row r="408" ht="15.9" customHeight="1" x14ac:dyDescent="0.3"/>
    <row r="409" ht="15.9" customHeight="1" x14ac:dyDescent="0.3"/>
    <row r="410" ht="15.9" customHeight="1" x14ac:dyDescent="0.3"/>
    <row r="411" ht="15.9" customHeight="1" x14ac:dyDescent="0.3"/>
    <row r="412" ht="15.9" customHeight="1" x14ac:dyDescent="0.3"/>
    <row r="413" ht="15.9" customHeight="1" x14ac:dyDescent="0.3"/>
    <row r="414" ht="15.9" customHeight="1" x14ac:dyDescent="0.3"/>
    <row r="415" ht="15.9" customHeight="1" x14ac:dyDescent="0.3"/>
    <row r="416" ht="15.9" customHeight="1" x14ac:dyDescent="0.3"/>
    <row r="417" ht="15.9" customHeight="1" x14ac:dyDescent="0.3"/>
    <row r="418" ht="15.9" customHeight="1" x14ac:dyDescent="0.3"/>
    <row r="419" ht="15.9" customHeight="1" x14ac:dyDescent="0.3"/>
    <row r="420" ht="15.9" customHeight="1" x14ac:dyDescent="0.3"/>
    <row r="421" ht="15.9" customHeight="1" x14ac:dyDescent="0.3"/>
    <row r="422" ht="15.9" customHeight="1" x14ac:dyDescent="0.3"/>
    <row r="423" ht="15.9" customHeight="1" x14ac:dyDescent="0.3"/>
    <row r="424" ht="15.9" customHeight="1" x14ac:dyDescent="0.3"/>
    <row r="425" ht="15.9" customHeight="1" x14ac:dyDescent="0.3"/>
    <row r="426" ht="15.9" customHeight="1" x14ac:dyDescent="0.3"/>
    <row r="427" ht="15.9" customHeight="1" x14ac:dyDescent="0.3"/>
    <row r="428" ht="15.9" customHeight="1" x14ac:dyDescent="0.3"/>
    <row r="429" ht="15.9" customHeight="1" x14ac:dyDescent="0.3"/>
    <row r="430" ht="15.9" customHeight="1" x14ac:dyDescent="0.3"/>
    <row r="431" ht="15.9" customHeight="1" x14ac:dyDescent="0.3"/>
    <row r="432" ht="15.9" customHeight="1" x14ac:dyDescent="0.3"/>
    <row r="433" ht="15.9" customHeight="1" x14ac:dyDescent="0.3"/>
    <row r="434" ht="15.9" customHeight="1" x14ac:dyDescent="0.3"/>
    <row r="435" ht="15.9" customHeight="1" x14ac:dyDescent="0.3"/>
    <row r="436" ht="15.9" customHeight="1" x14ac:dyDescent="0.3"/>
    <row r="437" ht="15.9" customHeight="1" x14ac:dyDescent="0.3"/>
    <row r="438" ht="15.9" customHeight="1" x14ac:dyDescent="0.3"/>
    <row r="439" ht="15.9" customHeight="1" x14ac:dyDescent="0.3"/>
    <row r="440" ht="15.9" customHeight="1" x14ac:dyDescent="0.3"/>
    <row r="441" ht="15.9" customHeight="1" x14ac:dyDescent="0.3"/>
    <row r="442" ht="15.9" customHeight="1" x14ac:dyDescent="0.3"/>
    <row r="443" ht="15.9" customHeight="1" x14ac:dyDescent="0.3"/>
    <row r="444" ht="15.9" customHeight="1" x14ac:dyDescent="0.3"/>
    <row r="445" ht="15.9" customHeight="1" x14ac:dyDescent="0.3"/>
    <row r="446" ht="15.9" customHeight="1" x14ac:dyDescent="0.3"/>
    <row r="447" ht="15.9" customHeight="1" x14ac:dyDescent="0.3"/>
    <row r="448" ht="15.9" customHeight="1" x14ac:dyDescent="0.3"/>
    <row r="449" ht="15.9" customHeight="1" x14ac:dyDescent="0.3"/>
    <row r="450" ht="15.9" customHeight="1" x14ac:dyDescent="0.3"/>
    <row r="451" ht="15.9" customHeight="1" x14ac:dyDescent="0.3"/>
    <row r="452" ht="15.9" customHeight="1" x14ac:dyDescent="0.3"/>
    <row r="453" ht="15.9" customHeight="1" x14ac:dyDescent="0.3"/>
    <row r="454" ht="15.9" customHeight="1" x14ac:dyDescent="0.3"/>
    <row r="455" ht="15.9" customHeight="1" x14ac:dyDescent="0.3"/>
    <row r="456" ht="15.9" customHeight="1" x14ac:dyDescent="0.3"/>
    <row r="457" ht="15.9" customHeight="1" x14ac:dyDescent="0.3"/>
    <row r="458" ht="15.9" customHeight="1" x14ac:dyDescent="0.3"/>
    <row r="459" ht="15.9" customHeight="1" x14ac:dyDescent="0.3"/>
    <row r="460" ht="15.9" customHeight="1" x14ac:dyDescent="0.3"/>
    <row r="461" ht="15.9" customHeight="1" x14ac:dyDescent="0.3"/>
    <row r="462" ht="15.9" customHeight="1" x14ac:dyDescent="0.3"/>
    <row r="463" ht="15.9" customHeight="1" x14ac:dyDescent="0.3"/>
    <row r="464" ht="15.9" customHeight="1" x14ac:dyDescent="0.3"/>
    <row r="465" ht="15.9" customHeight="1" x14ac:dyDescent="0.3"/>
    <row r="466" ht="15.9" customHeight="1" x14ac:dyDescent="0.3"/>
    <row r="467" ht="15.9" customHeight="1" x14ac:dyDescent="0.3"/>
    <row r="468" ht="15.9" customHeight="1" x14ac:dyDescent="0.3"/>
    <row r="469" ht="15.9" customHeight="1" x14ac:dyDescent="0.3"/>
    <row r="470" ht="15.9" customHeight="1" x14ac:dyDescent="0.3"/>
    <row r="471" ht="15.9" customHeight="1" x14ac:dyDescent="0.3"/>
    <row r="472" ht="15.9" customHeight="1" x14ac:dyDescent="0.3"/>
    <row r="473" ht="15.9" customHeight="1" x14ac:dyDescent="0.3"/>
    <row r="474" ht="15.9" customHeight="1" x14ac:dyDescent="0.3"/>
    <row r="475" ht="15.9" customHeight="1" x14ac:dyDescent="0.3"/>
    <row r="476" ht="15.9" customHeight="1" x14ac:dyDescent="0.3"/>
    <row r="477" ht="15.9" customHeight="1" x14ac:dyDescent="0.3"/>
    <row r="478" ht="15.9" customHeight="1" x14ac:dyDescent="0.3"/>
    <row r="479" ht="15.9" customHeight="1" x14ac:dyDescent="0.3"/>
    <row r="480" ht="15.9" customHeight="1" x14ac:dyDescent="0.3"/>
    <row r="481" ht="15.9" customHeight="1" x14ac:dyDescent="0.3"/>
    <row r="482" ht="15.9" customHeight="1" x14ac:dyDescent="0.3"/>
    <row r="483" ht="15.9" customHeight="1" x14ac:dyDescent="0.3"/>
    <row r="484" ht="15.9" customHeight="1" x14ac:dyDescent="0.3"/>
    <row r="485" ht="15.9" customHeight="1" x14ac:dyDescent="0.3"/>
    <row r="486" ht="15.9" customHeight="1" x14ac:dyDescent="0.3"/>
    <row r="487" ht="15.9" customHeight="1" x14ac:dyDescent="0.3"/>
    <row r="488" ht="15.9" customHeight="1" x14ac:dyDescent="0.3"/>
    <row r="489" ht="15.9" customHeight="1" x14ac:dyDescent="0.3"/>
    <row r="490" ht="15.9" customHeight="1" x14ac:dyDescent="0.3"/>
    <row r="491" ht="15.9" customHeight="1" x14ac:dyDescent="0.3"/>
    <row r="492" ht="15.9" customHeight="1" x14ac:dyDescent="0.3"/>
    <row r="493" ht="15.9" customHeight="1" x14ac:dyDescent="0.3"/>
    <row r="494" ht="15.9" customHeight="1" x14ac:dyDescent="0.3"/>
    <row r="495" ht="15.9" customHeight="1" x14ac:dyDescent="0.3"/>
    <row r="496" ht="15.9" customHeight="1" x14ac:dyDescent="0.3"/>
    <row r="497" ht="15.9" customHeight="1" x14ac:dyDescent="0.3"/>
    <row r="498" ht="15.9" customHeight="1" x14ac:dyDescent="0.3"/>
    <row r="499" ht="15.9" customHeight="1" x14ac:dyDescent="0.3"/>
    <row r="500" ht="15.9" customHeight="1" x14ac:dyDescent="0.3"/>
    <row r="501" ht="15.9" customHeight="1" x14ac:dyDescent="0.3"/>
    <row r="502" ht="15.9" customHeight="1" x14ac:dyDescent="0.3"/>
    <row r="503" ht="15.9" customHeight="1" x14ac:dyDescent="0.3"/>
    <row r="504" ht="15.9" customHeight="1" x14ac:dyDescent="0.3"/>
    <row r="505" ht="15.9" customHeight="1" x14ac:dyDescent="0.3"/>
    <row r="506" ht="15.9" customHeight="1" x14ac:dyDescent="0.3"/>
    <row r="507" ht="15.9" customHeight="1" x14ac:dyDescent="0.3"/>
    <row r="508" ht="15.9" customHeight="1" x14ac:dyDescent="0.3"/>
    <row r="509" ht="15.9" customHeight="1" x14ac:dyDescent="0.3"/>
    <row r="510" ht="15.9" customHeight="1" x14ac:dyDescent="0.3"/>
    <row r="511" ht="15.9" customHeight="1" x14ac:dyDescent="0.3"/>
    <row r="512" ht="15.9" customHeight="1" x14ac:dyDescent="0.3"/>
    <row r="513" ht="15.9" customHeight="1" x14ac:dyDescent="0.3"/>
    <row r="514" ht="15.9" customHeight="1" x14ac:dyDescent="0.3"/>
    <row r="515" ht="15.9" customHeight="1" x14ac:dyDescent="0.3"/>
    <row r="516" ht="15.9" customHeight="1" x14ac:dyDescent="0.3"/>
    <row r="517" ht="15.9" customHeight="1" x14ac:dyDescent="0.3"/>
    <row r="518" ht="15.9" customHeight="1" x14ac:dyDescent="0.3"/>
    <row r="519" ht="15.9" customHeight="1" x14ac:dyDescent="0.3"/>
    <row r="520" ht="15.9" customHeight="1" x14ac:dyDescent="0.3"/>
    <row r="521" ht="15.9" customHeight="1" x14ac:dyDescent="0.3"/>
    <row r="522" ht="15.9" customHeight="1" x14ac:dyDescent="0.3"/>
    <row r="523" ht="15.9" customHeight="1" x14ac:dyDescent="0.3"/>
    <row r="524" ht="15.9" customHeight="1" x14ac:dyDescent="0.3"/>
    <row r="525" ht="15.9" customHeight="1" x14ac:dyDescent="0.3"/>
    <row r="526" ht="15.9" customHeight="1" x14ac:dyDescent="0.3"/>
    <row r="527" ht="15.9" customHeight="1" x14ac:dyDescent="0.3"/>
    <row r="528" ht="15.9" customHeight="1" x14ac:dyDescent="0.3"/>
    <row r="529" ht="15.9" customHeight="1" x14ac:dyDescent="0.3"/>
    <row r="530" ht="15.9" customHeight="1" x14ac:dyDescent="0.3"/>
    <row r="531" ht="15.9" customHeight="1" x14ac:dyDescent="0.3"/>
    <row r="532" ht="15.9" customHeight="1" x14ac:dyDescent="0.3"/>
    <row r="533" ht="15.9" customHeight="1" x14ac:dyDescent="0.3"/>
    <row r="534" ht="15.9" customHeight="1" x14ac:dyDescent="0.3"/>
    <row r="535" ht="15.9" customHeight="1" x14ac:dyDescent="0.3"/>
    <row r="536" ht="15.9" customHeight="1" x14ac:dyDescent="0.3"/>
    <row r="537" ht="15.9" customHeight="1" x14ac:dyDescent="0.3"/>
    <row r="538" ht="15.9" customHeight="1" x14ac:dyDescent="0.3"/>
    <row r="539" ht="15.9" customHeight="1" x14ac:dyDescent="0.3"/>
    <row r="540" ht="15.9" customHeight="1" x14ac:dyDescent="0.3"/>
    <row r="541" ht="15.9" customHeight="1" x14ac:dyDescent="0.3"/>
    <row r="542" ht="15.9" customHeight="1" x14ac:dyDescent="0.3"/>
    <row r="543" ht="15.9" customHeight="1" x14ac:dyDescent="0.3"/>
    <row r="544" ht="15.9" customHeight="1" x14ac:dyDescent="0.3"/>
    <row r="545" ht="15.9" customHeight="1" x14ac:dyDescent="0.3"/>
    <row r="546" ht="15.9" customHeight="1" x14ac:dyDescent="0.3"/>
  </sheetData>
  <mergeCells count="78">
    <mergeCell ref="C62:D62"/>
    <mergeCell ref="B53:B58"/>
    <mergeCell ref="C53:D58"/>
    <mergeCell ref="E53:F58"/>
    <mergeCell ref="G53:G58"/>
    <mergeCell ref="H53:H58"/>
    <mergeCell ref="P53:Q58"/>
    <mergeCell ref="B47:B52"/>
    <mergeCell ref="C47:D52"/>
    <mergeCell ref="E47:F52"/>
    <mergeCell ref="G47:G52"/>
    <mergeCell ref="H47:H52"/>
    <mergeCell ref="P47:Q52"/>
    <mergeCell ref="P41:Q46"/>
    <mergeCell ref="B35:B40"/>
    <mergeCell ref="C35:D40"/>
    <mergeCell ref="E35:F40"/>
    <mergeCell ref="G35:G40"/>
    <mergeCell ref="H35:H40"/>
    <mergeCell ref="P35:Q40"/>
    <mergeCell ref="B41:B46"/>
    <mergeCell ref="C41:D46"/>
    <mergeCell ref="E41:F46"/>
    <mergeCell ref="G41:G46"/>
    <mergeCell ref="H41:H46"/>
    <mergeCell ref="P29:Q34"/>
    <mergeCell ref="B23:B28"/>
    <mergeCell ref="C23:D28"/>
    <mergeCell ref="E23:F28"/>
    <mergeCell ref="G23:G28"/>
    <mergeCell ref="H23:H28"/>
    <mergeCell ref="P23:Q28"/>
    <mergeCell ref="B29:B34"/>
    <mergeCell ref="C29:D34"/>
    <mergeCell ref="E29:F34"/>
    <mergeCell ref="G29:G34"/>
    <mergeCell ref="H29:H34"/>
    <mergeCell ref="P17:Q22"/>
    <mergeCell ref="B11:B16"/>
    <mergeCell ref="C11:D16"/>
    <mergeCell ref="E11:F16"/>
    <mergeCell ref="G11:G16"/>
    <mergeCell ref="H11:H16"/>
    <mergeCell ref="P11:Q16"/>
    <mergeCell ref="B17:B22"/>
    <mergeCell ref="C17:D22"/>
    <mergeCell ref="E17:F22"/>
    <mergeCell ref="G17:G22"/>
    <mergeCell ref="H17:H22"/>
    <mergeCell ref="P9:Q10"/>
    <mergeCell ref="B7:C7"/>
    <mergeCell ref="D7:H7"/>
    <mergeCell ref="I7:J7"/>
    <mergeCell ref="K7:L7"/>
    <mergeCell ref="P7:Q7"/>
    <mergeCell ref="B8:C8"/>
    <mergeCell ref="F8:H8"/>
    <mergeCell ref="I8:J8"/>
    <mergeCell ref="K8:O8"/>
    <mergeCell ref="B9:B10"/>
    <mergeCell ref="C9:D10"/>
    <mergeCell ref="E9:F10"/>
    <mergeCell ref="G9:G10"/>
    <mergeCell ref="H9:H10"/>
    <mergeCell ref="P6:Q6"/>
    <mergeCell ref="A2:D2"/>
    <mergeCell ref="E2:N3"/>
    <mergeCell ref="O2:R2"/>
    <mergeCell ref="A3:D3"/>
    <mergeCell ref="O3:R3"/>
    <mergeCell ref="B5:C5"/>
    <mergeCell ref="D5:H5"/>
    <mergeCell ref="I5:O5"/>
    <mergeCell ref="B6:C6"/>
    <mergeCell ref="D6:H6"/>
    <mergeCell ref="I6:J6"/>
    <mergeCell ref="K6:L6"/>
    <mergeCell ref="M6:O6"/>
  </mergeCells>
  <printOptions horizontalCentered="1"/>
  <pageMargins left="0.3" right="0.3" top="0.45" bottom="0.75" header="0.3" footer="0.3"/>
  <pageSetup paperSize="9" scale="93" orientation="landscape" r:id="rId1"/>
  <headerFooter>
    <oddFooter>&amp;L&amp;1#&amp;"Calibri"&amp;8 Sensitivity: LNT Construction Internal Use</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0">
    <tabColor rgb="FFFF0000"/>
  </sheetPr>
  <dimension ref="A1:AA503"/>
  <sheetViews>
    <sheetView showGridLines="0" zoomScaleNormal="100" zoomScaleSheetLayoutView="100" workbookViewId="0">
      <selection activeCell="A5" sqref="A5:XFD5"/>
    </sheetView>
  </sheetViews>
  <sheetFormatPr defaultColWidth="10.44140625" defaultRowHeight="15.6" x14ac:dyDescent="0.3"/>
  <cols>
    <col min="1" max="1" width="1.88671875" style="12" customWidth="1"/>
    <col min="2" max="2" width="6.44140625" style="12" customWidth="1"/>
    <col min="3" max="4" width="12.5546875" style="12" customWidth="1"/>
    <col min="5" max="5" width="7.88671875" style="12" customWidth="1"/>
    <col min="6" max="6" width="30.44140625" style="12" customWidth="1"/>
    <col min="7" max="8" width="6.109375" style="12" customWidth="1"/>
    <col min="9" max="9" width="10.5546875" style="12" customWidth="1"/>
    <col min="10" max="11" width="9" style="12" bestFit="1" customWidth="1"/>
    <col min="12" max="12" width="7.88671875" style="12" customWidth="1"/>
    <col min="13" max="13" width="9" style="12" bestFit="1" customWidth="1"/>
    <col min="14" max="14" width="7.88671875" style="12" customWidth="1"/>
    <col min="15" max="15" width="7.5546875" style="12" customWidth="1"/>
    <col min="16" max="16" width="6.5546875" style="12" customWidth="1"/>
    <col min="17" max="17" width="10.5546875" style="12" customWidth="1"/>
    <col min="18" max="18" width="1.88671875" style="12" customWidth="1"/>
    <col min="19" max="20" width="6.44140625" style="12" customWidth="1"/>
    <col min="21" max="21" width="19.109375" style="12" bestFit="1" customWidth="1"/>
    <col min="22" max="22" width="10.44140625" style="12" bestFit="1" customWidth="1"/>
    <col min="23" max="32" width="6.44140625" style="12" customWidth="1"/>
    <col min="33" max="16384" width="10.44140625" style="12"/>
  </cols>
  <sheetData>
    <row r="1" spans="1:27" ht="50.1" customHeight="1" x14ac:dyDescent="0.3">
      <c r="A1" s="56"/>
      <c r="B1" s="57"/>
      <c r="C1" s="57"/>
      <c r="D1" s="57"/>
      <c r="E1" s="57"/>
      <c r="F1" s="57"/>
      <c r="G1" s="57"/>
      <c r="H1" s="57"/>
      <c r="I1" s="57"/>
      <c r="J1" s="57"/>
      <c r="K1" s="57"/>
      <c r="L1" s="57"/>
      <c r="M1" s="57"/>
      <c r="N1" s="57"/>
      <c r="O1" s="57"/>
      <c r="P1" s="57"/>
      <c r="Q1" s="57"/>
      <c r="R1" s="58"/>
    </row>
    <row r="2" spans="1:27" ht="18" customHeight="1" x14ac:dyDescent="0.3">
      <c r="A2" s="184" t="s">
        <v>23</v>
      </c>
      <c r="B2" s="185"/>
      <c r="C2" s="185"/>
      <c r="D2" s="186"/>
      <c r="E2" s="187" t="s">
        <v>24</v>
      </c>
      <c r="F2" s="188"/>
      <c r="G2" s="188"/>
      <c r="H2" s="188"/>
      <c r="I2" s="188"/>
      <c r="J2" s="188"/>
      <c r="K2" s="188"/>
      <c r="L2" s="188"/>
      <c r="M2" s="188"/>
      <c r="N2" s="189"/>
      <c r="O2" s="193" t="s">
        <v>129</v>
      </c>
      <c r="P2" s="193"/>
      <c r="Q2" s="193"/>
      <c r="R2" s="193"/>
    </row>
    <row r="3" spans="1:27" ht="18" customHeight="1" x14ac:dyDescent="0.3">
      <c r="A3" s="194" t="s">
        <v>25</v>
      </c>
      <c r="B3" s="195"/>
      <c r="C3" s="195"/>
      <c r="D3" s="196"/>
      <c r="E3" s="190"/>
      <c r="F3" s="191"/>
      <c r="G3" s="191"/>
      <c r="H3" s="191"/>
      <c r="I3" s="191"/>
      <c r="J3" s="191"/>
      <c r="K3" s="191"/>
      <c r="L3" s="191"/>
      <c r="M3" s="191"/>
      <c r="N3" s="192"/>
      <c r="O3" s="197" t="s">
        <v>130</v>
      </c>
      <c r="P3" s="197"/>
      <c r="Q3" s="197"/>
      <c r="R3" s="197"/>
    </row>
    <row r="4" spans="1:27" s="5" customFormat="1" ht="7.5" customHeight="1" x14ac:dyDescent="0.3">
      <c r="A4" s="2"/>
      <c r="B4" s="13"/>
      <c r="C4" s="13"/>
      <c r="D4" s="13"/>
      <c r="E4" s="13"/>
      <c r="F4" s="13"/>
      <c r="G4" s="13"/>
      <c r="H4" s="13"/>
      <c r="I4" s="13"/>
      <c r="J4" s="13"/>
      <c r="K4" s="13"/>
      <c r="L4" s="13"/>
      <c r="M4" s="13"/>
      <c r="N4" s="13"/>
      <c r="O4" s="13"/>
      <c r="P4" s="13"/>
      <c r="Q4" s="13"/>
      <c r="R4" s="14"/>
      <c r="S4" s="4"/>
    </row>
    <row r="5" spans="1:27" ht="12" customHeight="1" x14ac:dyDescent="0.25">
      <c r="A5" s="2"/>
      <c r="B5" s="198" t="s">
        <v>26</v>
      </c>
      <c r="C5" s="199"/>
      <c r="D5" s="200" t="s">
        <v>27</v>
      </c>
      <c r="E5" s="201"/>
      <c r="F5" s="201"/>
      <c r="G5" s="201"/>
      <c r="H5" s="202"/>
      <c r="I5" s="203" t="s">
        <v>28</v>
      </c>
      <c r="J5" s="204"/>
      <c r="K5" s="204"/>
      <c r="L5" s="204"/>
      <c r="M5" s="204"/>
      <c r="N5" s="204"/>
      <c r="O5" s="205"/>
      <c r="P5" s="116" t="s">
        <v>131</v>
      </c>
      <c r="Q5" s="117"/>
      <c r="R5" s="3"/>
      <c r="U5" s="6"/>
      <c r="V5" s="15"/>
      <c r="W5" s="15"/>
    </row>
    <row r="6" spans="1:27" s="16" customFormat="1" ht="12" customHeight="1" x14ac:dyDescent="0.3">
      <c r="A6" s="7"/>
      <c r="B6" s="214" t="s">
        <v>29</v>
      </c>
      <c r="C6" s="215"/>
      <c r="D6" s="216" t="s">
        <v>30</v>
      </c>
      <c r="E6" s="216"/>
      <c r="F6" s="216"/>
      <c r="G6" s="216"/>
      <c r="H6" s="216"/>
      <c r="I6" s="217" t="s">
        <v>31</v>
      </c>
      <c r="J6" s="218"/>
      <c r="K6" s="218" t="s">
        <v>32</v>
      </c>
      <c r="L6" s="218"/>
      <c r="M6" s="219"/>
      <c r="N6" s="219"/>
      <c r="O6" s="220"/>
      <c r="P6" s="182" t="s">
        <v>33</v>
      </c>
      <c r="Q6" s="183"/>
      <c r="R6" s="8"/>
      <c r="U6"/>
      <c r="V6" s="59"/>
      <c r="W6" s="60"/>
    </row>
    <row r="7" spans="1:27" s="16" customFormat="1" ht="12" customHeight="1" x14ac:dyDescent="0.3">
      <c r="A7" s="7"/>
      <c r="B7" s="206" t="s">
        <v>35</v>
      </c>
      <c r="C7" s="207"/>
      <c r="D7" s="208" t="s">
        <v>132</v>
      </c>
      <c r="E7" s="209"/>
      <c r="F7" s="209"/>
      <c r="G7" s="209"/>
      <c r="H7" s="210"/>
      <c r="I7" s="217" t="s">
        <v>36</v>
      </c>
      <c r="J7" s="218"/>
      <c r="K7" s="218" t="s">
        <v>37</v>
      </c>
      <c r="L7" s="218"/>
      <c r="M7" s="17"/>
      <c r="N7" s="17"/>
      <c r="O7" s="18"/>
      <c r="P7" s="221"/>
      <c r="Q7" s="222"/>
      <c r="R7" s="8"/>
      <c r="U7"/>
      <c r="V7" s="59"/>
      <c r="W7" s="60"/>
    </row>
    <row r="8" spans="1:27" ht="12" customHeight="1" x14ac:dyDescent="0.3">
      <c r="A8" s="9"/>
      <c r="B8" s="206" t="s">
        <v>39</v>
      </c>
      <c r="C8" s="207"/>
      <c r="D8" s="19" t="s">
        <v>40</v>
      </c>
      <c r="E8" s="20" t="s">
        <v>41</v>
      </c>
      <c r="F8" s="208" t="s">
        <v>62</v>
      </c>
      <c r="G8" s="209"/>
      <c r="H8" s="210"/>
      <c r="I8" s="211" t="s">
        <v>42</v>
      </c>
      <c r="J8" s="212"/>
      <c r="K8" s="212" t="s">
        <v>43</v>
      </c>
      <c r="L8" s="212"/>
      <c r="M8" s="212"/>
      <c r="N8" s="212"/>
      <c r="O8" s="213"/>
      <c r="P8" s="20" t="s">
        <v>129</v>
      </c>
      <c r="Q8" s="21"/>
      <c r="R8" s="10"/>
      <c r="U8"/>
      <c r="V8" s="59"/>
      <c r="W8" s="6"/>
      <c r="X8" s="22"/>
      <c r="Y8" s="22"/>
      <c r="Z8" s="22"/>
      <c r="AA8" s="22"/>
    </row>
    <row r="9" spans="1:27" ht="15.6" customHeight="1" x14ac:dyDescent="0.3">
      <c r="A9" s="9"/>
      <c r="B9" s="229" t="s">
        <v>44</v>
      </c>
      <c r="C9" s="231" t="s">
        <v>45</v>
      </c>
      <c r="D9" s="231"/>
      <c r="E9" s="232" t="s">
        <v>46</v>
      </c>
      <c r="F9" s="233"/>
      <c r="G9" s="236" t="s">
        <v>61</v>
      </c>
      <c r="H9" s="231" t="s">
        <v>47</v>
      </c>
      <c r="I9" s="23"/>
      <c r="J9" s="24" t="s">
        <v>137</v>
      </c>
      <c r="K9" s="24" t="s">
        <v>137</v>
      </c>
      <c r="L9" s="24" t="s">
        <v>137</v>
      </c>
      <c r="M9" s="24" t="s">
        <v>137</v>
      </c>
      <c r="N9" s="24" t="s">
        <v>137</v>
      </c>
      <c r="O9" s="24" t="s">
        <v>137</v>
      </c>
      <c r="P9" s="232" t="s">
        <v>48</v>
      </c>
      <c r="Q9" s="238"/>
      <c r="R9" s="10"/>
      <c r="U9"/>
      <c r="V9" s="59"/>
      <c r="W9" s="6"/>
      <c r="X9" s="22"/>
      <c r="Y9" s="22"/>
      <c r="Z9" s="22"/>
      <c r="AA9" s="22"/>
    </row>
    <row r="10" spans="1:27" ht="17.399999999999999" customHeight="1" x14ac:dyDescent="0.3">
      <c r="A10" s="9"/>
      <c r="B10" s="230"/>
      <c r="C10" s="231"/>
      <c r="D10" s="231"/>
      <c r="E10" s="234"/>
      <c r="F10" s="235"/>
      <c r="G10" s="237"/>
      <c r="H10" s="231"/>
      <c r="I10" s="25"/>
      <c r="J10" s="26" t="s">
        <v>51</v>
      </c>
      <c r="K10" s="26" t="s">
        <v>66</v>
      </c>
      <c r="L10" s="26"/>
      <c r="M10" s="26">
        <v>0</v>
      </c>
      <c r="N10" s="26">
        <v>1</v>
      </c>
      <c r="O10" s="26">
        <v>2</v>
      </c>
      <c r="P10" s="234"/>
      <c r="Q10" s="239"/>
      <c r="R10" s="10"/>
      <c r="U10"/>
      <c r="V10" s="59"/>
      <c r="W10" s="11"/>
      <c r="X10" s="22"/>
      <c r="Y10" s="22"/>
      <c r="Z10" s="22"/>
      <c r="AA10" s="22"/>
    </row>
    <row r="11" spans="1:27" ht="12" customHeight="1" x14ac:dyDescent="0.3">
      <c r="A11" s="30"/>
      <c r="B11" s="241"/>
      <c r="C11" s="243"/>
      <c r="D11" s="244"/>
      <c r="E11" s="247"/>
      <c r="F11" s="248"/>
      <c r="G11" s="223"/>
      <c r="H11" s="223"/>
      <c r="I11" s="27"/>
      <c r="J11" s="28"/>
      <c r="K11" s="28"/>
      <c r="L11" s="28"/>
      <c r="M11" s="28"/>
      <c r="N11" s="28"/>
      <c r="O11" s="28"/>
      <c r="P11" s="225"/>
      <c r="Q11" s="226"/>
      <c r="R11" s="31"/>
    </row>
    <row r="12" spans="1:27" ht="12" customHeight="1" x14ac:dyDescent="0.3">
      <c r="A12" s="30"/>
      <c r="B12" s="241"/>
      <c r="C12" s="245"/>
      <c r="D12" s="246"/>
      <c r="E12" s="249"/>
      <c r="F12" s="250"/>
      <c r="G12" s="223"/>
      <c r="H12" s="223"/>
      <c r="I12" s="27"/>
      <c r="J12" s="28"/>
      <c r="K12" s="28"/>
      <c r="L12" s="28"/>
      <c r="M12" s="28"/>
      <c r="N12" s="28"/>
      <c r="O12" s="28"/>
      <c r="P12" s="227"/>
      <c r="Q12" s="228"/>
      <c r="R12" s="31"/>
    </row>
    <row r="13" spans="1:27" ht="12" customHeight="1" x14ac:dyDescent="0.3">
      <c r="A13" s="30"/>
      <c r="B13" s="241"/>
      <c r="C13" s="245"/>
      <c r="D13" s="246"/>
      <c r="E13" s="249"/>
      <c r="F13" s="250"/>
      <c r="G13" s="223"/>
      <c r="H13" s="223"/>
      <c r="I13" s="27"/>
      <c r="J13" s="28"/>
      <c r="K13" s="28"/>
      <c r="L13" s="28"/>
      <c r="M13" s="28"/>
      <c r="N13" s="28"/>
      <c r="O13" s="28"/>
      <c r="P13" s="227"/>
      <c r="Q13" s="228"/>
      <c r="R13" s="31"/>
    </row>
    <row r="14" spans="1:27" ht="12" customHeight="1" x14ac:dyDescent="0.3">
      <c r="A14" s="30"/>
      <c r="B14" s="241"/>
      <c r="C14" s="245"/>
      <c r="D14" s="246"/>
      <c r="E14" s="249"/>
      <c r="F14" s="250"/>
      <c r="G14" s="223"/>
      <c r="H14" s="223"/>
      <c r="I14" s="27"/>
      <c r="J14" s="28"/>
      <c r="K14" s="28"/>
      <c r="L14" s="28"/>
      <c r="M14" s="28"/>
      <c r="N14" s="28"/>
      <c r="O14" s="28"/>
      <c r="P14" s="227"/>
      <c r="Q14" s="228"/>
      <c r="R14" s="31"/>
    </row>
    <row r="15" spans="1:27" ht="12" customHeight="1" x14ac:dyDescent="0.3">
      <c r="A15" s="30"/>
      <c r="B15" s="241"/>
      <c r="C15" s="245"/>
      <c r="D15" s="246"/>
      <c r="E15" s="249"/>
      <c r="F15" s="250"/>
      <c r="G15" s="223"/>
      <c r="H15" s="223"/>
      <c r="I15" s="27"/>
      <c r="J15" s="28"/>
      <c r="K15" s="28"/>
      <c r="L15" s="28"/>
      <c r="M15" s="28"/>
      <c r="N15" s="28"/>
      <c r="O15" s="28"/>
      <c r="P15" s="227"/>
      <c r="Q15" s="228"/>
      <c r="R15" s="31"/>
    </row>
    <row r="16" spans="1:27" ht="12" customHeight="1" x14ac:dyDescent="0.3">
      <c r="A16" s="30"/>
      <c r="B16" s="242"/>
      <c r="C16" s="245"/>
      <c r="D16" s="246"/>
      <c r="E16" s="249"/>
      <c r="F16" s="250"/>
      <c r="G16" s="224"/>
      <c r="H16" s="224"/>
      <c r="I16" s="32"/>
      <c r="J16" s="33"/>
      <c r="K16" s="33"/>
      <c r="L16" s="33"/>
      <c r="M16" s="33"/>
      <c r="N16" s="33"/>
      <c r="O16" s="33"/>
      <c r="P16" s="227"/>
      <c r="Q16" s="228"/>
      <c r="R16" s="31"/>
    </row>
    <row r="17" spans="1:18" ht="12" customHeight="1" x14ac:dyDescent="0.3">
      <c r="A17" s="30"/>
      <c r="B17" s="34"/>
      <c r="C17" s="34"/>
      <c r="D17" s="34"/>
      <c r="E17" s="35"/>
      <c r="F17" s="35"/>
      <c r="G17" s="36"/>
      <c r="H17" s="36"/>
      <c r="I17" s="37"/>
      <c r="J17" s="38"/>
      <c r="K17" s="38"/>
      <c r="L17" s="38"/>
      <c r="M17" s="38"/>
      <c r="N17" s="38"/>
      <c r="O17" s="38"/>
      <c r="P17" s="39"/>
      <c r="Q17" s="39"/>
      <c r="R17" s="31"/>
    </row>
    <row r="18" spans="1:18" s="54" customFormat="1" ht="14.1" customHeight="1" x14ac:dyDescent="0.3">
      <c r="A18" s="61"/>
      <c r="B18" s="40"/>
      <c r="C18" s="40"/>
      <c r="D18" s="40"/>
      <c r="E18" s="41"/>
      <c r="F18" s="41"/>
      <c r="G18" s="42"/>
      <c r="H18" s="42"/>
      <c r="I18" s="43"/>
      <c r="J18" s="44"/>
      <c r="K18" s="44"/>
      <c r="L18" s="44"/>
      <c r="M18" s="44"/>
      <c r="N18" s="44"/>
      <c r="O18" s="44"/>
      <c r="P18" s="45"/>
      <c r="Q18" s="45"/>
      <c r="R18" s="62"/>
    </row>
    <row r="19" spans="1:18" ht="12" customHeight="1" x14ac:dyDescent="0.3">
      <c r="A19" s="30"/>
      <c r="B19" s="40"/>
      <c r="C19" s="240" t="s">
        <v>135</v>
      </c>
      <c r="D19" s="240"/>
      <c r="E19" s="41"/>
      <c r="F19" s="41"/>
      <c r="G19" s="42"/>
      <c r="H19" s="42"/>
      <c r="I19" s="43"/>
      <c r="J19" s="44"/>
      <c r="K19" s="44"/>
      <c r="L19" s="44"/>
      <c r="M19" s="38"/>
      <c r="N19" s="118" t="s">
        <v>136</v>
      </c>
      <c r="O19" s="38"/>
      <c r="P19" s="45"/>
      <c r="Q19" s="45"/>
      <c r="R19" s="31"/>
    </row>
    <row r="20" spans="1:18" ht="12" customHeight="1" x14ac:dyDescent="0.3">
      <c r="A20" s="46"/>
      <c r="B20" s="47"/>
      <c r="C20" s="47"/>
      <c r="D20" s="47"/>
      <c r="E20" s="48"/>
      <c r="F20" s="48"/>
      <c r="G20" s="49"/>
      <c r="H20" s="49"/>
      <c r="I20" s="50"/>
      <c r="J20" s="51"/>
      <c r="K20" s="51"/>
      <c r="L20" s="51"/>
      <c r="M20" s="51"/>
      <c r="N20" s="51"/>
      <c r="O20" s="51"/>
      <c r="P20" s="52"/>
      <c r="Q20" s="52"/>
      <c r="R20" s="53"/>
    </row>
    <row r="21" spans="1:18" ht="15.9" customHeight="1" x14ac:dyDescent="0.3">
      <c r="B21" s="40"/>
      <c r="C21" s="40"/>
      <c r="D21" s="40"/>
      <c r="E21" s="41"/>
      <c r="F21" s="41"/>
      <c r="G21" s="42"/>
      <c r="H21" s="42"/>
      <c r="I21" s="43"/>
      <c r="J21" s="44"/>
      <c r="K21" s="44"/>
      <c r="L21" s="44"/>
      <c r="M21" s="44"/>
      <c r="N21" s="44"/>
      <c r="O21" s="44"/>
      <c r="P21" s="45"/>
      <c r="Q21" s="45"/>
    </row>
    <row r="22" spans="1:18" ht="15.9" customHeight="1" x14ac:dyDescent="0.3">
      <c r="B22" s="40"/>
      <c r="C22" s="40"/>
      <c r="D22" s="40"/>
      <c r="E22" s="41"/>
      <c r="F22" s="41"/>
      <c r="G22" s="42"/>
      <c r="H22" s="42"/>
      <c r="I22" s="43"/>
      <c r="J22" s="63"/>
      <c r="K22" s="63"/>
      <c r="L22" s="63"/>
      <c r="M22" s="63"/>
      <c r="N22" s="63"/>
      <c r="O22" s="63"/>
      <c r="P22" s="45"/>
      <c r="Q22" s="45"/>
    </row>
    <row r="23" spans="1:18" ht="15.9" customHeight="1" x14ac:dyDescent="0.3"/>
    <row r="24" spans="1:18" ht="15.9" customHeight="1" x14ac:dyDescent="0.3"/>
    <row r="25" spans="1:18" ht="15.9" customHeight="1" x14ac:dyDescent="0.3"/>
    <row r="26" spans="1:18" ht="15.9" customHeight="1" x14ac:dyDescent="0.3"/>
    <row r="27" spans="1:18" ht="15.9" customHeight="1" x14ac:dyDescent="0.3"/>
    <row r="28" spans="1:18" ht="15.9" customHeight="1" x14ac:dyDescent="0.3"/>
    <row r="29" spans="1:18" ht="15.9" customHeight="1" x14ac:dyDescent="0.3"/>
    <row r="30" spans="1:18" ht="15.9" customHeight="1" x14ac:dyDescent="0.3"/>
    <row r="31" spans="1:18" ht="15.9" customHeight="1" x14ac:dyDescent="0.3"/>
    <row r="32" spans="1:18" ht="15.9" customHeight="1" x14ac:dyDescent="0.3"/>
    <row r="33" ht="15.9" customHeight="1" x14ac:dyDescent="0.3"/>
    <row r="34" ht="15.9" customHeight="1" x14ac:dyDescent="0.3"/>
    <row r="35" ht="15.9" customHeight="1" x14ac:dyDescent="0.3"/>
    <row r="36" ht="15.9" customHeight="1" x14ac:dyDescent="0.3"/>
    <row r="37" ht="15.9" customHeight="1" x14ac:dyDescent="0.3"/>
    <row r="38" ht="15.9" customHeight="1" x14ac:dyDescent="0.3"/>
    <row r="39" ht="15.9" customHeight="1" x14ac:dyDescent="0.3"/>
    <row r="40" ht="15.9" customHeight="1" x14ac:dyDescent="0.3"/>
    <row r="41" ht="15.9" customHeight="1" x14ac:dyDescent="0.3"/>
    <row r="42" ht="15.9" customHeight="1" x14ac:dyDescent="0.3"/>
    <row r="43" ht="15.9" customHeight="1" x14ac:dyDescent="0.3"/>
    <row r="44" ht="15.9" customHeight="1" x14ac:dyDescent="0.3"/>
    <row r="45" ht="15.9" customHeight="1" x14ac:dyDescent="0.3"/>
    <row r="46" ht="15.9" customHeight="1" x14ac:dyDescent="0.3"/>
    <row r="47" ht="15.9" customHeight="1" x14ac:dyDescent="0.3"/>
    <row r="48" ht="15.9" customHeight="1" x14ac:dyDescent="0.3"/>
    <row r="49" ht="15.9" customHeight="1" x14ac:dyDescent="0.3"/>
    <row r="50" ht="15.9" customHeight="1" x14ac:dyDescent="0.3"/>
    <row r="51" ht="15.9" customHeight="1" x14ac:dyDescent="0.3"/>
    <row r="52" ht="15.9" customHeight="1" x14ac:dyDescent="0.3"/>
    <row r="53" ht="15.9" customHeight="1" x14ac:dyDescent="0.3"/>
    <row r="54" ht="15.9" customHeight="1" x14ac:dyDescent="0.3"/>
    <row r="55" ht="15.9" customHeight="1" x14ac:dyDescent="0.3"/>
    <row r="56" ht="15.9" customHeight="1" x14ac:dyDescent="0.3"/>
    <row r="57" ht="15.9" customHeight="1" x14ac:dyDescent="0.3"/>
    <row r="58" ht="15.9" customHeight="1" x14ac:dyDescent="0.3"/>
    <row r="59" ht="15.9" customHeight="1" x14ac:dyDescent="0.3"/>
    <row r="60" ht="15.9" customHeight="1" x14ac:dyDescent="0.3"/>
    <row r="61" ht="15.9" customHeight="1" x14ac:dyDescent="0.3"/>
    <row r="62" ht="15.9" customHeight="1" x14ac:dyDescent="0.3"/>
    <row r="63" ht="15.9" customHeight="1" x14ac:dyDescent="0.3"/>
    <row r="64" ht="15.9" customHeight="1" x14ac:dyDescent="0.3"/>
    <row r="65" ht="15.9" customHeight="1" x14ac:dyDescent="0.3"/>
    <row r="66" ht="15.9" customHeight="1" x14ac:dyDescent="0.3"/>
    <row r="67" ht="15.9" customHeight="1" x14ac:dyDescent="0.3"/>
    <row r="68" ht="15.9" customHeight="1" x14ac:dyDescent="0.3"/>
    <row r="69" ht="15.9" customHeight="1" x14ac:dyDescent="0.3"/>
    <row r="70" ht="15.9" customHeight="1" x14ac:dyDescent="0.3"/>
    <row r="71" ht="15.9" customHeight="1" x14ac:dyDescent="0.3"/>
    <row r="72" ht="15.9" customHeight="1" x14ac:dyDescent="0.3"/>
    <row r="73" ht="15.9" customHeight="1" x14ac:dyDescent="0.3"/>
    <row r="74" ht="15.9" customHeight="1" x14ac:dyDescent="0.3"/>
    <row r="75" ht="15.9" customHeight="1" x14ac:dyDescent="0.3"/>
    <row r="76" ht="15.9" customHeight="1" x14ac:dyDescent="0.3"/>
    <row r="77" ht="15.9" customHeight="1" x14ac:dyDescent="0.3"/>
    <row r="78" ht="15.9" customHeight="1" x14ac:dyDescent="0.3"/>
    <row r="79" ht="15.9" customHeight="1" x14ac:dyDescent="0.3"/>
    <row r="80" ht="15.9" customHeight="1" x14ac:dyDescent="0.3"/>
    <row r="81" ht="15.9" customHeight="1" x14ac:dyDescent="0.3"/>
    <row r="82" ht="15.9" customHeight="1" x14ac:dyDescent="0.3"/>
    <row r="83" ht="15.9" customHeight="1" x14ac:dyDescent="0.3"/>
    <row r="84" ht="15.9" customHeight="1" x14ac:dyDescent="0.3"/>
    <row r="85" ht="15.9" customHeight="1" x14ac:dyDescent="0.3"/>
    <row r="86" ht="15.9" customHeight="1" x14ac:dyDescent="0.3"/>
    <row r="87" ht="15.9" customHeight="1" x14ac:dyDescent="0.3"/>
    <row r="88" ht="15.9" customHeight="1" x14ac:dyDescent="0.3"/>
    <row r="89" ht="15.9" customHeight="1" x14ac:dyDescent="0.3"/>
    <row r="90" ht="15.9" customHeight="1" x14ac:dyDescent="0.3"/>
    <row r="91" ht="15.9" customHeight="1" x14ac:dyDescent="0.3"/>
    <row r="92" ht="15.9" customHeight="1" x14ac:dyDescent="0.3"/>
    <row r="93" ht="15.9" customHeight="1" x14ac:dyDescent="0.3"/>
    <row r="94" ht="15.9" customHeight="1" x14ac:dyDescent="0.3"/>
    <row r="95" ht="15.9" customHeight="1" x14ac:dyDescent="0.3"/>
    <row r="96" ht="15.9" customHeight="1" x14ac:dyDescent="0.3"/>
    <row r="97" ht="15.9" customHeight="1" x14ac:dyDescent="0.3"/>
    <row r="98" ht="15.9" customHeight="1" x14ac:dyDescent="0.3"/>
    <row r="99" ht="15.9" customHeight="1" x14ac:dyDescent="0.3"/>
    <row r="100" ht="15.9" customHeight="1" x14ac:dyDescent="0.3"/>
    <row r="101" ht="15.9" customHeight="1" x14ac:dyDescent="0.3"/>
    <row r="102" ht="15.9" customHeight="1" x14ac:dyDescent="0.3"/>
    <row r="103" ht="15.9" customHeight="1" x14ac:dyDescent="0.3"/>
    <row r="104" ht="15.9" customHeight="1" x14ac:dyDescent="0.3"/>
    <row r="105" ht="15.9" customHeight="1" x14ac:dyDescent="0.3"/>
    <row r="106" ht="15.9" customHeight="1" x14ac:dyDescent="0.3"/>
    <row r="107" ht="15.9" customHeight="1" x14ac:dyDescent="0.3"/>
    <row r="108" ht="15.9" customHeight="1" x14ac:dyDescent="0.3"/>
    <row r="109" ht="15.9" customHeight="1" x14ac:dyDescent="0.3"/>
    <row r="110" ht="15.9" customHeight="1" x14ac:dyDescent="0.3"/>
    <row r="111" ht="15.9" customHeight="1" x14ac:dyDescent="0.3"/>
    <row r="112" ht="15.9" customHeight="1" x14ac:dyDescent="0.3"/>
    <row r="113" ht="15.9" customHeight="1" x14ac:dyDescent="0.3"/>
    <row r="114" ht="15.9" customHeight="1" x14ac:dyDescent="0.3"/>
    <row r="115" ht="15.9" customHeight="1" x14ac:dyDescent="0.3"/>
    <row r="116" ht="15.9" customHeight="1" x14ac:dyDescent="0.3"/>
    <row r="117" ht="15.9" customHeight="1" x14ac:dyDescent="0.3"/>
    <row r="118" ht="15.9" customHeight="1" x14ac:dyDescent="0.3"/>
    <row r="119" ht="15.9" customHeight="1" x14ac:dyDescent="0.3"/>
    <row r="120" ht="15.9" customHeight="1" x14ac:dyDescent="0.3"/>
    <row r="121" ht="15.9" customHeight="1" x14ac:dyDescent="0.3"/>
    <row r="122" ht="15.9" customHeight="1" x14ac:dyDescent="0.3"/>
    <row r="123" ht="15.9" customHeight="1" x14ac:dyDescent="0.3"/>
    <row r="124" ht="15.9" customHeight="1" x14ac:dyDescent="0.3"/>
    <row r="125" ht="15.9" customHeight="1" x14ac:dyDescent="0.3"/>
    <row r="126" ht="15.9" customHeight="1" x14ac:dyDescent="0.3"/>
    <row r="127" ht="15.9" customHeight="1" x14ac:dyDescent="0.3"/>
    <row r="128" ht="15.9" customHeight="1" x14ac:dyDescent="0.3"/>
    <row r="129" ht="15.9" customHeight="1" x14ac:dyDescent="0.3"/>
    <row r="130" ht="15.9" customHeight="1" x14ac:dyDescent="0.3"/>
    <row r="131" ht="15.9" customHeight="1" x14ac:dyDescent="0.3"/>
    <row r="132" ht="15.9" customHeight="1" x14ac:dyDescent="0.3"/>
    <row r="133" ht="15.9" customHeight="1" x14ac:dyDescent="0.3"/>
    <row r="134" ht="15.9" customHeight="1" x14ac:dyDescent="0.3"/>
    <row r="135" ht="15.9" customHeight="1" x14ac:dyDescent="0.3"/>
    <row r="136" ht="15.9" customHeight="1" x14ac:dyDescent="0.3"/>
    <row r="137" ht="15.9" customHeight="1" x14ac:dyDescent="0.3"/>
    <row r="138" ht="15.9" customHeight="1" x14ac:dyDescent="0.3"/>
    <row r="139" ht="15.9" customHeight="1" x14ac:dyDescent="0.3"/>
    <row r="140" ht="15.9" customHeight="1" x14ac:dyDescent="0.3"/>
    <row r="141" ht="15.9" customHeight="1" x14ac:dyDescent="0.3"/>
    <row r="142" ht="15.9" customHeight="1" x14ac:dyDescent="0.3"/>
    <row r="143" ht="15.9" customHeight="1" x14ac:dyDescent="0.3"/>
    <row r="144" ht="15.9" customHeight="1" x14ac:dyDescent="0.3"/>
    <row r="145" ht="15.9" customHeight="1" x14ac:dyDescent="0.3"/>
    <row r="146" ht="15.9" customHeight="1" x14ac:dyDescent="0.3"/>
    <row r="147" ht="15.9" customHeight="1" x14ac:dyDescent="0.3"/>
    <row r="148" ht="15.9" customHeight="1" x14ac:dyDescent="0.3"/>
    <row r="149" ht="15.9" customHeight="1" x14ac:dyDescent="0.3"/>
    <row r="150" ht="15.9" customHeight="1" x14ac:dyDescent="0.3"/>
    <row r="151" ht="15.9" customHeight="1" x14ac:dyDescent="0.3"/>
    <row r="152" ht="15.9" customHeight="1" x14ac:dyDescent="0.3"/>
    <row r="153" ht="15.9" customHeight="1" x14ac:dyDescent="0.3"/>
    <row r="154" ht="15.9" customHeight="1" x14ac:dyDescent="0.3"/>
    <row r="155" ht="15.9" customHeight="1" x14ac:dyDescent="0.3"/>
    <row r="156" ht="15.9" customHeight="1" x14ac:dyDescent="0.3"/>
    <row r="157" ht="15.9" customHeight="1" x14ac:dyDescent="0.3"/>
    <row r="158" ht="15.9" customHeight="1" x14ac:dyDescent="0.3"/>
    <row r="159" ht="15.9" customHeight="1" x14ac:dyDescent="0.3"/>
    <row r="160" ht="15.9" customHeight="1" x14ac:dyDescent="0.3"/>
    <row r="161" ht="15.9" customHeight="1" x14ac:dyDescent="0.3"/>
    <row r="162" ht="15.9" customHeight="1" x14ac:dyDescent="0.3"/>
    <row r="163" ht="15.9" customHeight="1" x14ac:dyDescent="0.3"/>
    <row r="164" ht="15.9" customHeight="1" x14ac:dyDescent="0.3"/>
    <row r="165" ht="15.9" customHeight="1" x14ac:dyDescent="0.3"/>
    <row r="166" ht="15.9" customHeight="1" x14ac:dyDescent="0.3"/>
    <row r="167" ht="15.9" customHeight="1" x14ac:dyDescent="0.3"/>
    <row r="168" ht="15.9" customHeight="1" x14ac:dyDescent="0.3"/>
    <row r="169" ht="15.9" customHeight="1" x14ac:dyDescent="0.3"/>
    <row r="170" ht="15.9" customHeight="1" x14ac:dyDescent="0.3"/>
    <row r="171" ht="15.9" customHeight="1" x14ac:dyDescent="0.3"/>
    <row r="172" ht="15.9" customHeight="1" x14ac:dyDescent="0.3"/>
    <row r="173" ht="15.9" customHeight="1" x14ac:dyDescent="0.3"/>
    <row r="174" ht="15.9" customHeight="1" x14ac:dyDescent="0.3"/>
    <row r="175" ht="15.9" customHeight="1" x14ac:dyDescent="0.3"/>
    <row r="176" ht="15.9" customHeight="1" x14ac:dyDescent="0.3"/>
    <row r="177" ht="15.9" customHeight="1" x14ac:dyDescent="0.3"/>
    <row r="178" ht="15.9" customHeight="1" x14ac:dyDescent="0.3"/>
    <row r="179" ht="15.9" customHeight="1" x14ac:dyDescent="0.3"/>
    <row r="180" ht="15.9" customHeight="1" x14ac:dyDescent="0.3"/>
    <row r="181" ht="15.9" customHeight="1" x14ac:dyDescent="0.3"/>
    <row r="182" ht="15.9" customHeight="1" x14ac:dyDescent="0.3"/>
    <row r="183" ht="15.9" customHeight="1" x14ac:dyDescent="0.3"/>
    <row r="184" ht="15.9" customHeight="1" x14ac:dyDescent="0.3"/>
    <row r="185" ht="15.9" customHeight="1" x14ac:dyDescent="0.3"/>
    <row r="186" ht="15.9" customHeight="1" x14ac:dyDescent="0.3"/>
    <row r="187" ht="15.9" customHeight="1" x14ac:dyDescent="0.3"/>
    <row r="188" ht="15.9" customHeight="1" x14ac:dyDescent="0.3"/>
    <row r="189" ht="15.9" customHeight="1" x14ac:dyDescent="0.3"/>
    <row r="190" ht="15.9" customHeight="1" x14ac:dyDescent="0.3"/>
    <row r="191" ht="15.9" customHeight="1" x14ac:dyDescent="0.3"/>
    <row r="192" ht="15.9" customHeight="1" x14ac:dyDescent="0.3"/>
    <row r="193" ht="15.9" customHeight="1" x14ac:dyDescent="0.3"/>
    <row r="194" ht="15.9" customHeight="1" x14ac:dyDescent="0.3"/>
    <row r="195" ht="15.9" customHeight="1" x14ac:dyDescent="0.3"/>
    <row r="196" ht="15.9" customHeight="1" x14ac:dyDescent="0.3"/>
    <row r="197" ht="15.9" customHeight="1" x14ac:dyDescent="0.3"/>
    <row r="198" ht="15.9" customHeight="1" x14ac:dyDescent="0.3"/>
    <row r="199" ht="15.9" customHeight="1" x14ac:dyDescent="0.3"/>
    <row r="200" ht="15.9" customHeight="1" x14ac:dyDescent="0.3"/>
    <row r="201" ht="15.9" customHeight="1" x14ac:dyDescent="0.3"/>
    <row r="202" ht="15.9" customHeight="1" x14ac:dyDescent="0.3"/>
    <row r="203" ht="15.9" customHeight="1" x14ac:dyDescent="0.3"/>
    <row r="204" ht="15.9" customHeight="1" x14ac:dyDescent="0.3"/>
    <row r="205" ht="15.9" customHeight="1" x14ac:dyDescent="0.3"/>
    <row r="206" ht="15.9" customHeight="1" x14ac:dyDescent="0.3"/>
    <row r="207" ht="15.9" customHeight="1" x14ac:dyDescent="0.3"/>
    <row r="208" ht="15.9" customHeight="1" x14ac:dyDescent="0.3"/>
    <row r="209" ht="15.9" customHeight="1" x14ac:dyDescent="0.3"/>
    <row r="210" ht="15.9" customHeight="1" x14ac:dyDescent="0.3"/>
    <row r="211" ht="15.9" customHeight="1" x14ac:dyDescent="0.3"/>
    <row r="212" ht="15.9" customHeight="1" x14ac:dyDescent="0.3"/>
    <row r="213" ht="15.9" customHeight="1" x14ac:dyDescent="0.3"/>
    <row r="214" ht="15.9" customHeight="1" x14ac:dyDescent="0.3"/>
    <row r="215" ht="15.9" customHeight="1" x14ac:dyDescent="0.3"/>
    <row r="216" ht="15.9" customHeight="1" x14ac:dyDescent="0.3"/>
    <row r="217" ht="15.9" customHeight="1" x14ac:dyDescent="0.3"/>
    <row r="218" ht="15.9" customHeight="1" x14ac:dyDescent="0.3"/>
    <row r="219" ht="15.9" customHeight="1" x14ac:dyDescent="0.3"/>
    <row r="220" ht="15.9" customHeight="1" x14ac:dyDescent="0.3"/>
    <row r="221" ht="15.9" customHeight="1" x14ac:dyDescent="0.3"/>
    <row r="222" ht="15.9" customHeight="1" x14ac:dyDescent="0.3"/>
    <row r="223" ht="15.9" customHeight="1" x14ac:dyDescent="0.3"/>
    <row r="224" ht="15.9" customHeight="1" x14ac:dyDescent="0.3"/>
    <row r="225" ht="15.9" customHeight="1" x14ac:dyDescent="0.3"/>
    <row r="226" ht="15.9" customHeight="1" x14ac:dyDescent="0.3"/>
    <row r="227" ht="15.9" customHeight="1" x14ac:dyDescent="0.3"/>
    <row r="228" ht="15.9" customHeight="1" x14ac:dyDescent="0.3"/>
    <row r="229" ht="15.9" customHeight="1" x14ac:dyDescent="0.3"/>
    <row r="230" ht="15.9" customHeight="1" x14ac:dyDescent="0.3"/>
    <row r="231" ht="15.9" customHeight="1" x14ac:dyDescent="0.3"/>
    <row r="232" ht="15.9" customHeight="1" x14ac:dyDescent="0.3"/>
    <row r="233" ht="15.9" customHeight="1" x14ac:dyDescent="0.3"/>
    <row r="234" ht="15.9" customHeight="1" x14ac:dyDescent="0.3"/>
    <row r="235" ht="15.9" customHeight="1" x14ac:dyDescent="0.3"/>
    <row r="236" ht="15.9" customHeight="1" x14ac:dyDescent="0.3"/>
    <row r="237" ht="15.9" customHeight="1" x14ac:dyDescent="0.3"/>
    <row r="238" ht="15.9" customHeight="1" x14ac:dyDescent="0.3"/>
    <row r="239" ht="15.9" customHeight="1" x14ac:dyDescent="0.3"/>
    <row r="240" ht="15.9" customHeight="1" x14ac:dyDescent="0.3"/>
    <row r="241" ht="15.9" customHeight="1" x14ac:dyDescent="0.3"/>
    <row r="242" ht="15.9" customHeight="1" x14ac:dyDescent="0.3"/>
    <row r="243" ht="15.9" customHeight="1" x14ac:dyDescent="0.3"/>
    <row r="244" ht="15.9" customHeight="1" x14ac:dyDescent="0.3"/>
    <row r="245" ht="15.9" customHeight="1" x14ac:dyDescent="0.3"/>
    <row r="246" ht="15.9" customHeight="1" x14ac:dyDescent="0.3"/>
    <row r="247" ht="15.9" customHeight="1" x14ac:dyDescent="0.3"/>
    <row r="248" ht="15.9" customHeight="1" x14ac:dyDescent="0.3"/>
    <row r="249" ht="15.9" customHeight="1" x14ac:dyDescent="0.3"/>
    <row r="250" ht="15.9" customHeight="1" x14ac:dyDescent="0.3"/>
    <row r="251" ht="15.9" customHeight="1" x14ac:dyDescent="0.3"/>
    <row r="252" ht="15.9" customHeight="1" x14ac:dyDescent="0.3"/>
    <row r="253" ht="15.9" customHeight="1" x14ac:dyDescent="0.3"/>
    <row r="254" ht="15.9" customHeight="1" x14ac:dyDescent="0.3"/>
    <row r="255" ht="15.9" customHeight="1" x14ac:dyDescent="0.3"/>
    <row r="256" ht="15.9" customHeight="1" x14ac:dyDescent="0.3"/>
    <row r="257" ht="15.9" customHeight="1" x14ac:dyDescent="0.3"/>
    <row r="258" ht="15.9" customHeight="1" x14ac:dyDescent="0.3"/>
    <row r="259" ht="15.9" customHeight="1" x14ac:dyDescent="0.3"/>
    <row r="260" ht="15.9" customHeight="1" x14ac:dyDescent="0.3"/>
    <row r="261" ht="15.9" customHeight="1" x14ac:dyDescent="0.3"/>
    <row r="262" ht="15.9" customHeight="1" x14ac:dyDescent="0.3"/>
    <row r="263" ht="15.9" customHeight="1" x14ac:dyDescent="0.3"/>
    <row r="264" ht="15.9" customHeight="1" x14ac:dyDescent="0.3"/>
    <row r="265" ht="15.9" customHeight="1" x14ac:dyDescent="0.3"/>
    <row r="266" ht="15.9" customHeight="1" x14ac:dyDescent="0.3"/>
    <row r="267" ht="15.9" customHeight="1" x14ac:dyDescent="0.3"/>
    <row r="268" ht="15.9" customHeight="1" x14ac:dyDescent="0.3"/>
    <row r="269" ht="15.9" customHeight="1" x14ac:dyDescent="0.3"/>
    <row r="270" ht="15.9" customHeight="1" x14ac:dyDescent="0.3"/>
    <row r="271" ht="15.9" customHeight="1" x14ac:dyDescent="0.3"/>
    <row r="272" ht="15.9" customHeight="1" x14ac:dyDescent="0.3"/>
    <row r="273" ht="15.9" customHeight="1" x14ac:dyDescent="0.3"/>
    <row r="274" ht="15.9" customHeight="1" x14ac:dyDescent="0.3"/>
    <row r="275" ht="15.9" customHeight="1" x14ac:dyDescent="0.3"/>
    <row r="276" ht="15.9" customHeight="1" x14ac:dyDescent="0.3"/>
    <row r="277" ht="15.9" customHeight="1" x14ac:dyDescent="0.3"/>
    <row r="278" ht="15.9" customHeight="1" x14ac:dyDescent="0.3"/>
    <row r="279" ht="15.9" customHeight="1" x14ac:dyDescent="0.3"/>
    <row r="280" ht="15.9" customHeight="1" x14ac:dyDescent="0.3"/>
    <row r="281" ht="15.9" customHeight="1" x14ac:dyDescent="0.3"/>
    <row r="282" ht="15.9" customHeight="1" x14ac:dyDescent="0.3"/>
    <row r="283" ht="15.9" customHeight="1" x14ac:dyDescent="0.3"/>
    <row r="284" ht="15.9" customHeight="1" x14ac:dyDescent="0.3"/>
    <row r="285" ht="15.9" customHeight="1" x14ac:dyDescent="0.3"/>
    <row r="286" ht="15.9" customHeight="1" x14ac:dyDescent="0.3"/>
    <row r="287" ht="15.9" customHeight="1" x14ac:dyDescent="0.3"/>
    <row r="288" ht="15.9" customHeight="1" x14ac:dyDescent="0.3"/>
    <row r="289" ht="15.9" customHeight="1" x14ac:dyDescent="0.3"/>
    <row r="290" ht="15.9" customHeight="1" x14ac:dyDescent="0.3"/>
    <row r="291" ht="15.9" customHeight="1" x14ac:dyDescent="0.3"/>
    <row r="292" ht="15.9" customHeight="1" x14ac:dyDescent="0.3"/>
    <row r="293" ht="15.9" customHeight="1" x14ac:dyDescent="0.3"/>
    <row r="294" ht="15.9" customHeight="1" x14ac:dyDescent="0.3"/>
    <row r="295" ht="15.9" customHeight="1" x14ac:dyDescent="0.3"/>
    <row r="296" ht="15.9" customHeight="1" x14ac:dyDescent="0.3"/>
    <row r="297" ht="15.9" customHeight="1" x14ac:dyDescent="0.3"/>
    <row r="298" ht="15.9" customHeight="1" x14ac:dyDescent="0.3"/>
    <row r="299" ht="15.9" customHeight="1" x14ac:dyDescent="0.3"/>
    <row r="300" ht="15.9" customHeight="1" x14ac:dyDescent="0.3"/>
    <row r="301" ht="15.9" customHeight="1" x14ac:dyDescent="0.3"/>
    <row r="302" ht="15.9" customHeight="1" x14ac:dyDescent="0.3"/>
    <row r="303" ht="15.9" customHeight="1" x14ac:dyDescent="0.3"/>
    <row r="304" ht="15.9" customHeight="1" x14ac:dyDescent="0.3"/>
    <row r="305" ht="15.9" customHeight="1" x14ac:dyDescent="0.3"/>
    <row r="306" ht="15.9" customHeight="1" x14ac:dyDescent="0.3"/>
    <row r="307" ht="15.9" customHeight="1" x14ac:dyDescent="0.3"/>
    <row r="308" ht="15.9" customHeight="1" x14ac:dyDescent="0.3"/>
    <row r="309" ht="15.9" customHeight="1" x14ac:dyDescent="0.3"/>
    <row r="310" ht="15.9" customHeight="1" x14ac:dyDescent="0.3"/>
    <row r="311" ht="15.9" customHeight="1" x14ac:dyDescent="0.3"/>
    <row r="312" ht="15.9" customHeight="1" x14ac:dyDescent="0.3"/>
    <row r="313" ht="15.9" customHeight="1" x14ac:dyDescent="0.3"/>
    <row r="314" ht="15.9" customHeight="1" x14ac:dyDescent="0.3"/>
    <row r="315" ht="15.9" customHeight="1" x14ac:dyDescent="0.3"/>
    <row r="316" ht="15.9" customHeight="1" x14ac:dyDescent="0.3"/>
    <row r="317" ht="15.9" customHeight="1" x14ac:dyDescent="0.3"/>
    <row r="318" ht="15.9" customHeight="1" x14ac:dyDescent="0.3"/>
    <row r="319" ht="15.9" customHeight="1" x14ac:dyDescent="0.3"/>
    <row r="320" ht="15.9" customHeight="1" x14ac:dyDescent="0.3"/>
    <row r="321" ht="15.9" customHeight="1" x14ac:dyDescent="0.3"/>
    <row r="322" ht="15.9" customHeight="1" x14ac:dyDescent="0.3"/>
    <row r="323" ht="15.9" customHeight="1" x14ac:dyDescent="0.3"/>
    <row r="324" ht="15.9" customHeight="1" x14ac:dyDescent="0.3"/>
    <row r="325" ht="15.9" customHeight="1" x14ac:dyDescent="0.3"/>
    <row r="326" ht="15.9" customHeight="1" x14ac:dyDescent="0.3"/>
    <row r="327" ht="15.9" customHeight="1" x14ac:dyDescent="0.3"/>
    <row r="328" ht="15.9" customHeight="1" x14ac:dyDescent="0.3"/>
    <row r="329" ht="15.9" customHeight="1" x14ac:dyDescent="0.3"/>
    <row r="330" ht="15.9" customHeight="1" x14ac:dyDescent="0.3"/>
    <row r="331" ht="15.9" customHeight="1" x14ac:dyDescent="0.3"/>
    <row r="332" ht="15.9" customHeight="1" x14ac:dyDescent="0.3"/>
    <row r="333" ht="15.9" customHeight="1" x14ac:dyDescent="0.3"/>
    <row r="334" ht="15.9" customHeight="1" x14ac:dyDescent="0.3"/>
    <row r="335" ht="15.9" customHeight="1" x14ac:dyDescent="0.3"/>
    <row r="336" ht="15.9" customHeight="1" x14ac:dyDescent="0.3"/>
    <row r="337" ht="15.9" customHeight="1" x14ac:dyDescent="0.3"/>
    <row r="338" ht="15.9" customHeight="1" x14ac:dyDescent="0.3"/>
    <row r="339" ht="15.9" customHeight="1" x14ac:dyDescent="0.3"/>
    <row r="340" ht="15.9" customHeight="1" x14ac:dyDescent="0.3"/>
    <row r="341" ht="15.9" customHeight="1" x14ac:dyDescent="0.3"/>
    <row r="342" ht="15.9" customHeight="1" x14ac:dyDescent="0.3"/>
    <row r="343" ht="15.9" customHeight="1" x14ac:dyDescent="0.3"/>
    <row r="344" ht="15.9" customHeight="1" x14ac:dyDescent="0.3"/>
    <row r="345" ht="15.9" customHeight="1" x14ac:dyDescent="0.3"/>
    <row r="346" ht="15.9" customHeight="1" x14ac:dyDescent="0.3"/>
    <row r="347" ht="15.9" customHeight="1" x14ac:dyDescent="0.3"/>
    <row r="348" ht="15.9" customHeight="1" x14ac:dyDescent="0.3"/>
    <row r="349" ht="15.9" customHeight="1" x14ac:dyDescent="0.3"/>
    <row r="350" ht="15.9" customHeight="1" x14ac:dyDescent="0.3"/>
    <row r="351" ht="15.9" customHeight="1" x14ac:dyDescent="0.3"/>
    <row r="352" ht="15.9" customHeight="1" x14ac:dyDescent="0.3"/>
    <row r="353" ht="15.9" customHeight="1" x14ac:dyDescent="0.3"/>
    <row r="354" ht="15.9" customHeight="1" x14ac:dyDescent="0.3"/>
    <row r="355" ht="15.9" customHeight="1" x14ac:dyDescent="0.3"/>
    <row r="356" ht="15.9" customHeight="1" x14ac:dyDescent="0.3"/>
    <row r="357" ht="15.9" customHeight="1" x14ac:dyDescent="0.3"/>
    <row r="358" ht="15.9" customHeight="1" x14ac:dyDescent="0.3"/>
    <row r="359" ht="15.9" customHeight="1" x14ac:dyDescent="0.3"/>
    <row r="360" ht="15.9" customHeight="1" x14ac:dyDescent="0.3"/>
    <row r="361" ht="15.9" customHeight="1" x14ac:dyDescent="0.3"/>
    <row r="362" ht="15.9" customHeight="1" x14ac:dyDescent="0.3"/>
    <row r="363" ht="15.9" customHeight="1" x14ac:dyDescent="0.3"/>
    <row r="364" ht="15.9" customHeight="1" x14ac:dyDescent="0.3"/>
    <row r="365" ht="15.9" customHeight="1" x14ac:dyDescent="0.3"/>
    <row r="366" ht="15.9" customHeight="1" x14ac:dyDescent="0.3"/>
    <row r="367" ht="15.9" customHeight="1" x14ac:dyDescent="0.3"/>
    <row r="368" ht="15.9" customHeight="1" x14ac:dyDescent="0.3"/>
    <row r="369" ht="15.9" customHeight="1" x14ac:dyDescent="0.3"/>
    <row r="370" ht="15.9" customHeight="1" x14ac:dyDescent="0.3"/>
    <row r="371" ht="15.9" customHeight="1" x14ac:dyDescent="0.3"/>
    <row r="372" ht="15.9" customHeight="1" x14ac:dyDescent="0.3"/>
    <row r="373" ht="15.9" customHeight="1" x14ac:dyDescent="0.3"/>
    <row r="374" ht="15.9" customHeight="1" x14ac:dyDescent="0.3"/>
    <row r="375" ht="15.9" customHeight="1" x14ac:dyDescent="0.3"/>
    <row r="376" ht="15.9" customHeight="1" x14ac:dyDescent="0.3"/>
    <row r="377" ht="15.9" customHeight="1" x14ac:dyDescent="0.3"/>
    <row r="378" ht="15.9" customHeight="1" x14ac:dyDescent="0.3"/>
    <row r="379" ht="15.9" customHeight="1" x14ac:dyDescent="0.3"/>
    <row r="380" ht="15.9" customHeight="1" x14ac:dyDescent="0.3"/>
    <row r="381" ht="15.9" customHeight="1" x14ac:dyDescent="0.3"/>
    <row r="382" ht="15.9" customHeight="1" x14ac:dyDescent="0.3"/>
    <row r="383" ht="15.9" customHeight="1" x14ac:dyDescent="0.3"/>
    <row r="384" ht="15.9" customHeight="1" x14ac:dyDescent="0.3"/>
    <row r="385" ht="15.9" customHeight="1" x14ac:dyDescent="0.3"/>
    <row r="386" ht="15.9" customHeight="1" x14ac:dyDescent="0.3"/>
    <row r="387" ht="15.9" customHeight="1" x14ac:dyDescent="0.3"/>
    <row r="388" ht="15.9" customHeight="1" x14ac:dyDescent="0.3"/>
    <row r="389" ht="15.9" customHeight="1" x14ac:dyDescent="0.3"/>
    <row r="390" ht="15.9" customHeight="1" x14ac:dyDescent="0.3"/>
    <row r="391" ht="15.9" customHeight="1" x14ac:dyDescent="0.3"/>
    <row r="392" ht="15.9" customHeight="1" x14ac:dyDescent="0.3"/>
    <row r="393" ht="15.9" customHeight="1" x14ac:dyDescent="0.3"/>
    <row r="394" ht="15.9" customHeight="1" x14ac:dyDescent="0.3"/>
    <row r="395" ht="15.9" customHeight="1" x14ac:dyDescent="0.3"/>
    <row r="396" ht="15.9" customHeight="1" x14ac:dyDescent="0.3"/>
    <row r="397" ht="15.9" customHeight="1" x14ac:dyDescent="0.3"/>
    <row r="398" ht="15.9" customHeight="1" x14ac:dyDescent="0.3"/>
    <row r="399" ht="15.9" customHeight="1" x14ac:dyDescent="0.3"/>
    <row r="400" ht="15.9" customHeight="1" x14ac:dyDescent="0.3"/>
    <row r="401" ht="15.9" customHeight="1" x14ac:dyDescent="0.3"/>
    <row r="402" ht="15.9" customHeight="1" x14ac:dyDescent="0.3"/>
    <row r="403" ht="15.9" customHeight="1" x14ac:dyDescent="0.3"/>
    <row r="404" ht="15.9" customHeight="1" x14ac:dyDescent="0.3"/>
    <row r="405" ht="15.9" customHeight="1" x14ac:dyDescent="0.3"/>
    <row r="406" ht="15.9" customHeight="1" x14ac:dyDescent="0.3"/>
    <row r="407" ht="15.9" customHeight="1" x14ac:dyDescent="0.3"/>
    <row r="408" ht="15.9" customHeight="1" x14ac:dyDescent="0.3"/>
    <row r="409" ht="15.9" customHeight="1" x14ac:dyDescent="0.3"/>
    <row r="410" ht="15.9" customHeight="1" x14ac:dyDescent="0.3"/>
    <row r="411" ht="15.9" customHeight="1" x14ac:dyDescent="0.3"/>
    <row r="412" ht="15.9" customHeight="1" x14ac:dyDescent="0.3"/>
    <row r="413" ht="15.9" customHeight="1" x14ac:dyDescent="0.3"/>
    <row r="414" ht="15.9" customHeight="1" x14ac:dyDescent="0.3"/>
    <row r="415" ht="15.9" customHeight="1" x14ac:dyDescent="0.3"/>
    <row r="416" ht="15.9" customHeight="1" x14ac:dyDescent="0.3"/>
    <row r="417" ht="15.9" customHeight="1" x14ac:dyDescent="0.3"/>
    <row r="418" ht="15.9" customHeight="1" x14ac:dyDescent="0.3"/>
    <row r="419" ht="15.9" customHeight="1" x14ac:dyDescent="0.3"/>
    <row r="420" ht="15.9" customHeight="1" x14ac:dyDescent="0.3"/>
    <row r="421" ht="15.9" customHeight="1" x14ac:dyDescent="0.3"/>
    <row r="422" ht="15.9" customHeight="1" x14ac:dyDescent="0.3"/>
    <row r="423" ht="15.9" customHeight="1" x14ac:dyDescent="0.3"/>
    <row r="424" ht="15.9" customHeight="1" x14ac:dyDescent="0.3"/>
    <row r="425" ht="15.9" customHeight="1" x14ac:dyDescent="0.3"/>
    <row r="426" ht="15.9" customHeight="1" x14ac:dyDescent="0.3"/>
    <row r="427" ht="15.9" customHeight="1" x14ac:dyDescent="0.3"/>
    <row r="428" ht="15.9" customHeight="1" x14ac:dyDescent="0.3"/>
    <row r="429" ht="15.9" customHeight="1" x14ac:dyDescent="0.3"/>
    <row r="430" ht="15.9" customHeight="1" x14ac:dyDescent="0.3"/>
    <row r="431" ht="15.9" customHeight="1" x14ac:dyDescent="0.3"/>
    <row r="432" ht="15.9" customHeight="1" x14ac:dyDescent="0.3"/>
    <row r="433" ht="15.9" customHeight="1" x14ac:dyDescent="0.3"/>
    <row r="434" ht="15.9" customHeight="1" x14ac:dyDescent="0.3"/>
    <row r="435" ht="15.9" customHeight="1" x14ac:dyDescent="0.3"/>
    <row r="436" ht="15.9" customHeight="1" x14ac:dyDescent="0.3"/>
    <row r="437" ht="15.9" customHeight="1" x14ac:dyDescent="0.3"/>
    <row r="438" ht="15.9" customHeight="1" x14ac:dyDescent="0.3"/>
    <row r="439" ht="15.9" customHeight="1" x14ac:dyDescent="0.3"/>
    <row r="440" ht="15.9" customHeight="1" x14ac:dyDescent="0.3"/>
    <row r="441" ht="15.9" customHeight="1" x14ac:dyDescent="0.3"/>
    <row r="442" ht="15.9" customHeight="1" x14ac:dyDescent="0.3"/>
    <row r="443" ht="15.9" customHeight="1" x14ac:dyDescent="0.3"/>
    <row r="444" ht="15.9" customHeight="1" x14ac:dyDescent="0.3"/>
    <row r="445" ht="15.9" customHeight="1" x14ac:dyDescent="0.3"/>
    <row r="446" ht="15.9" customHeight="1" x14ac:dyDescent="0.3"/>
    <row r="447" ht="15.9" customHeight="1" x14ac:dyDescent="0.3"/>
    <row r="448" ht="15.9" customHeight="1" x14ac:dyDescent="0.3"/>
    <row r="449" ht="15.9" customHeight="1" x14ac:dyDescent="0.3"/>
    <row r="450" ht="15.9" customHeight="1" x14ac:dyDescent="0.3"/>
    <row r="451" ht="15.9" customHeight="1" x14ac:dyDescent="0.3"/>
    <row r="452" ht="15.9" customHeight="1" x14ac:dyDescent="0.3"/>
    <row r="453" ht="15.9" customHeight="1" x14ac:dyDescent="0.3"/>
    <row r="454" ht="15.9" customHeight="1" x14ac:dyDescent="0.3"/>
    <row r="455" ht="15.9" customHeight="1" x14ac:dyDescent="0.3"/>
    <row r="456" ht="15.9" customHeight="1" x14ac:dyDescent="0.3"/>
    <row r="457" ht="15.9" customHeight="1" x14ac:dyDescent="0.3"/>
    <row r="458" ht="15.9" customHeight="1" x14ac:dyDescent="0.3"/>
    <row r="459" ht="15.9" customHeight="1" x14ac:dyDescent="0.3"/>
    <row r="460" ht="15.9" customHeight="1" x14ac:dyDescent="0.3"/>
    <row r="461" ht="15.9" customHeight="1" x14ac:dyDescent="0.3"/>
    <row r="462" ht="15.9" customHeight="1" x14ac:dyDescent="0.3"/>
    <row r="463" ht="15.9" customHeight="1" x14ac:dyDescent="0.3"/>
    <row r="464" ht="15.9" customHeight="1" x14ac:dyDescent="0.3"/>
    <row r="465" ht="15.9" customHeight="1" x14ac:dyDescent="0.3"/>
    <row r="466" ht="15.9" customHeight="1" x14ac:dyDescent="0.3"/>
    <row r="467" ht="15.9" customHeight="1" x14ac:dyDescent="0.3"/>
    <row r="468" ht="15.9" customHeight="1" x14ac:dyDescent="0.3"/>
    <row r="469" ht="15.9" customHeight="1" x14ac:dyDescent="0.3"/>
    <row r="470" ht="15.9" customHeight="1" x14ac:dyDescent="0.3"/>
    <row r="471" ht="15.9" customHeight="1" x14ac:dyDescent="0.3"/>
    <row r="472" ht="15.9" customHeight="1" x14ac:dyDescent="0.3"/>
    <row r="473" ht="15.9" customHeight="1" x14ac:dyDescent="0.3"/>
    <row r="474" ht="15.9" customHeight="1" x14ac:dyDescent="0.3"/>
    <row r="475" ht="15.9" customHeight="1" x14ac:dyDescent="0.3"/>
    <row r="476" ht="15.9" customHeight="1" x14ac:dyDescent="0.3"/>
    <row r="477" ht="15.9" customHeight="1" x14ac:dyDescent="0.3"/>
    <row r="478" ht="15.9" customHeight="1" x14ac:dyDescent="0.3"/>
    <row r="479" ht="15.9" customHeight="1" x14ac:dyDescent="0.3"/>
    <row r="480" ht="15.9" customHeight="1" x14ac:dyDescent="0.3"/>
    <row r="481" ht="15.9" customHeight="1" x14ac:dyDescent="0.3"/>
    <row r="482" ht="15.9" customHeight="1" x14ac:dyDescent="0.3"/>
    <row r="483" ht="15.9" customHeight="1" x14ac:dyDescent="0.3"/>
    <row r="484" ht="15.9" customHeight="1" x14ac:dyDescent="0.3"/>
    <row r="485" ht="15.9" customHeight="1" x14ac:dyDescent="0.3"/>
    <row r="486" ht="15.9" customHeight="1" x14ac:dyDescent="0.3"/>
    <row r="487" ht="15.9" customHeight="1" x14ac:dyDescent="0.3"/>
    <row r="488" ht="15.9" customHeight="1" x14ac:dyDescent="0.3"/>
    <row r="489" ht="15.9" customHeight="1" x14ac:dyDescent="0.3"/>
    <row r="490" ht="15.9" customHeight="1" x14ac:dyDescent="0.3"/>
    <row r="491" ht="15.9" customHeight="1" x14ac:dyDescent="0.3"/>
    <row r="492" ht="15.9" customHeight="1" x14ac:dyDescent="0.3"/>
    <row r="493" ht="15.9" customHeight="1" x14ac:dyDescent="0.3"/>
    <row r="494" ht="15.9" customHeight="1" x14ac:dyDescent="0.3"/>
    <row r="495" ht="15.9" customHeight="1" x14ac:dyDescent="0.3"/>
    <row r="496" ht="15.9" customHeight="1" x14ac:dyDescent="0.3"/>
    <row r="497" ht="15.9" customHeight="1" x14ac:dyDescent="0.3"/>
    <row r="498" ht="15.9" customHeight="1" x14ac:dyDescent="0.3"/>
    <row r="499" ht="15.9" customHeight="1" x14ac:dyDescent="0.3"/>
    <row r="500" ht="15.9" customHeight="1" x14ac:dyDescent="0.3"/>
    <row r="501" ht="15.9" customHeight="1" x14ac:dyDescent="0.3"/>
    <row r="502" ht="15.9" customHeight="1" x14ac:dyDescent="0.3"/>
    <row r="503" ht="15.9" customHeight="1" x14ac:dyDescent="0.3"/>
  </sheetData>
  <mergeCells count="36">
    <mergeCell ref="C19:D19"/>
    <mergeCell ref="B11:B16"/>
    <mergeCell ref="C11:D16"/>
    <mergeCell ref="E11:F16"/>
    <mergeCell ref="G11:G16"/>
    <mergeCell ref="P7:Q7"/>
    <mergeCell ref="H11:H16"/>
    <mergeCell ref="P11:Q16"/>
    <mergeCell ref="B9:B10"/>
    <mergeCell ref="C9:D10"/>
    <mergeCell ref="E9:F10"/>
    <mergeCell ref="G9:G10"/>
    <mergeCell ref="H9:H10"/>
    <mergeCell ref="P9:Q10"/>
    <mergeCell ref="B8:C8"/>
    <mergeCell ref="F8:H8"/>
    <mergeCell ref="I8:J8"/>
    <mergeCell ref="K8:O8"/>
    <mergeCell ref="B6:C6"/>
    <mergeCell ref="D6:H6"/>
    <mergeCell ref="I6:J6"/>
    <mergeCell ref="K6:L6"/>
    <mergeCell ref="M6:O6"/>
    <mergeCell ref="B7:C7"/>
    <mergeCell ref="D7:H7"/>
    <mergeCell ref="I7:J7"/>
    <mergeCell ref="K7:L7"/>
    <mergeCell ref="P6:Q6"/>
    <mergeCell ref="A2:D2"/>
    <mergeCell ref="E2:N3"/>
    <mergeCell ref="O2:R2"/>
    <mergeCell ref="A3:D3"/>
    <mergeCell ref="O3:R3"/>
    <mergeCell ref="B5:C5"/>
    <mergeCell ref="D5:H5"/>
    <mergeCell ref="I5:O5"/>
  </mergeCells>
  <printOptions horizontalCentered="1"/>
  <pageMargins left="0.3" right="0.3" top="0.45" bottom="0.75" header="0.3" footer="0.3"/>
  <pageSetup paperSize="9" scale="93" orientation="landscape" r:id="rId1"/>
  <headerFooter>
    <oddFooter>&amp;L&amp;1#&amp;"Calibri"&amp;8 Sensitivity: LNT Construction Internal Use</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9">
    <tabColor rgb="FFFF0000"/>
  </sheetPr>
  <dimension ref="A1:AA546"/>
  <sheetViews>
    <sheetView showGridLines="0" zoomScaleNormal="100" zoomScaleSheetLayoutView="100" workbookViewId="0">
      <selection activeCell="G17" sqref="G17:G22"/>
    </sheetView>
  </sheetViews>
  <sheetFormatPr defaultColWidth="10.44140625" defaultRowHeight="15.6" x14ac:dyDescent="0.3"/>
  <cols>
    <col min="1" max="1" width="1.88671875" style="12" customWidth="1"/>
    <col min="2" max="2" width="6.44140625" style="12" customWidth="1"/>
    <col min="3" max="4" width="12.5546875" style="12" customWidth="1"/>
    <col min="5" max="5" width="7.88671875" style="12" customWidth="1"/>
    <col min="6" max="6" width="30.44140625" style="12" customWidth="1"/>
    <col min="7" max="8" width="6.109375" style="12" customWidth="1"/>
    <col min="9" max="9" width="10.5546875" style="12" customWidth="1"/>
    <col min="10" max="11" width="9" style="12" bestFit="1" customWidth="1"/>
    <col min="12" max="12" width="7.88671875" style="12" customWidth="1"/>
    <col min="13" max="13" width="9" style="12" bestFit="1" customWidth="1"/>
    <col min="14" max="14" width="7.88671875" style="12" customWidth="1"/>
    <col min="15" max="15" width="7.5546875" style="12" customWidth="1"/>
    <col min="16" max="16" width="6.5546875" style="12" customWidth="1"/>
    <col min="17" max="17" width="10.5546875" style="12" customWidth="1"/>
    <col min="18" max="18" width="1.88671875" style="12" customWidth="1"/>
    <col min="19" max="20" width="6.44140625" style="12" customWidth="1"/>
    <col min="21" max="21" width="20.44140625" style="12" customWidth="1"/>
    <col min="22" max="22" width="10.44140625" style="12" customWidth="1"/>
    <col min="23" max="32" width="6.44140625" style="12" customWidth="1"/>
    <col min="33" max="16384" width="10.44140625" style="12"/>
  </cols>
  <sheetData>
    <row r="1" spans="1:27" ht="50.1" customHeight="1" x14ac:dyDescent="0.3">
      <c r="A1" s="56"/>
      <c r="B1" s="57"/>
      <c r="C1" s="57"/>
      <c r="D1" s="57"/>
      <c r="E1" s="57"/>
      <c r="F1" s="57"/>
      <c r="G1" s="57"/>
      <c r="H1" s="57"/>
      <c r="I1" s="57"/>
      <c r="J1" s="57"/>
      <c r="K1" s="57"/>
      <c r="L1" s="57"/>
      <c r="M1" s="57"/>
      <c r="N1" s="57"/>
      <c r="O1" s="57"/>
      <c r="P1" s="57"/>
      <c r="Q1" s="57"/>
      <c r="R1" s="58"/>
    </row>
    <row r="2" spans="1:27" ht="18" customHeight="1" x14ac:dyDescent="0.3">
      <c r="A2" s="184" t="s">
        <v>23</v>
      </c>
      <c r="B2" s="185"/>
      <c r="C2" s="185"/>
      <c r="D2" s="186"/>
      <c r="E2" s="187" t="s">
        <v>24</v>
      </c>
      <c r="F2" s="188"/>
      <c r="G2" s="188"/>
      <c r="H2" s="188"/>
      <c r="I2" s="188"/>
      <c r="J2" s="188"/>
      <c r="K2" s="188"/>
      <c r="L2" s="188"/>
      <c r="M2" s="188"/>
      <c r="N2" s="189"/>
      <c r="O2" s="193" t="s">
        <v>129</v>
      </c>
      <c r="P2" s="193"/>
      <c r="Q2" s="193"/>
      <c r="R2" s="193"/>
    </row>
    <row r="3" spans="1:27" ht="18" customHeight="1" x14ac:dyDescent="0.3">
      <c r="A3" s="194" t="s">
        <v>25</v>
      </c>
      <c r="B3" s="195"/>
      <c r="C3" s="195"/>
      <c r="D3" s="196"/>
      <c r="E3" s="190"/>
      <c r="F3" s="191"/>
      <c r="G3" s="191"/>
      <c r="H3" s="191"/>
      <c r="I3" s="191"/>
      <c r="J3" s="191"/>
      <c r="K3" s="191"/>
      <c r="L3" s="191"/>
      <c r="M3" s="191"/>
      <c r="N3" s="192"/>
      <c r="O3" s="197" t="s">
        <v>130</v>
      </c>
      <c r="P3" s="197"/>
      <c r="Q3" s="197"/>
      <c r="R3" s="197"/>
    </row>
    <row r="4" spans="1:27" s="5" customFormat="1" ht="7.5" customHeight="1" x14ac:dyDescent="0.3">
      <c r="A4" s="2"/>
      <c r="B4" s="13"/>
      <c r="C4" s="13"/>
      <c r="D4" s="13"/>
      <c r="E4" s="13"/>
      <c r="F4" s="13"/>
      <c r="G4" s="13"/>
      <c r="H4" s="13"/>
      <c r="I4" s="13"/>
      <c r="J4" s="13"/>
      <c r="K4" s="13"/>
      <c r="L4" s="13"/>
      <c r="M4" s="13"/>
      <c r="N4" s="13"/>
      <c r="O4" s="13"/>
      <c r="P4" s="13"/>
      <c r="Q4" s="13"/>
      <c r="R4" s="14"/>
      <c r="S4" s="4"/>
    </row>
    <row r="5" spans="1:27" ht="12" customHeight="1" x14ac:dyDescent="0.25">
      <c r="A5" s="2"/>
      <c r="B5" s="198" t="s">
        <v>26</v>
      </c>
      <c r="C5" s="199"/>
      <c r="D5" s="200" t="s">
        <v>27</v>
      </c>
      <c r="E5" s="201"/>
      <c r="F5" s="201"/>
      <c r="G5" s="201"/>
      <c r="H5" s="202"/>
      <c r="I5" s="203" t="s">
        <v>28</v>
      </c>
      <c r="J5" s="204"/>
      <c r="K5" s="204"/>
      <c r="L5" s="204"/>
      <c r="M5" s="204"/>
      <c r="N5" s="204"/>
      <c r="O5" s="205"/>
      <c r="P5" s="119" t="s">
        <v>131</v>
      </c>
      <c r="Q5" s="117"/>
      <c r="R5" s="3"/>
      <c r="U5" s="6"/>
      <c r="V5" s="15"/>
      <c r="W5" s="15"/>
    </row>
    <row r="6" spans="1:27" s="16" customFormat="1" ht="12" customHeight="1" x14ac:dyDescent="0.3">
      <c r="A6" s="7"/>
      <c r="B6" s="214" t="s">
        <v>29</v>
      </c>
      <c r="C6" s="215"/>
      <c r="D6" s="216" t="s">
        <v>30</v>
      </c>
      <c r="E6" s="216"/>
      <c r="F6" s="216"/>
      <c r="G6" s="216"/>
      <c r="H6" s="216"/>
      <c r="I6" s="217" t="s">
        <v>31</v>
      </c>
      <c r="J6" s="218"/>
      <c r="K6" s="218" t="s">
        <v>32</v>
      </c>
      <c r="L6" s="218"/>
      <c r="M6" s="219"/>
      <c r="N6" s="219"/>
      <c r="O6" s="220"/>
      <c r="P6" s="182" t="s">
        <v>33</v>
      </c>
      <c r="Q6" s="183"/>
      <c r="R6" s="8"/>
      <c r="U6" t="s">
        <v>34</v>
      </c>
      <c r="V6" s="59">
        <v>43179</v>
      </c>
      <c r="W6" s="60"/>
    </row>
    <row r="7" spans="1:27" s="16" customFormat="1" ht="12" customHeight="1" x14ac:dyDescent="0.3">
      <c r="A7" s="7"/>
      <c r="B7" s="206" t="s">
        <v>35</v>
      </c>
      <c r="C7" s="207"/>
      <c r="D7" s="208" t="s">
        <v>132</v>
      </c>
      <c r="E7" s="209"/>
      <c r="F7" s="209"/>
      <c r="G7" s="209"/>
      <c r="H7" s="210"/>
      <c r="I7" s="217" t="s">
        <v>36</v>
      </c>
      <c r="J7" s="218"/>
      <c r="K7" s="218" t="s">
        <v>37</v>
      </c>
      <c r="L7" s="218"/>
      <c r="M7" s="17"/>
      <c r="N7" s="17"/>
      <c r="O7" s="18"/>
      <c r="P7" s="221"/>
      <c r="Q7" s="222"/>
      <c r="R7" s="8"/>
      <c r="U7" t="s">
        <v>38</v>
      </c>
      <c r="V7" s="59">
        <v>43207</v>
      </c>
      <c r="W7" s="60"/>
    </row>
    <row r="8" spans="1:27" ht="12" customHeight="1" x14ac:dyDescent="0.3">
      <c r="A8" s="9"/>
      <c r="B8" s="206" t="s">
        <v>39</v>
      </c>
      <c r="C8" s="207"/>
      <c r="D8" s="19" t="s">
        <v>40</v>
      </c>
      <c r="E8" s="20" t="s">
        <v>41</v>
      </c>
      <c r="F8" s="208" t="s">
        <v>138</v>
      </c>
      <c r="G8" s="209"/>
      <c r="H8" s="210"/>
      <c r="I8" s="211" t="s">
        <v>42</v>
      </c>
      <c r="J8" s="212"/>
      <c r="K8" s="212" t="s">
        <v>43</v>
      </c>
      <c r="L8" s="212"/>
      <c r="M8" s="212"/>
      <c r="N8" s="212"/>
      <c r="O8" s="213"/>
      <c r="P8" s="20" t="s">
        <v>129</v>
      </c>
      <c r="Q8" s="21"/>
      <c r="R8" s="10"/>
      <c r="U8" t="s">
        <v>60</v>
      </c>
      <c r="V8" s="59">
        <v>43207</v>
      </c>
      <c r="W8" s="6"/>
      <c r="X8" s="22"/>
      <c r="Y8" s="22"/>
      <c r="Z8" s="22"/>
      <c r="AA8" s="22"/>
    </row>
    <row r="9" spans="1:27" ht="15.6" customHeight="1" x14ac:dyDescent="0.3">
      <c r="A9" s="9"/>
      <c r="B9" s="229" t="s">
        <v>44</v>
      </c>
      <c r="C9" s="231" t="s">
        <v>45</v>
      </c>
      <c r="D9" s="231"/>
      <c r="E9" s="232" t="s">
        <v>46</v>
      </c>
      <c r="F9" s="233"/>
      <c r="G9" s="236" t="s">
        <v>61</v>
      </c>
      <c r="H9" s="231" t="s">
        <v>47</v>
      </c>
      <c r="I9" s="23"/>
      <c r="J9" s="24" t="s">
        <v>137</v>
      </c>
      <c r="K9" s="24" t="s">
        <v>137</v>
      </c>
      <c r="L9" s="24" t="s">
        <v>137</v>
      </c>
      <c r="M9" s="24" t="s">
        <v>137</v>
      </c>
      <c r="N9" s="24" t="s">
        <v>137</v>
      </c>
      <c r="O9" s="24" t="s">
        <v>137</v>
      </c>
      <c r="P9" s="232" t="s">
        <v>48</v>
      </c>
      <c r="Q9" s="238"/>
      <c r="R9" s="10"/>
      <c r="U9" t="s">
        <v>49</v>
      </c>
      <c r="V9" s="59">
        <v>43242</v>
      </c>
      <c r="W9" s="6"/>
      <c r="X9" s="22"/>
      <c r="Y9" s="22"/>
      <c r="Z9" s="22"/>
      <c r="AA9" s="22"/>
    </row>
    <row r="10" spans="1:27" ht="17.399999999999999" customHeight="1" x14ac:dyDescent="0.3">
      <c r="A10" s="9"/>
      <c r="B10" s="230"/>
      <c r="C10" s="231"/>
      <c r="D10" s="231"/>
      <c r="E10" s="234"/>
      <c r="F10" s="235"/>
      <c r="G10" s="237"/>
      <c r="H10" s="231"/>
      <c r="I10" s="25"/>
      <c r="J10" s="26" t="s">
        <v>51</v>
      </c>
      <c r="K10" s="26" t="s">
        <v>66</v>
      </c>
      <c r="L10" s="26"/>
      <c r="M10" s="26">
        <v>0</v>
      </c>
      <c r="N10" s="26">
        <v>1</v>
      </c>
      <c r="O10" s="26">
        <v>2</v>
      </c>
      <c r="P10" s="234"/>
      <c r="Q10" s="239"/>
      <c r="R10" s="10"/>
      <c r="U10" t="s">
        <v>50</v>
      </c>
      <c r="V10" s="59">
        <v>43242</v>
      </c>
      <c r="W10" s="11"/>
      <c r="X10" s="22"/>
      <c r="Y10" s="22"/>
      <c r="Z10" s="22"/>
      <c r="AA10" s="22"/>
    </row>
    <row r="11" spans="1:27" ht="12" customHeight="1" x14ac:dyDescent="0.3">
      <c r="A11" s="30"/>
      <c r="B11" s="241"/>
      <c r="C11" s="243"/>
      <c r="D11" s="244"/>
      <c r="E11" s="247"/>
      <c r="F11" s="248"/>
      <c r="G11" s="223"/>
      <c r="H11" s="223"/>
      <c r="I11" s="27" t="s">
        <v>52</v>
      </c>
      <c r="J11" s="28"/>
      <c r="K11" s="28"/>
      <c r="L11" s="28"/>
      <c r="M11" s="28"/>
      <c r="N11" s="28"/>
      <c r="O11" s="28"/>
      <c r="P11" s="225"/>
      <c r="Q11" s="226"/>
      <c r="R11" s="31"/>
    </row>
    <row r="12" spans="1:27" ht="12" customHeight="1" x14ac:dyDescent="0.3">
      <c r="A12" s="30"/>
      <c r="B12" s="241"/>
      <c r="C12" s="245"/>
      <c r="D12" s="246"/>
      <c r="E12" s="249"/>
      <c r="F12" s="250"/>
      <c r="G12" s="223"/>
      <c r="H12" s="223"/>
      <c r="I12" s="27" t="s">
        <v>54</v>
      </c>
      <c r="J12" s="28"/>
      <c r="K12" s="28"/>
      <c r="L12" s="28"/>
      <c r="M12" s="28"/>
      <c r="N12" s="28"/>
      <c r="O12" s="28"/>
      <c r="P12" s="227"/>
      <c r="Q12" s="228"/>
      <c r="R12" s="31"/>
    </row>
    <row r="13" spans="1:27" ht="12" customHeight="1" x14ac:dyDescent="0.3">
      <c r="A13" s="30"/>
      <c r="B13" s="241"/>
      <c r="C13" s="245"/>
      <c r="D13" s="246"/>
      <c r="E13" s="249"/>
      <c r="F13" s="250"/>
      <c r="G13" s="223"/>
      <c r="H13" s="223"/>
      <c r="I13" s="27" t="s">
        <v>55</v>
      </c>
      <c r="J13" s="28"/>
      <c r="K13" s="28"/>
      <c r="L13" s="28"/>
      <c r="M13" s="28"/>
      <c r="N13" s="28"/>
      <c r="O13" s="28"/>
      <c r="P13" s="227"/>
      <c r="Q13" s="228"/>
      <c r="R13" s="31"/>
    </row>
    <row r="14" spans="1:27" ht="12" customHeight="1" x14ac:dyDescent="0.3">
      <c r="A14" s="30"/>
      <c r="B14" s="241"/>
      <c r="C14" s="245"/>
      <c r="D14" s="246"/>
      <c r="E14" s="249"/>
      <c r="F14" s="250"/>
      <c r="G14" s="223"/>
      <c r="H14" s="223"/>
      <c r="I14" s="27" t="s">
        <v>56</v>
      </c>
      <c r="J14" s="28"/>
      <c r="K14" s="28"/>
      <c r="L14" s="28"/>
      <c r="M14" s="28"/>
      <c r="N14" s="28"/>
      <c r="O14" s="28"/>
      <c r="P14" s="227"/>
      <c r="Q14" s="228"/>
      <c r="R14" s="31"/>
    </row>
    <row r="15" spans="1:27" ht="12" customHeight="1" x14ac:dyDescent="0.3">
      <c r="A15" s="30"/>
      <c r="B15" s="241"/>
      <c r="C15" s="245"/>
      <c r="D15" s="246"/>
      <c r="E15" s="249"/>
      <c r="F15" s="250"/>
      <c r="G15" s="223"/>
      <c r="H15" s="223"/>
      <c r="I15" s="27" t="s">
        <v>57</v>
      </c>
      <c r="J15" s="28"/>
      <c r="K15" s="28"/>
      <c r="L15" s="28"/>
      <c r="M15" s="28"/>
      <c r="N15" s="28"/>
      <c r="O15" s="28"/>
      <c r="P15" s="227"/>
      <c r="Q15" s="228"/>
      <c r="R15" s="31"/>
    </row>
    <row r="16" spans="1:27" ht="12" customHeight="1" x14ac:dyDescent="0.3">
      <c r="A16" s="30"/>
      <c r="B16" s="241"/>
      <c r="C16" s="251"/>
      <c r="D16" s="252"/>
      <c r="E16" s="253"/>
      <c r="F16" s="254"/>
      <c r="G16" s="223"/>
      <c r="H16" s="223"/>
      <c r="I16" s="32" t="s">
        <v>58</v>
      </c>
      <c r="J16" s="29"/>
      <c r="K16" s="29"/>
      <c r="L16" s="29"/>
      <c r="M16" s="29"/>
      <c r="N16" s="33"/>
      <c r="O16" s="33"/>
      <c r="P16" s="227"/>
      <c r="Q16" s="228"/>
      <c r="R16" s="31"/>
    </row>
    <row r="17" spans="1:18" ht="12" customHeight="1" x14ac:dyDescent="0.3">
      <c r="A17" s="30"/>
      <c r="B17" s="241"/>
      <c r="C17" s="243"/>
      <c r="D17" s="244"/>
      <c r="E17" s="247"/>
      <c r="F17" s="248"/>
      <c r="G17" s="223"/>
      <c r="H17" s="223"/>
      <c r="I17" s="27" t="s">
        <v>52</v>
      </c>
      <c r="J17" s="28"/>
      <c r="K17" s="28"/>
      <c r="L17" s="28"/>
      <c r="M17" s="28"/>
      <c r="N17" s="28"/>
      <c r="O17" s="28"/>
      <c r="P17" s="225"/>
      <c r="Q17" s="226"/>
      <c r="R17" s="31"/>
    </row>
    <row r="18" spans="1:18" ht="12" customHeight="1" x14ac:dyDescent="0.3">
      <c r="A18" s="30"/>
      <c r="B18" s="241"/>
      <c r="C18" s="245"/>
      <c r="D18" s="246"/>
      <c r="E18" s="249"/>
      <c r="F18" s="250"/>
      <c r="G18" s="223"/>
      <c r="H18" s="223"/>
      <c r="I18" s="27" t="s">
        <v>54</v>
      </c>
      <c r="J18" s="28"/>
      <c r="K18" s="28"/>
      <c r="L18" s="28"/>
      <c r="M18" s="28"/>
      <c r="N18" s="28"/>
      <c r="O18" s="28"/>
      <c r="P18" s="227"/>
      <c r="Q18" s="228"/>
      <c r="R18" s="31"/>
    </row>
    <row r="19" spans="1:18" ht="12" customHeight="1" x14ac:dyDescent="0.3">
      <c r="A19" s="30"/>
      <c r="B19" s="241"/>
      <c r="C19" s="245"/>
      <c r="D19" s="246"/>
      <c r="E19" s="249"/>
      <c r="F19" s="250"/>
      <c r="G19" s="223"/>
      <c r="H19" s="223"/>
      <c r="I19" s="27" t="s">
        <v>55</v>
      </c>
      <c r="J19" s="28"/>
      <c r="K19" s="28"/>
      <c r="L19" s="28"/>
      <c r="M19" s="28"/>
      <c r="N19" s="28"/>
      <c r="O19" s="28"/>
      <c r="P19" s="227"/>
      <c r="Q19" s="228"/>
      <c r="R19" s="31"/>
    </row>
    <row r="20" spans="1:18" ht="12" customHeight="1" x14ac:dyDescent="0.3">
      <c r="A20" s="30"/>
      <c r="B20" s="241"/>
      <c r="C20" s="245"/>
      <c r="D20" s="246"/>
      <c r="E20" s="249"/>
      <c r="F20" s="250"/>
      <c r="G20" s="223"/>
      <c r="H20" s="223"/>
      <c r="I20" s="27" t="s">
        <v>56</v>
      </c>
      <c r="J20" s="28"/>
      <c r="K20" s="28"/>
      <c r="L20" s="28"/>
      <c r="M20" s="28"/>
      <c r="N20" s="28"/>
      <c r="O20" s="28"/>
      <c r="P20" s="227"/>
      <c r="Q20" s="228"/>
      <c r="R20" s="31"/>
    </row>
    <row r="21" spans="1:18" ht="12" customHeight="1" x14ac:dyDescent="0.3">
      <c r="A21" s="30"/>
      <c r="B21" s="241"/>
      <c r="C21" s="245"/>
      <c r="D21" s="246"/>
      <c r="E21" s="249"/>
      <c r="F21" s="250"/>
      <c r="G21" s="223"/>
      <c r="H21" s="223"/>
      <c r="I21" s="27" t="s">
        <v>57</v>
      </c>
      <c r="J21" s="28"/>
      <c r="K21" s="28"/>
      <c r="L21" s="28"/>
      <c r="M21" s="28"/>
      <c r="N21" s="28"/>
      <c r="O21" s="28"/>
      <c r="P21" s="227"/>
      <c r="Q21" s="228"/>
      <c r="R21" s="31"/>
    </row>
    <row r="22" spans="1:18" ht="12" customHeight="1" x14ac:dyDescent="0.3">
      <c r="A22" s="30"/>
      <c r="B22" s="241"/>
      <c r="C22" s="251"/>
      <c r="D22" s="252"/>
      <c r="E22" s="253"/>
      <c r="F22" s="254"/>
      <c r="G22" s="223"/>
      <c r="H22" s="223"/>
      <c r="I22" s="32" t="s">
        <v>58</v>
      </c>
      <c r="J22" s="29"/>
      <c r="K22" s="29"/>
      <c r="L22" s="29"/>
      <c r="M22" s="29"/>
      <c r="N22" s="33"/>
      <c r="O22" s="33"/>
      <c r="P22" s="227"/>
      <c r="Q22" s="228"/>
      <c r="R22" s="31"/>
    </row>
    <row r="23" spans="1:18" ht="12" customHeight="1" x14ac:dyDescent="0.3">
      <c r="A23" s="30"/>
      <c r="B23" s="241"/>
      <c r="C23" s="243"/>
      <c r="D23" s="244"/>
      <c r="E23" s="247"/>
      <c r="F23" s="248"/>
      <c r="G23" s="223"/>
      <c r="H23" s="223"/>
      <c r="I23" s="27" t="s">
        <v>52</v>
      </c>
      <c r="J23" s="28"/>
      <c r="K23" s="28"/>
      <c r="L23" s="28"/>
      <c r="M23" s="28"/>
      <c r="N23" s="28"/>
      <c r="O23" s="28"/>
      <c r="P23" s="225"/>
      <c r="Q23" s="226"/>
      <c r="R23" s="31"/>
    </row>
    <row r="24" spans="1:18" ht="12" customHeight="1" x14ac:dyDescent="0.3">
      <c r="A24" s="30"/>
      <c r="B24" s="241"/>
      <c r="C24" s="245"/>
      <c r="D24" s="246"/>
      <c r="E24" s="249"/>
      <c r="F24" s="250"/>
      <c r="G24" s="223"/>
      <c r="H24" s="223"/>
      <c r="I24" s="27" t="s">
        <v>54</v>
      </c>
      <c r="J24" s="28"/>
      <c r="K24" s="28"/>
      <c r="L24" s="28"/>
      <c r="M24" s="28"/>
      <c r="N24" s="28"/>
      <c r="O24" s="28"/>
      <c r="P24" s="227"/>
      <c r="Q24" s="228"/>
      <c r="R24" s="31"/>
    </row>
    <row r="25" spans="1:18" ht="12" customHeight="1" x14ac:dyDescent="0.3">
      <c r="A25" s="30"/>
      <c r="B25" s="241"/>
      <c r="C25" s="245"/>
      <c r="D25" s="246"/>
      <c r="E25" s="249"/>
      <c r="F25" s="250"/>
      <c r="G25" s="223"/>
      <c r="H25" s="223"/>
      <c r="I25" s="27" t="s">
        <v>55</v>
      </c>
      <c r="J25" s="28"/>
      <c r="K25" s="28"/>
      <c r="L25" s="28"/>
      <c r="M25" s="28"/>
      <c r="N25" s="28"/>
      <c r="O25" s="28"/>
      <c r="P25" s="227"/>
      <c r="Q25" s="228"/>
      <c r="R25" s="31"/>
    </row>
    <row r="26" spans="1:18" ht="12" customHeight="1" x14ac:dyDescent="0.3">
      <c r="A26" s="30"/>
      <c r="B26" s="241"/>
      <c r="C26" s="245"/>
      <c r="D26" s="246"/>
      <c r="E26" s="249"/>
      <c r="F26" s="250"/>
      <c r="G26" s="223"/>
      <c r="H26" s="223"/>
      <c r="I26" s="27" t="s">
        <v>56</v>
      </c>
      <c r="J26" s="28"/>
      <c r="K26" s="28"/>
      <c r="L26" s="28"/>
      <c r="M26" s="28"/>
      <c r="N26" s="28"/>
      <c r="O26" s="28"/>
      <c r="P26" s="227"/>
      <c r="Q26" s="228"/>
      <c r="R26" s="31"/>
    </row>
    <row r="27" spans="1:18" ht="12" customHeight="1" x14ac:dyDescent="0.3">
      <c r="A27" s="30"/>
      <c r="B27" s="241"/>
      <c r="C27" s="245"/>
      <c r="D27" s="246"/>
      <c r="E27" s="249"/>
      <c r="F27" s="250"/>
      <c r="G27" s="223"/>
      <c r="H27" s="223"/>
      <c r="I27" s="27" t="s">
        <v>57</v>
      </c>
      <c r="J27" s="28"/>
      <c r="K27" s="28"/>
      <c r="L27" s="28"/>
      <c r="M27" s="28"/>
      <c r="N27" s="28"/>
      <c r="O27" s="28"/>
      <c r="P27" s="227"/>
      <c r="Q27" s="228"/>
      <c r="R27" s="31"/>
    </row>
    <row r="28" spans="1:18" ht="12" customHeight="1" x14ac:dyDescent="0.3">
      <c r="A28" s="30"/>
      <c r="B28" s="241"/>
      <c r="C28" s="251"/>
      <c r="D28" s="252"/>
      <c r="E28" s="253"/>
      <c r="F28" s="254"/>
      <c r="G28" s="223"/>
      <c r="H28" s="223"/>
      <c r="I28" s="32" t="s">
        <v>58</v>
      </c>
      <c r="J28" s="29"/>
      <c r="K28" s="29"/>
      <c r="L28" s="29"/>
      <c r="M28" s="29"/>
      <c r="N28" s="33"/>
      <c r="O28" s="33"/>
      <c r="P28" s="227"/>
      <c r="Q28" s="228"/>
      <c r="R28" s="31"/>
    </row>
    <row r="29" spans="1:18" ht="12" customHeight="1" x14ac:dyDescent="0.3">
      <c r="A29" s="30"/>
      <c r="B29" s="241"/>
      <c r="C29" s="243"/>
      <c r="D29" s="244"/>
      <c r="E29" s="247"/>
      <c r="F29" s="248"/>
      <c r="G29" s="223"/>
      <c r="H29" s="223"/>
      <c r="I29" s="27" t="s">
        <v>52</v>
      </c>
      <c r="J29" s="28"/>
      <c r="K29" s="28"/>
      <c r="L29" s="28"/>
      <c r="M29" s="28"/>
      <c r="N29" s="28"/>
      <c r="O29" s="28"/>
      <c r="P29" s="225"/>
      <c r="Q29" s="226"/>
      <c r="R29" s="31"/>
    </row>
    <row r="30" spans="1:18" ht="12" customHeight="1" x14ac:dyDescent="0.3">
      <c r="A30" s="30"/>
      <c r="B30" s="241"/>
      <c r="C30" s="245"/>
      <c r="D30" s="246"/>
      <c r="E30" s="249"/>
      <c r="F30" s="250"/>
      <c r="G30" s="223"/>
      <c r="H30" s="223"/>
      <c r="I30" s="27" t="s">
        <v>54</v>
      </c>
      <c r="J30" s="28"/>
      <c r="K30" s="28"/>
      <c r="L30" s="28"/>
      <c r="M30" s="28"/>
      <c r="N30" s="28"/>
      <c r="O30" s="28"/>
      <c r="P30" s="227"/>
      <c r="Q30" s="228"/>
      <c r="R30" s="31"/>
    </row>
    <row r="31" spans="1:18" ht="12" customHeight="1" x14ac:dyDescent="0.3">
      <c r="A31" s="30"/>
      <c r="B31" s="241"/>
      <c r="C31" s="245"/>
      <c r="D31" s="246"/>
      <c r="E31" s="249"/>
      <c r="F31" s="250"/>
      <c r="G31" s="223"/>
      <c r="H31" s="223"/>
      <c r="I31" s="27" t="s">
        <v>55</v>
      </c>
      <c r="J31" s="28"/>
      <c r="K31" s="28"/>
      <c r="L31" s="28"/>
      <c r="M31" s="28"/>
      <c r="N31" s="28"/>
      <c r="O31" s="28"/>
      <c r="P31" s="227"/>
      <c r="Q31" s="228"/>
      <c r="R31" s="31"/>
    </row>
    <row r="32" spans="1:18" ht="12" customHeight="1" x14ac:dyDescent="0.3">
      <c r="A32" s="30"/>
      <c r="B32" s="241"/>
      <c r="C32" s="245"/>
      <c r="D32" s="246"/>
      <c r="E32" s="249"/>
      <c r="F32" s="250"/>
      <c r="G32" s="223"/>
      <c r="H32" s="223"/>
      <c r="I32" s="27" t="s">
        <v>56</v>
      </c>
      <c r="J32" s="28"/>
      <c r="K32" s="28"/>
      <c r="L32" s="28"/>
      <c r="M32" s="28"/>
      <c r="N32" s="28"/>
      <c r="O32" s="28"/>
      <c r="P32" s="227"/>
      <c r="Q32" s="228"/>
      <c r="R32" s="31"/>
    </row>
    <row r="33" spans="1:18" ht="12" customHeight="1" x14ac:dyDescent="0.3">
      <c r="A33" s="30"/>
      <c r="B33" s="241"/>
      <c r="C33" s="245"/>
      <c r="D33" s="246"/>
      <c r="E33" s="249"/>
      <c r="F33" s="250"/>
      <c r="G33" s="223"/>
      <c r="H33" s="223"/>
      <c r="I33" s="27" t="s">
        <v>57</v>
      </c>
      <c r="J33" s="28"/>
      <c r="K33" s="28"/>
      <c r="L33" s="28"/>
      <c r="M33" s="28"/>
      <c r="N33" s="28"/>
      <c r="O33" s="28"/>
      <c r="P33" s="227"/>
      <c r="Q33" s="228"/>
      <c r="R33" s="31"/>
    </row>
    <row r="34" spans="1:18" ht="12" customHeight="1" x14ac:dyDescent="0.3">
      <c r="A34" s="30"/>
      <c r="B34" s="241"/>
      <c r="C34" s="251"/>
      <c r="D34" s="252"/>
      <c r="E34" s="253"/>
      <c r="F34" s="254"/>
      <c r="G34" s="223"/>
      <c r="H34" s="223"/>
      <c r="I34" s="32" t="s">
        <v>58</v>
      </c>
      <c r="J34" s="29"/>
      <c r="K34" s="29"/>
      <c r="L34" s="29"/>
      <c r="M34" s="29"/>
      <c r="N34" s="33"/>
      <c r="O34" s="33"/>
      <c r="P34" s="227"/>
      <c r="Q34" s="228"/>
      <c r="R34" s="31"/>
    </row>
    <row r="35" spans="1:18" ht="12" customHeight="1" x14ac:dyDescent="0.3">
      <c r="A35" s="30"/>
      <c r="B35" s="241"/>
      <c r="C35" s="243"/>
      <c r="D35" s="244"/>
      <c r="E35" s="247"/>
      <c r="F35" s="248"/>
      <c r="G35" s="223"/>
      <c r="H35" s="223"/>
      <c r="I35" s="27" t="s">
        <v>52</v>
      </c>
      <c r="J35" s="28"/>
      <c r="K35" s="28"/>
      <c r="L35" s="28"/>
      <c r="M35" s="28"/>
      <c r="N35" s="28"/>
      <c r="O35" s="28"/>
      <c r="P35" s="225"/>
      <c r="Q35" s="226"/>
      <c r="R35" s="31"/>
    </row>
    <row r="36" spans="1:18" ht="12" customHeight="1" x14ac:dyDescent="0.3">
      <c r="A36" s="30"/>
      <c r="B36" s="241"/>
      <c r="C36" s="245"/>
      <c r="D36" s="246"/>
      <c r="E36" s="249"/>
      <c r="F36" s="250"/>
      <c r="G36" s="223"/>
      <c r="H36" s="223"/>
      <c r="I36" s="27" t="s">
        <v>54</v>
      </c>
      <c r="J36" s="28"/>
      <c r="K36" s="28"/>
      <c r="L36" s="28"/>
      <c r="M36" s="28"/>
      <c r="N36" s="28"/>
      <c r="O36" s="28"/>
      <c r="P36" s="227"/>
      <c r="Q36" s="228"/>
      <c r="R36" s="31"/>
    </row>
    <row r="37" spans="1:18" ht="12" customHeight="1" x14ac:dyDescent="0.3">
      <c r="A37" s="30"/>
      <c r="B37" s="241"/>
      <c r="C37" s="245"/>
      <c r="D37" s="246"/>
      <c r="E37" s="249"/>
      <c r="F37" s="250"/>
      <c r="G37" s="223"/>
      <c r="H37" s="223"/>
      <c r="I37" s="27" t="s">
        <v>55</v>
      </c>
      <c r="J37" s="28"/>
      <c r="K37" s="28"/>
      <c r="L37" s="28"/>
      <c r="M37" s="28"/>
      <c r="N37" s="28"/>
      <c r="O37" s="28"/>
      <c r="P37" s="227"/>
      <c r="Q37" s="228"/>
      <c r="R37" s="31"/>
    </row>
    <row r="38" spans="1:18" ht="12" customHeight="1" x14ac:dyDescent="0.3">
      <c r="A38" s="30"/>
      <c r="B38" s="241"/>
      <c r="C38" s="245"/>
      <c r="D38" s="246"/>
      <c r="E38" s="249"/>
      <c r="F38" s="250"/>
      <c r="G38" s="223"/>
      <c r="H38" s="223"/>
      <c r="I38" s="27" t="s">
        <v>56</v>
      </c>
      <c r="J38" s="28"/>
      <c r="K38" s="28"/>
      <c r="L38" s="28"/>
      <c r="M38" s="28"/>
      <c r="N38" s="28"/>
      <c r="O38" s="28"/>
      <c r="P38" s="227"/>
      <c r="Q38" s="228"/>
      <c r="R38" s="31"/>
    </row>
    <row r="39" spans="1:18" ht="12" customHeight="1" x14ac:dyDescent="0.3">
      <c r="A39" s="30"/>
      <c r="B39" s="241"/>
      <c r="C39" s="245"/>
      <c r="D39" s="246"/>
      <c r="E39" s="249"/>
      <c r="F39" s="250"/>
      <c r="G39" s="223"/>
      <c r="H39" s="223"/>
      <c r="I39" s="27" t="s">
        <v>57</v>
      </c>
      <c r="J39" s="28"/>
      <c r="K39" s="28"/>
      <c r="L39" s="28"/>
      <c r="M39" s="28"/>
      <c r="N39" s="28"/>
      <c r="O39" s="28"/>
      <c r="P39" s="227"/>
      <c r="Q39" s="228"/>
      <c r="R39" s="31"/>
    </row>
    <row r="40" spans="1:18" ht="12" customHeight="1" x14ac:dyDescent="0.3">
      <c r="A40" s="30"/>
      <c r="B40" s="241"/>
      <c r="C40" s="251"/>
      <c r="D40" s="252"/>
      <c r="E40" s="253"/>
      <c r="F40" s="254"/>
      <c r="G40" s="223"/>
      <c r="H40" s="223"/>
      <c r="I40" s="32" t="s">
        <v>58</v>
      </c>
      <c r="J40" s="29"/>
      <c r="K40" s="29"/>
      <c r="L40" s="29"/>
      <c r="M40" s="29"/>
      <c r="N40" s="33"/>
      <c r="O40" s="33"/>
      <c r="P40" s="227"/>
      <c r="Q40" s="228"/>
      <c r="R40" s="31"/>
    </row>
    <row r="41" spans="1:18" ht="12" customHeight="1" x14ac:dyDescent="0.3">
      <c r="A41" s="30"/>
      <c r="B41" s="241"/>
      <c r="C41" s="243"/>
      <c r="D41" s="244"/>
      <c r="E41" s="247"/>
      <c r="F41" s="248"/>
      <c r="G41" s="223"/>
      <c r="H41" s="223"/>
      <c r="I41" s="27" t="s">
        <v>52</v>
      </c>
      <c r="J41" s="28"/>
      <c r="K41" s="28"/>
      <c r="L41" s="28"/>
      <c r="M41" s="28"/>
      <c r="N41" s="28"/>
      <c r="O41" s="28"/>
      <c r="P41" s="225"/>
      <c r="Q41" s="226"/>
      <c r="R41" s="31"/>
    </row>
    <row r="42" spans="1:18" ht="12" customHeight="1" x14ac:dyDescent="0.3">
      <c r="A42" s="30"/>
      <c r="B42" s="241"/>
      <c r="C42" s="245"/>
      <c r="D42" s="246"/>
      <c r="E42" s="249"/>
      <c r="F42" s="250"/>
      <c r="G42" s="223"/>
      <c r="H42" s="223"/>
      <c r="I42" s="27" t="s">
        <v>54</v>
      </c>
      <c r="J42" s="28"/>
      <c r="K42" s="28"/>
      <c r="L42" s="28"/>
      <c r="M42" s="28"/>
      <c r="N42" s="28"/>
      <c r="O42" s="28"/>
      <c r="P42" s="227"/>
      <c r="Q42" s="228"/>
      <c r="R42" s="31"/>
    </row>
    <row r="43" spans="1:18" ht="12" customHeight="1" x14ac:dyDescent="0.3">
      <c r="A43" s="30"/>
      <c r="B43" s="241"/>
      <c r="C43" s="245"/>
      <c r="D43" s="246"/>
      <c r="E43" s="249"/>
      <c r="F43" s="250"/>
      <c r="G43" s="223"/>
      <c r="H43" s="223"/>
      <c r="I43" s="27" t="s">
        <v>55</v>
      </c>
      <c r="J43" s="28"/>
      <c r="K43" s="28"/>
      <c r="L43" s="28"/>
      <c r="M43" s="28"/>
      <c r="N43" s="28"/>
      <c r="O43" s="28"/>
      <c r="P43" s="227"/>
      <c r="Q43" s="228"/>
      <c r="R43" s="31"/>
    </row>
    <row r="44" spans="1:18" ht="12" customHeight="1" x14ac:dyDescent="0.3">
      <c r="A44" s="30"/>
      <c r="B44" s="241"/>
      <c r="C44" s="245"/>
      <c r="D44" s="246"/>
      <c r="E44" s="249"/>
      <c r="F44" s="250"/>
      <c r="G44" s="223"/>
      <c r="H44" s="223"/>
      <c r="I44" s="27" t="s">
        <v>56</v>
      </c>
      <c r="J44" s="28"/>
      <c r="K44" s="28"/>
      <c r="L44" s="28"/>
      <c r="M44" s="28"/>
      <c r="N44" s="28"/>
      <c r="O44" s="28"/>
      <c r="P44" s="227"/>
      <c r="Q44" s="228"/>
      <c r="R44" s="31"/>
    </row>
    <row r="45" spans="1:18" ht="12" customHeight="1" x14ac:dyDescent="0.3">
      <c r="A45" s="30"/>
      <c r="B45" s="241"/>
      <c r="C45" s="245"/>
      <c r="D45" s="246"/>
      <c r="E45" s="249"/>
      <c r="F45" s="250"/>
      <c r="G45" s="223"/>
      <c r="H45" s="223"/>
      <c r="I45" s="27" t="s">
        <v>57</v>
      </c>
      <c r="J45" s="28"/>
      <c r="K45" s="28"/>
      <c r="L45" s="28"/>
      <c r="M45" s="28"/>
      <c r="N45" s="28"/>
      <c r="O45" s="28"/>
      <c r="P45" s="227"/>
      <c r="Q45" s="228"/>
      <c r="R45" s="31"/>
    </row>
    <row r="46" spans="1:18" ht="12" customHeight="1" x14ac:dyDescent="0.3">
      <c r="A46" s="30"/>
      <c r="B46" s="241"/>
      <c r="C46" s="251"/>
      <c r="D46" s="252"/>
      <c r="E46" s="253"/>
      <c r="F46" s="254"/>
      <c r="G46" s="223"/>
      <c r="H46" s="223"/>
      <c r="I46" s="32" t="s">
        <v>58</v>
      </c>
      <c r="J46" s="29"/>
      <c r="K46" s="29"/>
      <c r="L46" s="29"/>
      <c r="M46" s="29"/>
      <c r="N46" s="33"/>
      <c r="O46" s="33"/>
      <c r="P46" s="227"/>
      <c r="Q46" s="228"/>
      <c r="R46" s="31"/>
    </row>
    <row r="47" spans="1:18" ht="12" customHeight="1" x14ac:dyDescent="0.3">
      <c r="A47" s="30"/>
      <c r="B47" s="241"/>
      <c r="C47" s="243"/>
      <c r="D47" s="244"/>
      <c r="E47" s="247"/>
      <c r="F47" s="248"/>
      <c r="G47" s="223"/>
      <c r="H47" s="223"/>
      <c r="I47" s="27" t="s">
        <v>52</v>
      </c>
      <c r="J47" s="28"/>
      <c r="K47" s="28"/>
      <c r="L47" s="28"/>
      <c r="M47" s="28"/>
      <c r="N47" s="28"/>
      <c r="O47" s="28"/>
      <c r="P47" s="225"/>
      <c r="Q47" s="226"/>
      <c r="R47" s="31"/>
    </row>
    <row r="48" spans="1:18" ht="12" customHeight="1" x14ac:dyDescent="0.3">
      <c r="A48" s="30"/>
      <c r="B48" s="241"/>
      <c r="C48" s="245"/>
      <c r="D48" s="246"/>
      <c r="E48" s="249"/>
      <c r="F48" s="250"/>
      <c r="G48" s="223"/>
      <c r="H48" s="223"/>
      <c r="I48" s="27" t="s">
        <v>54</v>
      </c>
      <c r="J48" s="28"/>
      <c r="K48" s="28"/>
      <c r="L48" s="28"/>
      <c r="M48" s="28"/>
      <c r="N48" s="28"/>
      <c r="O48" s="28"/>
      <c r="P48" s="227"/>
      <c r="Q48" s="228"/>
      <c r="R48" s="31"/>
    </row>
    <row r="49" spans="1:18" ht="12" customHeight="1" x14ac:dyDescent="0.3">
      <c r="A49" s="30"/>
      <c r="B49" s="241"/>
      <c r="C49" s="245"/>
      <c r="D49" s="246"/>
      <c r="E49" s="249"/>
      <c r="F49" s="250"/>
      <c r="G49" s="223"/>
      <c r="H49" s="223"/>
      <c r="I49" s="27" t="s">
        <v>55</v>
      </c>
      <c r="J49" s="28"/>
      <c r="K49" s="28"/>
      <c r="L49" s="28"/>
      <c r="M49" s="28"/>
      <c r="N49" s="28"/>
      <c r="O49" s="28"/>
      <c r="P49" s="227"/>
      <c r="Q49" s="228"/>
      <c r="R49" s="31"/>
    </row>
    <row r="50" spans="1:18" ht="12" customHeight="1" x14ac:dyDescent="0.3">
      <c r="A50" s="30"/>
      <c r="B50" s="241"/>
      <c r="C50" s="245"/>
      <c r="D50" s="246"/>
      <c r="E50" s="249"/>
      <c r="F50" s="250"/>
      <c r="G50" s="223"/>
      <c r="H50" s="223"/>
      <c r="I50" s="27" t="s">
        <v>56</v>
      </c>
      <c r="J50" s="28"/>
      <c r="K50" s="28"/>
      <c r="L50" s="28"/>
      <c r="M50" s="28"/>
      <c r="N50" s="28"/>
      <c r="O50" s="28"/>
      <c r="P50" s="227"/>
      <c r="Q50" s="228"/>
      <c r="R50" s="31"/>
    </row>
    <row r="51" spans="1:18" ht="12" customHeight="1" x14ac:dyDescent="0.3">
      <c r="A51" s="30"/>
      <c r="B51" s="241"/>
      <c r="C51" s="245"/>
      <c r="D51" s="246"/>
      <c r="E51" s="249"/>
      <c r="F51" s="250"/>
      <c r="G51" s="223"/>
      <c r="H51" s="223"/>
      <c r="I51" s="27" t="s">
        <v>57</v>
      </c>
      <c r="J51" s="28"/>
      <c r="K51" s="28"/>
      <c r="L51" s="28"/>
      <c r="M51" s="28"/>
      <c r="N51" s="28"/>
      <c r="O51" s="28"/>
      <c r="P51" s="227"/>
      <c r="Q51" s="228"/>
      <c r="R51" s="31"/>
    </row>
    <row r="52" spans="1:18" ht="12" customHeight="1" x14ac:dyDescent="0.3">
      <c r="A52" s="30"/>
      <c r="B52" s="241"/>
      <c r="C52" s="251"/>
      <c r="D52" s="252"/>
      <c r="E52" s="253"/>
      <c r="F52" s="254"/>
      <c r="G52" s="223"/>
      <c r="H52" s="223"/>
      <c r="I52" s="32" t="s">
        <v>58</v>
      </c>
      <c r="J52" s="29"/>
      <c r="K52" s="29"/>
      <c r="L52" s="29"/>
      <c r="M52" s="29"/>
      <c r="N52" s="33"/>
      <c r="O52" s="33"/>
      <c r="P52" s="227"/>
      <c r="Q52" s="228"/>
      <c r="R52" s="31"/>
    </row>
    <row r="53" spans="1:18" ht="12" customHeight="1" x14ac:dyDescent="0.3">
      <c r="A53" s="30"/>
      <c r="B53" s="241"/>
      <c r="C53" s="243"/>
      <c r="D53" s="244"/>
      <c r="E53" s="247"/>
      <c r="F53" s="248"/>
      <c r="G53" s="223"/>
      <c r="H53" s="223"/>
      <c r="I53" s="27" t="s">
        <v>52</v>
      </c>
      <c r="J53" s="28"/>
      <c r="K53" s="28"/>
      <c r="L53" s="28"/>
      <c r="M53" s="28"/>
      <c r="N53" s="28"/>
      <c r="O53" s="28"/>
      <c r="P53" s="225"/>
      <c r="Q53" s="226"/>
      <c r="R53" s="31"/>
    </row>
    <row r="54" spans="1:18" ht="12" customHeight="1" x14ac:dyDescent="0.3">
      <c r="A54" s="30"/>
      <c r="B54" s="241"/>
      <c r="C54" s="245"/>
      <c r="D54" s="246"/>
      <c r="E54" s="249"/>
      <c r="F54" s="250"/>
      <c r="G54" s="223"/>
      <c r="H54" s="223"/>
      <c r="I54" s="27" t="s">
        <v>54</v>
      </c>
      <c r="J54" s="28"/>
      <c r="K54" s="28"/>
      <c r="L54" s="28"/>
      <c r="M54" s="28"/>
      <c r="N54" s="28"/>
      <c r="O54" s="28"/>
      <c r="P54" s="227"/>
      <c r="Q54" s="228"/>
      <c r="R54" s="31"/>
    </row>
    <row r="55" spans="1:18" ht="12" customHeight="1" x14ac:dyDescent="0.3">
      <c r="A55" s="30"/>
      <c r="B55" s="241"/>
      <c r="C55" s="245"/>
      <c r="D55" s="246"/>
      <c r="E55" s="249"/>
      <c r="F55" s="250"/>
      <c r="G55" s="223"/>
      <c r="H55" s="223"/>
      <c r="I55" s="27" t="s">
        <v>55</v>
      </c>
      <c r="J55" s="28"/>
      <c r="K55" s="28"/>
      <c r="L55" s="28"/>
      <c r="M55" s="28"/>
      <c r="N55" s="28"/>
      <c r="O55" s="28"/>
      <c r="P55" s="227"/>
      <c r="Q55" s="228"/>
      <c r="R55" s="31"/>
    </row>
    <row r="56" spans="1:18" ht="12" customHeight="1" x14ac:dyDescent="0.3">
      <c r="A56" s="30"/>
      <c r="B56" s="241"/>
      <c r="C56" s="245"/>
      <c r="D56" s="246"/>
      <c r="E56" s="249"/>
      <c r="F56" s="250"/>
      <c r="G56" s="223"/>
      <c r="H56" s="223"/>
      <c r="I56" s="27" t="s">
        <v>56</v>
      </c>
      <c r="J56" s="28"/>
      <c r="K56" s="28"/>
      <c r="L56" s="28"/>
      <c r="M56" s="28"/>
      <c r="N56" s="28"/>
      <c r="O56" s="28"/>
      <c r="P56" s="227"/>
      <c r="Q56" s="228"/>
      <c r="R56" s="31"/>
    </row>
    <row r="57" spans="1:18" ht="12" customHeight="1" x14ac:dyDescent="0.3">
      <c r="A57" s="30"/>
      <c r="B57" s="241"/>
      <c r="C57" s="245"/>
      <c r="D57" s="246"/>
      <c r="E57" s="249"/>
      <c r="F57" s="250"/>
      <c r="G57" s="223"/>
      <c r="H57" s="223"/>
      <c r="I57" s="27" t="s">
        <v>57</v>
      </c>
      <c r="J57" s="28"/>
      <c r="K57" s="28"/>
      <c r="L57" s="28"/>
      <c r="M57" s="28"/>
      <c r="N57" s="28"/>
      <c r="O57" s="28"/>
      <c r="P57" s="227"/>
      <c r="Q57" s="228"/>
      <c r="R57" s="31"/>
    </row>
    <row r="58" spans="1:18" ht="12" customHeight="1" x14ac:dyDescent="0.3">
      <c r="A58" s="30"/>
      <c r="B58" s="241"/>
      <c r="C58" s="251"/>
      <c r="D58" s="252"/>
      <c r="E58" s="249"/>
      <c r="F58" s="250"/>
      <c r="G58" s="223"/>
      <c r="H58" s="223"/>
      <c r="I58" s="32" t="s">
        <v>58</v>
      </c>
      <c r="J58" s="29"/>
      <c r="K58" s="29"/>
      <c r="L58" s="29"/>
      <c r="M58" s="29"/>
      <c r="N58" s="33"/>
      <c r="O58" s="33"/>
      <c r="P58" s="227"/>
      <c r="Q58" s="228"/>
      <c r="R58" s="31"/>
    </row>
    <row r="59" spans="1:18" ht="12" customHeight="1" x14ac:dyDescent="0.3">
      <c r="A59" s="30"/>
      <c r="B59" s="34"/>
      <c r="C59" s="34"/>
      <c r="D59" s="34"/>
      <c r="E59" s="35"/>
      <c r="F59" s="35"/>
      <c r="G59" s="36"/>
      <c r="H59" s="36"/>
      <c r="I59" s="37"/>
      <c r="J59" s="38"/>
      <c r="K59" s="38"/>
      <c r="L59" s="38"/>
      <c r="M59" s="38"/>
      <c r="N59" s="38"/>
      <c r="O59" s="38"/>
      <c r="P59" s="39"/>
      <c r="Q59" s="39"/>
      <c r="R59" s="31"/>
    </row>
    <row r="60" spans="1:18" ht="12" customHeight="1" x14ac:dyDescent="0.3">
      <c r="A60" s="30"/>
      <c r="B60" s="40"/>
      <c r="C60" s="40"/>
      <c r="D60" s="40"/>
      <c r="E60" s="41"/>
      <c r="F60" s="41"/>
      <c r="G60" s="42"/>
      <c r="H60" s="42"/>
      <c r="I60" s="43"/>
      <c r="J60" s="44"/>
      <c r="K60" s="44"/>
      <c r="L60" s="44"/>
      <c r="M60" s="44"/>
      <c r="N60" s="44"/>
      <c r="O60" s="44"/>
      <c r="P60" s="45"/>
      <c r="Q60" s="45"/>
      <c r="R60" s="31"/>
    </row>
    <row r="61" spans="1:18" s="54" customFormat="1" ht="14.1" customHeight="1" x14ac:dyDescent="0.3">
      <c r="A61" s="61"/>
      <c r="B61" s="40"/>
      <c r="C61" s="40"/>
      <c r="D61" s="40"/>
      <c r="E61" s="41"/>
      <c r="F61" s="41"/>
      <c r="G61" s="42"/>
      <c r="H61" s="42"/>
      <c r="I61" s="43"/>
      <c r="J61" s="44"/>
      <c r="K61" s="44"/>
      <c r="L61" s="44"/>
      <c r="M61" s="44"/>
      <c r="N61" s="44"/>
      <c r="O61" s="44"/>
      <c r="P61" s="45"/>
      <c r="Q61" s="45"/>
      <c r="R61" s="62"/>
    </row>
    <row r="62" spans="1:18" ht="12" customHeight="1" x14ac:dyDescent="0.3">
      <c r="A62" s="30"/>
      <c r="B62" s="40"/>
      <c r="C62" s="240" t="s">
        <v>135</v>
      </c>
      <c r="D62" s="240"/>
      <c r="E62" s="41"/>
      <c r="F62" s="41"/>
      <c r="G62" s="42"/>
      <c r="H62" s="42"/>
      <c r="I62" s="43"/>
      <c r="J62" s="44"/>
      <c r="K62" s="44"/>
      <c r="L62" s="44"/>
      <c r="M62" s="38"/>
      <c r="N62" s="118" t="s">
        <v>136</v>
      </c>
      <c r="O62" s="38"/>
      <c r="P62" s="45"/>
      <c r="Q62" s="45"/>
      <c r="R62" s="31"/>
    </row>
    <row r="63" spans="1:18" ht="12" customHeight="1" x14ac:dyDescent="0.3">
      <c r="A63" s="46"/>
      <c r="B63" s="47"/>
      <c r="C63" s="47"/>
      <c r="D63" s="47"/>
      <c r="E63" s="48"/>
      <c r="F63" s="48"/>
      <c r="G63" s="49"/>
      <c r="H63" s="49"/>
      <c r="I63" s="50"/>
      <c r="J63" s="51"/>
      <c r="K63" s="51"/>
      <c r="L63" s="51"/>
      <c r="M63" s="51"/>
      <c r="N63" s="51"/>
      <c r="O63" s="51"/>
      <c r="P63" s="52"/>
      <c r="Q63" s="52"/>
      <c r="R63" s="53"/>
    </row>
    <row r="64" spans="1:18" ht="15.9" customHeight="1" x14ac:dyDescent="0.3">
      <c r="B64" s="40"/>
      <c r="C64" s="40"/>
      <c r="D64" s="40"/>
      <c r="E64" s="41"/>
      <c r="F64" s="41"/>
      <c r="G64" s="42"/>
      <c r="H64" s="42"/>
      <c r="I64" s="43"/>
      <c r="J64" s="44"/>
      <c r="K64" s="44"/>
      <c r="L64" s="44"/>
      <c r="M64" s="44"/>
      <c r="N64" s="44"/>
      <c r="O64" s="44"/>
      <c r="P64" s="45"/>
      <c r="Q64" s="45"/>
    </row>
    <row r="65" spans="2:17" ht="15.9" customHeight="1" x14ac:dyDescent="0.3">
      <c r="B65" s="40"/>
      <c r="C65" s="40"/>
      <c r="D65" s="40"/>
      <c r="E65" s="41"/>
      <c r="F65" s="41"/>
      <c r="G65" s="42"/>
      <c r="H65" s="42"/>
      <c r="I65" s="43"/>
      <c r="J65" s="63"/>
      <c r="K65" s="63"/>
      <c r="L65" s="63"/>
      <c r="M65" s="63"/>
      <c r="N65" s="63"/>
      <c r="O65" s="63"/>
      <c r="P65" s="45"/>
      <c r="Q65" s="45"/>
    </row>
    <row r="66" spans="2:17" ht="15.9" customHeight="1" x14ac:dyDescent="0.3"/>
    <row r="67" spans="2:17" ht="15.9" customHeight="1" x14ac:dyDescent="0.3"/>
    <row r="68" spans="2:17" ht="15.9" customHeight="1" x14ac:dyDescent="0.3"/>
    <row r="69" spans="2:17" ht="15.9" customHeight="1" x14ac:dyDescent="0.3"/>
    <row r="70" spans="2:17" ht="15.9" customHeight="1" x14ac:dyDescent="0.3"/>
    <row r="71" spans="2:17" ht="15.9" customHeight="1" x14ac:dyDescent="0.3"/>
    <row r="72" spans="2:17" ht="15.9" customHeight="1" x14ac:dyDescent="0.3"/>
    <row r="73" spans="2:17" ht="15.9" customHeight="1" x14ac:dyDescent="0.3"/>
    <row r="74" spans="2:17" ht="15.9" customHeight="1" x14ac:dyDescent="0.3"/>
    <row r="75" spans="2:17" ht="15.9" customHeight="1" x14ac:dyDescent="0.3"/>
    <row r="76" spans="2:17" ht="15.9" customHeight="1" x14ac:dyDescent="0.3"/>
    <row r="77" spans="2:17" ht="15.9" customHeight="1" x14ac:dyDescent="0.3"/>
    <row r="78" spans="2:17" ht="15.9" customHeight="1" x14ac:dyDescent="0.3"/>
    <row r="79" spans="2:17" ht="15.9" customHeight="1" x14ac:dyDescent="0.3"/>
    <row r="80" spans="2:17" ht="15.9" customHeight="1" x14ac:dyDescent="0.3"/>
    <row r="81" ht="15.9" customHeight="1" x14ac:dyDescent="0.3"/>
    <row r="82" ht="15.9" customHeight="1" x14ac:dyDescent="0.3"/>
    <row r="83" ht="15.9" customHeight="1" x14ac:dyDescent="0.3"/>
    <row r="84" ht="15.9" customHeight="1" x14ac:dyDescent="0.3"/>
    <row r="85" ht="15.9" customHeight="1" x14ac:dyDescent="0.3"/>
    <row r="86" ht="15.9" customHeight="1" x14ac:dyDescent="0.3"/>
    <row r="87" ht="15.9" customHeight="1" x14ac:dyDescent="0.3"/>
    <row r="88" ht="15.9" customHeight="1" x14ac:dyDescent="0.3"/>
    <row r="89" ht="15.9" customHeight="1" x14ac:dyDescent="0.3"/>
    <row r="90" ht="15.9" customHeight="1" x14ac:dyDescent="0.3"/>
    <row r="91" ht="15.9" customHeight="1" x14ac:dyDescent="0.3"/>
    <row r="92" ht="15.9" customHeight="1" x14ac:dyDescent="0.3"/>
    <row r="93" ht="15.9" customHeight="1" x14ac:dyDescent="0.3"/>
    <row r="94" ht="15.9" customHeight="1" x14ac:dyDescent="0.3"/>
    <row r="95" ht="15.9" customHeight="1" x14ac:dyDescent="0.3"/>
    <row r="96" ht="15.9" customHeight="1" x14ac:dyDescent="0.3"/>
    <row r="97" ht="15.9" customHeight="1" x14ac:dyDescent="0.3"/>
    <row r="98" ht="15.9" customHeight="1" x14ac:dyDescent="0.3"/>
    <row r="99" ht="15.9" customHeight="1" x14ac:dyDescent="0.3"/>
    <row r="100" ht="15.9" customHeight="1" x14ac:dyDescent="0.3"/>
    <row r="101" ht="15.9" customHeight="1" x14ac:dyDescent="0.3"/>
    <row r="102" ht="15.9" customHeight="1" x14ac:dyDescent="0.3"/>
    <row r="103" ht="15.9" customHeight="1" x14ac:dyDescent="0.3"/>
    <row r="104" ht="15.9" customHeight="1" x14ac:dyDescent="0.3"/>
    <row r="105" ht="15.9" customHeight="1" x14ac:dyDescent="0.3"/>
    <row r="106" ht="15.9" customHeight="1" x14ac:dyDescent="0.3"/>
    <row r="107" ht="15.9" customHeight="1" x14ac:dyDescent="0.3"/>
    <row r="108" ht="15.9" customHeight="1" x14ac:dyDescent="0.3"/>
    <row r="109" ht="15.9" customHeight="1" x14ac:dyDescent="0.3"/>
    <row r="110" ht="15.9" customHeight="1" x14ac:dyDescent="0.3"/>
    <row r="111" ht="15.9" customHeight="1" x14ac:dyDescent="0.3"/>
    <row r="112" ht="15.9" customHeight="1" x14ac:dyDescent="0.3"/>
    <row r="113" ht="15.9" customHeight="1" x14ac:dyDescent="0.3"/>
    <row r="114" ht="15.9" customHeight="1" x14ac:dyDescent="0.3"/>
    <row r="115" ht="15.9" customHeight="1" x14ac:dyDescent="0.3"/>
    <row r="116" ht="15.9" customHeight="1" x14ac:dyDescent="0.3"/>
    <row r="117" ht="15.9" customHeight="1" x14ac:dyDescent="0.3"/>
    <row r="118" ht="15.9" customHeight="1" x14ac:dyDescent="0.3"/>
    <row r="119" ht="15.9" customHeight="1" x14ac:dyDescent="0.3"/>
    <row r="120" ht="15.9" customHeight="1" x14ac:dyDescent="0.3"/>
    <row r="121" ht="15.9" customHeight="1" x14ac:dyDescent="0.3"/>
    <row r="122" ht="15.9" customHeight="1" x14ac:dyDescent="0.3"/>
    <row r="123" ht="15.9" customHeight="1" x14ac:dyDescent="0.3"/>
    <row r="124" ht="15.9" customHeight="1" x14ac:dyDescent="0.3"/>
    <row r="125" ht="15.9" customHeight="1" x14ac:dyDescent="0.3"/>
    <row r="126" ht="15.9" customHeight="1" x14ac:dyDescent="0.3"/>
    <row r="127" ht="15.9" customHeight="1" x14ac:dyDescent="0.3"/>
    <row r="128" ht="15.9" customHeight="1" x14ac:dyDescent="0.3"/>
    <row r="129" ht="15.9" customHeight="1" x14ac:dyDescent="0.3"/>
    <row r="130" ht="15.9" customHeight="1" x14ac:dyDescent="0.3"/>
    <row r="131" ht="15.9" customHeight="1" x14ac:dyDescent="0.3"/>
    <row r="132" ht="15.9" customHeight="1" x14ac:dyDescent="0.3"/>
    <row r="133" ht="15.9" customHeight="1" x14ac:dyDescent="0.3"/>
    <row r="134" ht="15.9" customHeight="1" x14ac:dyDescent="0.3"/>
    <row r="135" ht="15.9" customHeight="1" x14ac:dyDescent="0.3"/>
    <row r="136" ht="15.9" customHeight="1" x14ac:dyDescent="0.3"/>
    <row r="137" ht="15.9" customHeight="1" x14ac:dyDescent="0.3"/>
    <row r="138" ht="15.9" customHeight="1" x14ac:dyDescent="0.3"/>
    <row r="139" ht="15.9" customHeight="1" x14ac:dyDescent="0.3"/>
    <row r="140" ht="15.9" customHeight="1" x14ac:dyDescent="0.3"/>
    <row r="141" ht="15.9" customHeight="1" x14ac:dyDescent="0.3"/>
    <row r="142" ht="15.9" customHeight="1" x14ac:dyDescent="0.3"/>
    <row r="143" ht="15.9" customHeight="1" x14ac:dyDescent="0.3"/>
    <row r="144" ht="15.9" customHeight="1" x14ac:dyDescent="0.3"/>
    <row r="145" ht="15.9" customHeight="1" x14ac:dyDescent="0.3"/>
    <row r="146" ht="15.9" customHeight="1" x14ac:dyDescent="0.3"/>
    <row r="147" ht="15.9" customHeight="1" x14ac:dyDescent="0.3"/>
    <row r="148" ht="15.9" customHeight="1" x14ac:dyDescent="0.3"/>
    <row r="149" ht="15.9" customHeight="1" x14ac:dyDescent="0.3"/>
    <row r="150" ht="15.9" customHeight="1" x14ac:dyDescent="0.3"/>
    <row r="151" ht="15.9" customHeight="1" x14ac:dyDescent="0.3"/>
    <row r="152" ht="15.9" customHeight="1" x14ac:dyDescent="0.3"/>
    <row r="153" ht="15.9" customHeight="1" x14ac:dyDescent="0.3"/>
    <row r="154" ht="15.9" customHeight="1" x14ac:dyDescent="0.3"/>
    <row r="155" ht="15.9" customHeight="1" x14ac:dyDescent="0.3"/>
    <row r="156" ht="15.9" customHeight="1" x14ac:dyDescent="0.3"/>
    <row r="157" ht="15.9" customHeight="1" x14ac:dyDescent="0.3"/>
    <row r="158" ht="15.9" customHeight="1" x14ac:dyDescent="0.3"/>
    <row r="159" ht="15.9" customHeight="1" x14ac:dyDescent="0.3"/>
    <row r="160" ht="15.9" customHeight="1" x14ac:dyDescent="0.3"/>
    <row r="161" ht="15.9" customHeight="1" x14ac:dyDescent="0.3"/>
    <row r="162" ht="15.9" customHeight="1" x14ac:dyDescent="0.3"/>
    <row r="163" ht="15.9" customHeight="1" x14ac:dyDescent="0.3"/>
    <row r="164" ht="15.9" customHeight="1" x14ac:dyDescent="0.3"/>
    <row r="165" ht="15.9" customHeight="1" x14ac:dyDescent="0.3"/>
    <row r="166" ht="15.9" customHeight="1" x14ac:dyDescent="0.3"/>
    <row r="167" ht="15.9" customHeight="1" x14ac:dyDescent="0.3"/>
    <row r="168" ht="15.9" customHeight="1" x14ac:dyDescent="0.3"/>
    <row r="169" ht="15.9" customHeight="1" x14ac:dyDescent="0.3"/>
    <row r="170" ht="15.9" customHeight="1" x14ac:dyDescent="0.3"/>
    <row r="171" ht="15.9" customHeight="1" x14ac:dyDescent="0.3"/>
    <row r="172" ht="15.9" customHeight="1" x14ac:dyDescent="0.3"/>
    <row r="173" ht="15.9" customHeight="1" x14ac:dyDescent="0.3"/>
    <row r="174" ht="15.9" customHeight="1" x14ac:dyDescent="0.3"/>
    <row r="175" ht="15.9" customHeight="1" x14ac:dyDescent="0.3"/>
    <row r="176" ht="15.9" customHeight="1" x14ac:dyDescent="0.3"/>
    <row r="177" ht="15.9" customHeight="1" x14ac:dyDescent="0.3"/>
    <row r="178" ht="15.9" customHeight="1" x14ac:dyDescent="0.3"/>
    <row r="179" ht="15.9" customHeight="1" x14ac:dyDescent="0.3"/>
    <row r="180" ht="15.9" customHeight="1" x14ac:dyDescent="0.3"/>
    <row r="181" ht="15.9" customHeight="1" x14ac:dyDescent="0.3"/>
    <row r="182" ht="15.9" customHeight="1" x14ac:dyDescent="0.3"/>
    <row r="183" ht="15.9" customHeight="1" x14ac:dyDescent="0.3"/>
    <row r="184" ht="15.9" customHeight="1" x14ac:dyDescent="0.3"/>
    <row r="185" ht="15.9" customHeight="1" x14ac:dyDescent="0.3"/>
    <row r="186" ht="15.9" customHeight="1" x14ac:dyDescent="0.3"/>
    <row r="187" ht="15.9" customHeight="1" x14ac:dyDescent="0.3"/>
    <row r="188" ht="15.9" customHeight="1" x14ac:dyDescent="0.3"/>
    <row r="189" ht="15.9" customHeight="1" x14ac:dyDescent="0.3"/>
    <row r="190" ht="15.9" customHeight="1" x14ac:dyDescent="0.3"/>
    <row r="191" ht="15.9" customHeight="1" x14ac:dyDescent="0.3"/>
    <row r="192" ht="15.9" customHeight="1" x14ac:dyDescent="0.3"/>
    <row r="193" ht="15.9" customHeight="1" x14ac:dyDescent="0.3"/>
    <row r="194" ht="15.9" customHeight="1" x14ac:dyDescent="0.3"/>
    <row r="195" ht="15.9" customHeight="1" x14ac:dyDescent="0.3"/>
    <row r="196" ht="15.9" customHeight="1" x14ac:dyDescent="0.3"/>
    <row r="197" ht="15.9" customHeight="1" x14ac:dyDescent="0.3"/>
    <row r="198" ht="15.9" customHeight="1" x14ac:dyDescent="0.3"/>
    <row r="199" ht="15.9" customHeight="1" x14ac:dyDescent="0.3"/>
    <row r="200" ht="15.9" customHeight="1" x14ac:dyDescent="0.3"/>
    <row r="201" ht="15.9" customHeight="1" x14ac:dyDescent="0.3"/>
    <row r="202" ht="15.9" customHeight="1" x14ac:dyDescent="0.3"/>
    <row r="203" ht="15.9" customHeight="1" x14ac:dyDescent="0.3"/>
    <row r="204" ht="15.9" customHeight="1" x14ac:dyDescent="0.3"/>
    <row r="205" ht="15.9" customHeight="1" x14ac:dyDescent="0.3"/>
    <row r="206" ht="15.9" customHeight="1" x14ac:dyDescent="0.3"/>
    <row r="207" ht="15.9" customHeight="1" x14ac:dyDescent="0.3"/>
    <row r="208" ht="15.9" customHeight="1" x14ac:dyDescent="0.3"/>
    <row r="209" ht="15.9" customHeight="1" x14ac:dyDescent="0.3"/>
    <row r="210" ht="15.9" customHeight="1" x14ac:dyDescent="0.3"/>
    <row r="211" ht="15.9" customHeight="1" x14ac:dyDescent="0.3"/>
    <row r="212" ht="15.9" customHeight="1" x14ac:dyDescent="0.3"/>
    <row r="213" ht="15.9" customHeight="1" x14ac:dyDescent="0.3"/>
    <row r="214" ht="15.9" customHeight="1" x14ac:dyDescent="0.3"/>
    <row r="215" ht="15.9" customHeight="1" x14ac:dyDescent="0.3"/>
    <row r="216" ht="15.9" customHeight="1" x14ac:dyDescent="0.3"/>
    <row r="217" ht="15.9" customHeight="1" x14ac:dyDescent="0.3"/>
    <row r="218" ht="15.9" customHeight="1" x14ac:dyDescent="0.3"/>
    <row r="219" ht="15.9" customHeight="1" x14ac:dyDescent="0.3"/>
    <row r="220" ht="15.9" customHeight="1" x14ac:dyDescent="0.3"/>
    <row r="221" ht="15.9" customHeight="1" x14ac:dyDescent="0.3"/>
    <row r="222" ht="15.9" customHeight="1" x14ac:dyDescent="0.3"/>
    <row r="223" ht="15.9" customHeight="1" x14ac:dyDescent="0.3"/>
    <row r="224" ht="15.9" customHeight="1" x14ac:dyDescent="0.3"/>
    <row r="225" ht="15.9" customHeight="1" x14ac:dyDescent="0.3"/>
    <row r="226" ht="15.9" customHeight="1" x14ac:dyDescent="0.3"/>
    <row r="227" ht="15.9" customHeight="1" x14ac:dyDescent="0.3"/>
    <row r="228" ht="15.9" customHeight="1" x14ac:dyDescent="0.3"/>
    <row r="229" ht="15.9" customHeight="1" x14ac:dyDescent="0.3"/>
    <row r="230" ht="15.9" customHeight="1" x14ac:dyDescent="0.3"/>
    <row r="231" ht="15.9" customHeight="1" x14ac:dyDescent="0.3"/>
    <row r="232" ht="15.9" customHeight="1" x14ac:dyDescent="0.3"/>
    <row r="233" ht="15.9" customHeight="1" x14ac:dyDescent="0.3"/>
    <row r="234" ht="15.9" customHeight="1" x14ac:dyDescent="0.3"/>
    <row r="235" ht="15.9" customHeight="1" x14ac:dyDescent="0.3"/>
    <row r="236" ht="15.9" customHeight="1" x14ac:dyDescent="0.3"/>
    <row r="237" ht="15.9" customHeight="1" x14ac:dyDescent="0.3"/>
    <row r="238" ht="15.9" customHeight="1" x14ac:dyDescent="0.3"/>
    <row r="239" ht="15.9" customHeight="1" x14ac:dyDescent="0.3"/>
    <row r="240" ht="15.9" customHeight="1" x14ac:dyDescent="0.3"/>
    <row r="241" ht="15.9" customHeight="1" x14ac:dyDescent="0.3"/>
    <row r="242" ht="15.9" customHeight="1" x14ac:dyDescent="0.3"/>
    <row r="243" ht="15.9" customHeight="1" x14ac:dyDescent="0.3"/>
    <row r="244" ht="15.9" customHeight="1" x14ac:dyDescent="0.3"/>
    <row r="245" ht="15.9" customHeight="1" x14ac:dyDescent="0.3"/>
    <row r="246" ht="15.9" customHeight="1" x14ac:dyDescent="0.3"/>
    <row r="247" ht="15.9" customHeight="1" x14ac:dyDescent="0.3"/>
    <row r="248" ht="15.9" customHeight="1" x14ac:dyDescent="0.3"/>
    <row r="249" ht="15.9" customHeight="1" x14ac:dyDescent="0.3"/>
    <row r="250" ht="15.9" customHeight="1" x14ac:dyDescent="0.3"/>
    <row r="251" ht="15.9" customHeight="1" x14ac:dyDescent="0.3"/>
    <row r="252" ht="15.9" customHeight="1" x14ac:dyDescent="0.3"/>
    <row r="253" ht="15.9" customHeight="1" x14ac:dyDescent="0.3"/>
    <row r="254" ht="15.9" customHeight="1" x14ac:dyDescent="0.3"/>
    <row r="255" ht="15.9" customHeight="1" x14ac:dyDescent="0.3"/>
    <row r="256" ht="15.9" customHeight="1" x14ac:dyDescent="0.3"/>
    <row r="257" ht="15.9" customHeight="1" x14ac:dyDescent="0.3"/>
    <row r="258" ht="15.9" customHeight="1" x14ac:dyDescent="0.3"/>
    <row r="259" ht="15.9" customHeight="1" x14ac:dyDescent="0.3"/>
    <row r="260" ht="15.9" customHeight="1" x14ac:dyDescent="0.3"/>
    <row r="261" ht="15.9" customHeight="1" x14ac:dyDescent="0.3"/>
    <row r="262" ht="15.9" customHeight="1" x14ac:dyDescent="0.3"/>
    <row r="263" ht="15.9" customHeight="1" x14ac:dyDescent="0.3"/>
    <row r="264" ht="15.9" customHeight="1" x14ac:dyDescent="0.3"/>
    <row r="265" ht="15.9" customHeight="1" x14ac:dyDescent="0.3"/>
    <row r="266" ht="15.9" customHeight="1" x14ac:dyDescent="0.3"/>
    <row r="267" ht="15.9" customHeight="1" x14ac:dyDescent="0.3"/>
    <row r="268" ht="15.9" customHeight="1" x14ac:dyDescent="0.3"/>
    <row r="269" ht="15.9" customHeight="1" x14ac:dyDescent="0.3"/>
    <row r="270" ht="15.9" customHeight="1" x14ac:dyDescent="0.3"/>
    <row r="271" ht="15.9" customHeight="1" x14ac:dyDescent="0.3"/>
    <row r="272" ht="15.9" customHeight="1" x14ac:dyDescent="0.3"/>
    <row r="273" ht="15.9" customHeight="1" x14ac:dyDescent="0.3"/>
    <row r="274" ht="15.9" customHeight="1" x14ac:dyDescent="0.3"/>
    <row r="275" ht="15.9" customHeight="1" x14ac:dyDescent="0.3"/>
    <row r="276" ht="15.9" customHeight="1" x14ac:dyDescent="0.3"/>
    <row r="277" ht="15.9" customHeight="1" x14ac:dyDescent="0.3"/>
    <row r="278" ht="15.9" customHeight="1" x14ac:dyDescent="0.3"/>
    <row r="279" ht="15.9" customHeight="1" x14ac:dyDescent="0.3"/>
    <row r="280" ht="15.9" customHeight="1" x14ac:dyDescent="0.3"/>
    <row r="281" ht="15.9" customHeight="1" x14ac:dyDescent="0.3"/>
    <row r="282" ht="15.9" customHeight="1" x14ac:dyDescent="0.3"/>
    <row r="283" ht="15.9" customHeight="1" x14ac:dyDescent="0.3"/>
    <row r="284" ht="15.9" customHeight="1" x14ac:dyDescent="0.3"/>
    <row r="285" ht="15.9" customHeight="1" x14ac:dyDescent="0.3"/>
    <row r="286" ht="15.9" customHeight="1" x14ac:dyDescent="0.3"/>
    <row r="287" ht="15.9" customHeight="1" x14ac:dyDescent="0.3"/>
    <row r="288" ht="15.9" customHeight="1" x14ac:dyDescent="0.3"/>
    <row r="289" ht="15.9" customHeight="1" x14ac:dyDescent="0.3"/>
    <row r="290" ht="15.9" customHeight="1" x14ac:dyDescent="0.3"/>
    <row r="291" ht="15.9" customHeight="1" x14ac:dyDescent="0.3"/>
    <row r="292" ht="15.9" customHeight="1" x14ac:dyDescent="0.3"/>
    <row r="293" ht="15.9" customHeight="1" x14ac:dyDescent="0.3"/>
    <row r="294" ht="15.9" customHeight="1" x14ac:dyDescent="0.3"/>
    <row r="295" ht="15.9" customHeight="1" x14ac:dyDescent="0.3"/>
    <row r="296" ht="15.9" customHeight="1" x14ac:dyDescent="0.3"/>
    <row r="297" ht="15.9" customHeight="1" x14ac:dyDescent="0.3"/>
    <row r="298" ht="15.9" customHeight="1" x14ac:dyDescent="0.3"/>
    <row r="299" ht="15.9" customHeight="1" x14ac:dyDescent="0.3"/>
    <row r="300" ht="15.9" customHeight="1" x14ac:dyDescent="0.3"/>
    <row r="301" ht="15.9" customHeight="1" x14ac:dyDescent="0.3"/>
    <row r="302" ht="15.9" customHeight="1" x14ac:dyDescent="0.3"/>
    <row r="303" ht="15.9" customHeight="1" x14ac:dyDescent="0.3"/>
    <row r="304" ht="15.9" customHeight="1" x14ac:dyDescent="0.3"/>
    <row r="305" ht="15.9" customHeight="1" x14ac:dyDescent="0.3"/>
    <row r="306" ht="15.9" customHeight="1" x14ac:dyDescent="0.3"/>
    <row r="307" ht="15.9" customHeight="1" x14ac:dyDescent="0.3"/>
    <row r="308" ht="15.9" customHeight="1" x14ac:dyDescent="0.3"/>
    <row r="309" ht="15.9" customHeight="1" x14ac:dyDescent="0.3"/>
    <row r="310" ht="15.9" customHeight="1" x14ac:dyDescent="0.3"/>
    <row r="311" ht="15.9" customHeight="1" x14ac:dyDescent="0.3"/>
    <row r="312" ht="15.9" customHeight="1" x14ac:dyDescent="0.3"/>
    <row r="313" ht="15.9" customHeight="1" x14ac:dyDescent="0.3"/>
    <row r="314" ht="15.9" customHeight="1" x14ac:dyDescent="0.3"/>
    <row r="315" ht="15.9" customHeight="1" x14ac:dyDescent="0.3"/>
    <row r="316" ht="15.9" customHeight="1" x14ac:dyDescent="0.3"/>
    <row r="317" ht="15.9" customHeight="1" x14ac:dyDescent="0.3"/>
    <row r="318" ht="15.9" customHeight="1" x14ac:dyDescent="0.3"/>
    <row r="319" ht="15.9" customHeight="1" x14ac:dyDescent="0.3"/>
    <row r="320" ht="15.9" customHeight="1" x14ac:dyDescent="0.3"/>
    <row r="321" ht="15.9" customHeight="1" x14ac:dyDescent="0.3"/>
    <row r="322" ht="15.9" customHeight="1" x14ac:dyDescent="0.3"/>
    <row r="323" ht="15.9" customHeight="1" x14ac:dyDescent="0.3"/>
    <row r="324" ht="15.9" customHeight="1" x14ac:dyDescent="0.3"/>
    <row r="325" ht="15.9" customHeight="1" x14ac:dyDescent="0.3"/>
    <row r="326" ht="15.9" customHeight="1" x14ac:dyDescent="0.3"/>
    <row r="327" ht="15.9" customHeight="1" x14ac:dyDescent="0.3"/>
    <row r="328" ht="15.9" customHeight="1" x14ac:dyDescent="0.3"/>
    <row r="329" ht="15.9" customHeight="1" x14ac:dyDescent="0.3"/>
    <row r="330" ht="15.9" customHeight="1" x14ac:dyDescent="0.3"/>
    <row r="331" ht="15.9" customHeight="1" x14ac:dyDescent="0.3"/>
    <row r="332" ht="15.9" customHeight="1" x14ac:dyDescent="0.3"/>
    <row r="333" ht="15.9" customHeight="1" x14ac:dyDescent="0.3"/>
    <row r="334" ht="15.9" customHeight="1" x14ac:dyDescent="0.3"/>
    <row r="335" ht="15.9" customHeight="1" x14ac:dyDescent="0.3"/>
    <row r="336" ht="15.9" customHeight="1" x14ac:dyDescent="0.3"/>
    <row r="337" ht="15.9" customHeight="1" x14ac:dyDescent="0.3"/>
    <row r="338" ht="15.9" customHeight="1" x14ac:dyDescent="0.3"/>
    <row r="339" ht="15.9" customHeight="1" x14ac:dyDescent="0.3"/>
    <row r="340" ht="15.9" customHeight="1" x14ac:dyDescent="0.3"/>
    <row r="341" ht="15.9" customHeight="1" x14ac:dyDescent="0.3"/>
    <row r="342" ht="15.9" customHeight="1" x14ac:dyDescent="0.3"/>
    <row r="343" ht="15.9" customHeight="1" x14ac:dyDescent="0.3"/>
    <row r="344" ht="15.9" customHeight="1" x14ac:dyDescent="0.3"/>
    <row r="345" ht="15.9" customHeight="1" x14ac:dyDescent="0.3"/>
    <row r="346" ht="15.9" customHeight="1" x14ac:dyDescent="0.3"/>
    <row r="347" ht="15.9" customHeight="1" x14ac:dyDescent="0.3"/>
    <row r="348" ht="15.9" customHeight="1" x14ac:dyDescent="0.3"/>
    <row r="349" ht="15.9" customHeight="1" x14ac:dyDescent="0.3"/>
    <row r="350" ht="15.9" customHeight="1" x14ac:dyDescent="0.3"/>
    <row r="351" ht="15.9" customHeight="1" x14ac:dyDescent="0.3"/>
    <row r="352" ht="15.9" customHeight="1" x14ac:dyDescent="0.3"/>
    <row r="353" ht="15.9" customHeight="1" x14ac:dyDescent="0.3"/>
    <row r="354" ht="15.9" customHeight="1" x14ac:dyDescent="0.3"/>
    <row r="355" ht="15.9" customHeight="1" x14ac:dyDescent="0.3"/>
    <row r="356" ht="15.9" customHeight="1" x14ac:dyDescent="0.3"/>
    <row r="357" ht="15.9" customHeight="1" x14ac:dyDescent="0.3"/>
    <row r="358" ht="15.9" customHeight="1" x14ac:dyDescent="0.3"/>
    <row r="359" ht="15.9" customHeight="1" x14ac:dyDescent="0.3"/>
    <row r="360" ht="15.9" customHeight="1" x14ac:dyDescent="0.3"/>
    <row r="361" ht="15.9" customHeight="1" x14ac:dyDescent="0.3"/>
    <row r="362" ht="15.9" customHeight="1" x14ac:dyDescent="0.3"/>
    <row r="363" ht="15.9" customHeight="1" x14ac:dyDescent="0.3"/>
    <row r="364" ht="15.9" customHeight="1" x14ac:dyDescent="0.3"/>
    <row r="365" ht="15.9" customHeight="1" x14ac:dyDescent="0.3"/>
    <row r="366" ht="15.9" customHeight="1" x14ac:dyDescent="0.3"/>
    <row r="367" ht="15.9" customHeight="1" x14ac:dyDescent="0.3"/>
    <row r="368" ht="15.9" customHeight="1" x14ac:dyDescent="0.3"/>
    <row r="369" ht="15.9" customHeight="1" x14ac:dyDescent="0.3"/>
    <row r="370" ht="15.9" customHeight="1" x14ac:dyDescent="0.3"/>
    <row r="371" ht="15.9" customHeight="1" x14ac:dyDescent="0.3"/>
    <row r="372" ht="15.9" customHeight="1" x14ac:dyDescent="0.3"/>
    <row r="373" ht="15.9" customHeight="1" x14ac:dyDescent="0.3"/>
    <row r="374" ht="15.9" customHeight="1" x14ac:dyDescent="0.3"/>
    <row r="375" ht="15.9" customHeight="1" x14ac:dyDescent="0.3"/>
    <row r="376" ht="15.9" customHeight="1" x14ac:dyDescent="0.3"/>
    <row r="377" ht="15.9" customHeight="1" x14ac:dyDescent="0.3"/>
    <row r="378" ht="15.9" customHeight="1" x14ac:dyDescent="0.3"/>
    <row r="379" ht="15.9" customHeight="1" x14ac:dyDescent="0.3"/>
    <row r="380" ht="15.9" customHeight="1" x14ac:dyDescent="0.3"/>
    <row r="381" ht="15.9" customHeight="1" x14ac:dyDescent="0.3"/>
    <row r="382" ht="15.9" customHeight="1" x14ac:dyDescent="0.3"/>
    <row r="383" ht="15.9" customHeight="1" x14ac:dyDescent="0.3"/>
    <row r="384" ht="15.9" customHeight="1" x14ac:dyDescent="0.3"/>
    <row r="385" ht="15.9" customHeight="1" x14ac:dyDescent="0.3"/>
    <row r="386" ht="15.9" customHeight="1" x14ac:dyDescent="0.3"/>
    <row r="387" ht="15.9" customHeight="1" x14ac:dyDescent="0.3"/>
    <row r="388" ht="15.9" customHeight="1" x14ac:dyDescent="0.3"/>
    <row r="389" ht="15.9" customHeight="1" x14ac:dyDescent="0.3"/>
    <row r="390" ht="15.9" customHeight="1" x14ac:dyDescent="0.3"/>
    <row r="391" ht="15.9" customHeight="1" x14ac:dyDescent="0.3"/>
    <row r="392" ht="15.9" customHeight="1" x14ac:dyDescent="0.3"/>
    <row r="393" ht="15.9" customHeight="1" x14ac:dyDescent="0.3"/>
    <row r="394" ht="15.9" customHeight="1" x14ac:dyDescent="0.3"/>
    <row r="395" ht="15.9" customHeight="1" x14ac:dyDescent="0.3"/>
    <row r="396" ht="15.9" customHeight="1" x14ac:dyDescent="0.3"/>
    <row r="397" ht="15.9" customHeight="1" x14ac:dyDescent="0.3"/>
    <row r="398" ht="15.9" customHeight="1" x14ac:dyDescent="0.3"/>
    <row r="399" ht="15.9" customHeight="1" x14ac:dyDescent="0.3"/>
    <row r="400" ht="15.9" customHeight="1" x14ac:dyDescent="0.3"/>
    <row r="401" ht="15.9" customHeight="1" x14ac:dyDescent="0.3"/>
    <row r="402" ht="15.9" customHeight="1" x14ac:dyDescent="0.3"/>
    <row r="403" ht="15.9" customHeight="1" x14ac:dyDescent="0.3"/>
    <row r="404" ht="15.9" customHeight="1" x14ac:dyDescent="0.3"/>
    <row r="405" ht="15.9" customHeight="1" x14ac:dyDescent="0.3"/>
    <row r="406" ht="15.9" customHeight="1" x14ac:dyDescent="0.3"/>
    <row r="407" ht="15.9" customHeight="1" x14ac:dyDescent="0.3"/>
    <row r="408" ht="15.9" customHeight="1" x14ac:dyDescent="0.3"/>
    <row r="409" ht="15.9" customHeight="1" x14ac:dyDescent="0.3"/>
    <row r="410" ht="15.9" customHeight="1" x14ac:dyDescent="0.3"/>
    <row r="411" ht="15.9" customHeight="1" x14ac:dyDescent="0.3"/>
    <row r="412" ht="15.9" customHeight="1" x14ac:dyDescent="0.3"/>
    <row r="413" ht="15.9" customHeight="1" x14ac:dyDescent="0.3"/>
    <row r="414" ht="15.9" customHeight="1" x14ac:dyDescent="0.3"/>
    <row r="415" ht="15.9" customHeight="1" x14ac:dyDescent="0.3"/>
    <row r="416" ht="15.9" customHeight="1" x14ac:dyDescent="0.3"/>
    <row r="417" ht="15.9" customHeight="1" x14ac:dyDescent="0.3"/>
    <row r="418" ht="15.9" customHeight="1" x14ac:dyDescent="0.3"/>
    <row r="419" ht="15.9" customHeight="1" x14ac:dyDescent="0.3"/>
    <row r="420" ht="15.9" customHeight="1" x14ac:dyDescent="0.3"/>
    <row r="421" ht="15.9" customHeight="1" x14ac:dyDescent="0.3"/>
    <row r="422" ht="15.9" customHeight="1" x14ac:dyDescent="0.3"/>
    <row r="423" ht="15.9" customHeight="1" x14ac:dyDescent="0.3"/>
    <row r="424" ht="15.9" customHeight="1" x14ac:dyDescent="0.3"/>
    <row r="425" ht="15.9" customHeight="1" x14ac:dyDescent="0.3"/>
    <row r="426" ht="15.9" customHeight="1" x14ac:dyDescent="0.3"/>
    <row r="427" ht="15.9" customHeight="1" x14ac:dyDescent="0.3"/>
    <row r="428" ht="15.9" customHeight="1" x14ac:dyDescent="0.3"/>
    <row r="429" ht="15.9" customHeight="1" x14ac:dyDescent="0.3"/>
    <row r="430" ht="15.9" customHeight="1" x14ac:dyDescent="0.3"/>
    <row r="431" ht="15.9" customHeight="1" x14ac:dyDescent="0.3"/>
    <row r="432" ht="15.9" customHeight="1" x14ac:dyDescent="0.3"/>
    <row r="433" ht="15.9" customHeight="1" x14ac:dyDescent="0.3"/>
    <row r="434" ht="15.9" customHeight="1" x14ac:dyDescent="0.3"/>
    <row r="435" ht="15.9" customHeight="1" x14ac:dyDescent="0.3"/>
    <row r="436" ht="15.9" customHeight="1" x14ac:dyDescent="0.3"/>
    <row r="437" ht="15.9" customHeight="1" x14ac:dyDescent="0.3"/>
    <row r="438" ht="15.9" customHeight="1" x14ac:dyDescent="0.3"/>
    <row r="439" ht="15.9" customHeight="1" x14ac:dyDescent="0.3"/>
    <row r="440" ht="15.9" customHeight="1" x14ac:dyDescent="0.3"/>
    <row r="441" ht="15.9" customHeight="1" x14ac:dyDescent="0.3"/>
    <row r="442" ht="15.9" customHeight="1" x14ac:dyDescent="0.3"/>
    <row r="443" ht="15.9" customHeight="1" x14ac:dyDescent="0.3"/>
    <row r="444" ht="15.9" customHeight="1" x14ac:dyDescent="0.3"/>
    <row r="445" ht="15.9" customHeight="1" x14ac:dyDescent="0.3"/>
    <row r="446" ht="15.9" customHeight="1" x14ac:dyDescent="0.3"/>
    <row r="447" ht="15.9" customHeight="1" x14ac:dyDescent="0.3"/>
    <row r="448" ht="15.9" customHeight="1" x14ac:dyDescent="0.3"/>
    <row r="449" ht="15.9" customHeight="1" x14ac:dyDescent="0.3"/>
    <row r="450" ht="15.9" customHeight="1" x14ac:dyDescent="0.3"/>
    <row r="451" ht="15.9" customHeight="1" x14ac:dyDescent="0.3"/>
    <row r="452" ht="15.9" customHeight="1" x14ac:dyDescent="0.3"/>
    <row r="453" ht="15.9" customHeight="1" x14ac:dyDescent="0.3"/>
    <row r="454" ht="15.9" customHeight="1" x14ac:dyDescent="0.3"/>
    <row r="455" ht="15.9" customHeight="1" x14ac:dyDescent="0.3"/>
    <row r="456" ht="15.9" customHeight="1" x14ac:dyDescent="0.3"/>
    <row r="457" ht="15.9" customHeight="1" x14ac:dyDescent="0.3"/>
    <row r="458" ht="15.9" customHeight="1" x14ac:dyDescent="0.3"/>
    <row r="459" ht="15.9" customHeight="1" x14ac:dyDescent="0.3"/>
    <row r="460" ht="15.9" customHeight="1" x14ac:dyDescent="0.3"/>
    <row r="461" ht="15.9" customHeight="1" x14ac:dyDescent="0.3"/>
    <row r="462" ht="15.9" customHeight="1" x14ac:dyDescent="0.3"/>
    <row r="463" ht="15.9" customHeight="1" x14ac:dyDescent="0.3"/>
    <row r="464" ht="15.9" customHeight="1" x14ac:dyDescent="0.3"/>
    <row r="465" ht="15.9" customHeight="1" x14ac:dyDescent="0.3"/>
    <row r="466" ht="15.9" customHeight="1" x14ac:dyDescent="0.3"/>
    <row r="467" ht="15.9" customHeight="1" x14ac:dyDescent="0.3"/>
    <row r="468" ht="15.9" customHeight="1" x14ac:dyDescent="0.3"/>
    <row r="469" ht="15.9" customHeight="1" x14ac:dyDescent="0.3"/>
    <row r="470" ht="15.9" customHeight="1" x14ac:dyDescent="0.3"/>
    <row r="471" ht="15.9" customHeight="1" x14ac:dyDescent="0.3"/>
    <row r="472" ht="15.9" customHeight="1" x14ac:dyDescent="0.3"/>
    <row r="473" ht="15.9" customHeight="1" x14ac:dyDescent="0.3"/>
    <row r="474" ht="15.9" customHeight="1" x14ac:dyDescent="0.3"/>
    <row r="475" ht="15.9" customHeight="1" x14ac:dyDescent="0.3"/>
    <row r="476" ht="15.9" customHeight="1" x14ac:dyDescent="0.3"/>
    <row r="477" ht="15.9" customHeight="1" x14ac:dyDescent="0.3"/>
    <row r="478" ht="15.9" customHeight="1" x14ac:dyDescent="0.3"/>
    <row r="479" ht="15.9" customHeight="1" x14ac:dyDescent="0.3"/>
    <row r="480" ht="15.9" customHeight="1" x14ac:dyDescent="0.3"/>
    <row r="481" ht="15.9" customHeight="1" x14ac:dyDescent="0.3"/>
    <row r="482" ht="15.9" customHeight="1" x14ac:dyDescent="0.3"/>
    <row r="483" ht="15.9" customHeight="1" x14ac:dyDescent="0.3"/>
    <row r="484" ht="15.9" customHeight="1" x14ac:dyDescent="0.3"/>
    <row r="485" ht="15.9" customHeight="1" x14ac:dyDescent="0.3"/>
    <row r="486" ht="15.9" customHeight="1" x14ac:dyDescent="0.3"/>
    <row r="487" ht="15.9" customHeight="1" x14ac:dyDescent="0.3"/>
    <row r="488" ht="15.9" customHeight="1" x14ac:dyDescent="0.3"/>
    <row r="489" ht="15.9" customHeight="1" x14ac:dyDescent="0.3"/>
    <row r="490" ht="15.9" customHeight="1" x14ac:dyDescent="0.3"/>
    <row r="491" ht="15.9" customHeight="1" x14ac:dyDescent="0.3"/>
    <row r="492" ht="15.9" customHeight="1" x14ac:dyDescent="0.3"/>
    <row r="493" ht="15.9" customHeight="1" x14ac:dyDescent="0.3"/>
    <row r="494" ht="15.9" customHeight="1" x14ac:dyDescent="0.3"/>
    <row r="495" ht="15.9" customHeight="1" x14ac:dyDescent="0.3"/>
    <row r="496" ht="15.9" customHeight="1" x14ac:dyDescent="0.3"/>
    <row r="497" ht="15.9" customHeight="1" x14ac:dyDescent="0.3"/>
    <row r="498" ht="15.9" customHeight="1" x14ac:dyDescent="0.3"/>
    <row r="499" ht="15.9" customHeight="1" x14ac:dyDescent="0.3"/>
    <row r="500" ht="15.9" customHeight="1" x14ac:dyDescent="0.3"/>
    <row r="501" ht="15.9" customHeight="1" x14ac:dyDescent="0.3"/>
    <row r="502" ht="15.9" customHeight="1" x14ac:dyDescent="0.3"/>
    <row r="503" ht="15.9" customHeight="1" x14ac:dyDescent="0.3"/>
    <row r="504" ht="15.9" customHeight="1" x14ac:dyDescent="0.3"/>
    <row r="505" ht="15.9" customHeight="1" x14ac:dyDescent="0.3"/>
    <row r="506" ht="15.9" customHeight="1" x14ac:dyDescent="0.3"/>
    <row r="507" ht="15.9" customHeight="1" x14ac:dyDescent="0.3"/>
    <row r="508" ht="15.9" customHeight="1" x14ac:dyDescent="0.3"/>
    <row r="509" ht="15.9" customHeight="1" x14ac:dyDescent="0.3"/>
    <row r="510" ht="15.9" customHeight="1" x14ac:dyDescent="0.3"/>
    <row r="511" ht="15.9" customHeight="1" x14ac:dyDescent="0.3"/>
    <row r="512" ht="15.9" customHeight="1" x14ac:dyDescent="0.3"/>
    <row r="513" ht="15.9" customHeight="1" x14ac:dyDescent="0.3"/>
    <row r="514" ht="15.9" customHeight="1" x14ac:dyDescent="0.3"/>
    <row r="515" ht="15.9" customHeight="1" x14ac:dyDescent="0.3"/>
    <row r="516" ht="15.9" customHeight="1" x14ac:dyDescent="0.3"/>
    <row r="517" ht="15.9" customHeight="1" x14ac:dyDescent="0.3"/>
    <row r="518" ht="15.9" customHeight="1" x14ac:dyDescent="0.3"/>
    <row r="519" ht="15.9" customHeight="1" x14ac:dyDescent="0.3"/>
    <row r="520" ht="15.9" customHeight="1" x14ac:dyDescent="0.3"/>
    <row r="521" ht="15.9" customHeight="1" x14ac:dyDescent="0.3"/>
    <row r="522" ht="15.9" customHeight="1" x14ac:dyDescent="0.3"/>
    <row r="523" ht="15.9" customHeight="1" x14ac:dyDescent="0.3"/>
    <row r="524" ht="15.9" customHeight="1" x14ac:dyDescent="0.3"/>
    <row r="525" ht="15.9" customHeight="1" x14ac:dyDescent="0.3"/>
    <row r="526" ht="15.9" customHeight="1" x14ac:dyDescent="0.3"/>
    <row r="527" ht="15.9" customHeight="1" x14ac:dyDescent="0.3"/>
    <row r="528" ht="15.9" customHeight="1" x14ac:dyDescent="0.3"/>
    <row r="529" ht="15.9" customHeight="1" x14ac:dyDescent="0.3"/>
    <row r="530" ht="15.9" customHeight="1" x14ac:dyDescent="0.3"/>
    <row r="531" ht="15.9" customHeight="1" x14ac:dyDescent="0.3"/>
    <row r="532" ht="15.9" customHeight="1" x14ac:dyDescent="0.3"/>
    <row r="533" ht="15.9" customHeight="1" x14ac:dyDescent="0.3"/>
    <row r="534" ht="15.9" customHeight="1" x14ac:dyDescent="0.3"/>
    <row r="535" ht="15.9" customHeight="1" x14ac:dyDescent="0.3"/>
    <row r="536" ht="15.9" customHeight="1" x14ac:dyDescent="0.3"/>
    <row r="537" ht="15.9" customHeight="1" x14ac:dyDescent="0.3"/>
    <row r="538" ht="15.9" customHeight="1" x14ac:dyDescent="0.3"/>
    <row r="539" ht="15.9" customHeight="1" x14ac:dyDescent="0.3"/>
    <row r="540" ht="15.9" customHeight="1" x14ac:dyDescent="0.3"/>
    <row r="541" ht="15.9" customHeight="1" x14ac:dyDescent="0.3"/>
    <row r="542" ht="15.9" customHeight="1" x14ac:dyDescent="0.3"/>
    <row r="543" ht="15.9" customHeight="1" x14ac:dyDescent="0.3"/>
    <row r="544" ht="15.9" customHeight="1" x14ac:dyDescent="0.3"/>
    <row r="545" ht="15.9" customHeight="1" x14ac:dyDescent="0.3"/>
    <row r="546" ht="15.9" customHeight="1" x14ac:dyDescent="0.3"/>
  </sheetData>
  <mergeCells count="78">
    <mergeCell ref="C62:D62"/>
    <mergeCell ref="B53:B58"/>
    <mergeCell ref="C53:D58"/>
    <mergeCell ref="E53:F58"/>
    <mergeCell ref="G53:G58"/>
    <mergeCell ref="H53:H58"/>
    <mergeCell ref="P53:Q58"/>
    <mergeCell ref="B47:B52"/>
    <mergeCell ref="C47:D52"/>
    <mergeCell ref="E47:F52"/>
    <mergeCell ref="G47:G52"/>
    <mergeCell ref="H47:H52"/>
    <mergeCell ref="P47:Q52"/>
    <mergeCell ref="P41:Q46"/>
    <mergeCell ref="B35:B40"/>
    <mergeCell ref="C35:D40"/>
    <mergeCell ref="E35:F40"/>
    <mergeCell ref="G35:G40"/>
    <mergeCell ref="H35:H40"/>
    <mergeCell ref="P35:Q40"/>
    <mergeCell ref="B41:B46"/>
    <mergeCell ref="C41:D46"/>
    <mergeCell ref="E41:F46"/>
    <mergeCell ref="G41:G46"/>
    <mergeCell ref="H41:H46"/>
    <mergeCell ref="P29:Q34"/>
    <mergeCell ref="B23:B28"/>
    <mergeCell ref="C23:D28"/>
    <mergeCell ref="E23:F28"/>
    <mergeCell ref="G23:G28"/>
    <mergeCell ref="H23:H28"/>
    <mergeCell ref="P23:Q28"/>
    <mergeCell ref="B29:B34"/>
    <mergeCell ref="C29:D34"/>
    <mergeCell ref="E29:F34"/>
    <mergeCell ref="G29:G34"/>
    <mergeCell ref="H29:H34"/>
    <mergeCell ref="P17:Q22"/>
    <mergeCell ref="B11:B16"/>
    <mergeCell ref="C11:D16"/>
    <mergeCell ref="E11:F16"/>
    <mergeCell ref="G11:G16"/>
    <mergeCell ref="H11:H16"/>
    <mergeCell ref="P11:Q16"/>
    <mergeCell ref="B17:B22"/>
    <mergeCell ref="C17:D22"/>
    <mergeCell ref="E17:F22"/>
    <mergeCell ref="G17:G22"/>
    <mergeCell ref="H17:H22"/>
    <mergeCell ref="P9:Q10"/>
    <mergeCell ref="B7:C7"/>
    <mergeCell ref="D7:H7"/>
    <mergeCell ref="I7:J7"/>
    <mergeCell ref="K7:L7"/>
    <mergeCell ref="P7:Q7"/>
    <mergeCell ref="B8:C8"/>
    <mergeCell ref="F8:H8"/>
    <mergeCell ref="I8:J8"/>
    <mergeCell ref="K8:O8"/>
    <mergeCell ref="B9:B10"/>
    <mergeCell ref="C9:D10"/>
    <mergeCell ref="E9:F10"/>
    <mergeCell ref="G9:G10"/>
    <mergeCell ref="H9:H10"/>
    <mergeCell ref="P6:Q6"/>
    <mergeCell ref="A2:D2"/>
    <mergeCell ref="E2:N3"/>
    <mergeCell ref="O2:R2"/>
    <mergeCell ref="A3:D3"/>
    <mergeCell ref="O3:R3"/>
    <mergeCell ref="B5:C5"/>
    <mergeCell ref="D5:H5"/>
    <mergeCell ref="I5:O5"/>
    <mergeCell ref="B6:C6"/>
    <mergeCell ref="D6:H6"/>
    <mergeCell ref="I6:J6"/>
    <mergeCell ref="K6:L6"/>
    <mergeCell ref="M6:O6"/>
  </mergeCells>
  <printOptions horizontalCentered="1"/>
  <pageMargins left="0.3" right="0.3" top="0.45" bottom="0.75" header="0.3" footer="0.3"/>
  <pageSetup paperSize="9" scale="93" orientation="landscape" r:id="rId1"/>
  <headerFooter>
    <oddFooter>&amp;L&amp;1#&amp;"Calibri"&amp;8 Sensitivity: LNT Construction Internal Use</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3"/>
  <dimension ref="A1:J24"/>
  <sheetViews>
    <sheetView workbookViewId="0">
      <selection activeCell="F15" sqref="F15"/>
    </sheetView>
  </sheetViews>
  <sheetFormatPr defaultRowHeight="14.4" x14ac:dyDescent="0.3"/>
  <cols>
    <col min="1" max="1" width="11.44140625" bestFit="1" customWidth="1"/>
    <col min="2" max="2" width="12" bestFit="1" customWidth="1"/>
    <col min="3" max="3" width="13.44140625" bestFit="1" customWidth="1"/>
    <col min="4" max="4" width="59.88671875" bestFit="1" customWidth="1"/>
    <col min="5" max="5" width="22.44140625" customWidth="1"/>
    <col min="6" max="6" width="9.88671875" bestFit="1" customWidth="1"/>
    <col min="7" max="8" width="10.109375" bestFit="1" customWidth="1"/>
  </cols>
  <sheetData>
    <row r="1" spans="1:10" s="136" customFormat="1" x14ac:dyDescent="0.3">
      <c r="A1" s="160" t="s">
        <v>174</v>
      </c>
      <c r="B1" s="160" t="s">
        <v>176</v>
      </c>
      <c r="C1" s="160" t="s">
        <v>175</v>
      </c>
      <c r="D1" s="160" t="s">
        <v>177</v>
      </c>
      <c r="E1" s="160" t="s">
        <v>1319</v>
      </c>
      <c r="F1" s="160" t="s">
        <v>34</v>
      </c>
      <c r="G1" s="160" t="s">
        <v>67</v>
      </c>
      <c r="H1" s="160" t="s">
        <v>133</v>
      </c>
    </row>
    <row r="2" spans="1:10" x14ac:dyDescent="0.3">
      <c r="A2" s="55" t="str">
        <f>+'[2]Doc Set'!A11</f>
        <v>O17203</v>
      </c>
      <c r="B2" s="55" t="str">
        <f>+'[2]Doc Set'!B11</f>
        <v>SP</v>
      </c>
      <c r="C2" s="55" t="str">
        <f>+'[2]Doc Set'!C11</f>
        <v>L - ELV systems</v>
      </c>
      <c r="D2" s="55" t="str">
        <f>+'[2]Doc Set'!D11</f>
        <v>01 - Exhibition Hall 1 with Grand Foyer and EH1 Basement parking</v>
      </c>
      <c r="E2" s="55" t="str">
        <f>+'[2]Doc Set'!E11</f>
        <v>EH1-SCHEME</v>
      </c>
      <c r="F2" s="180">
        <f>+COUNTIF([2]EH1!M:M,'elv BLG (3)'!E2)</f>
        <v>6</v>
      </c>
      <c r="G2" s="180">
        <f>+COUNTIF([2]EH1!O:O,'elv BLG (3)'!E2)</f>
        <v>0</v>
      </c>
      <c r="H2" s="180">
        <f>+COUNTIF([2]EH1!Q:Q,'elv BLG (3)'!E2)</f>
        <v>0</v>
      </c>
    </row>
    <row r="3" spans="1:10" x14ac:dyDescent="0.3">
      <c r="A3" s="55" t="str">
        <f>+'[2]Doc Set'!A12</f>
        <v>O17203</v>
      </c>
      <c r="B3" s="55" t="str">
        <f>+'[2]Doc Set'!B12</f>
        <v>SP</v>
      </c>
      <c r="C3" s="55" t="str">
        <f>+'[2]Doc Set'!C12</f>
        <v>L - ELV systems</v>
      </c>
      <c r="D3" s="55" t="str">
        <f>+'[2]Doc Set'!D12</f>
        <v>01 - Exhibition Hall 1 with Grand Foyer and EH1 Basement parking</v>
      </c>
      <c r="E3" s="55" t="str">
        <f>+'[2]Doc Set'!E12</f>
        <v>EH1-SS_B</v>
      </c>
      <c r="F3" s="180">
        <f>+COUNTIF([2]EH1!M:M,'elv BLG (3)'!E3)</f>
        <v>9</v>
      </c>
      <c r="G3" s="180">
        <f>+COUNTIF([2]EH1!O:O,'elv BLG (3)'!E3)</f>
        <v>15</v>
      </c>
      <c r="H3" s="180">
        <f>+COUNTIF([2]EH1!Q:Q,'elv BLG (3)'!E3)</f>
        <v>15</v>
      </c>
    </row>
    <row r="4" spans="1:10" x14ac:dyDescent="0.3">
      <c r="A4" s="55" t="str">
        <f>+'[2]Doc Set'!A10</f>
        <v>O17203</v>
      </c>
      <c r="B4" s="55" t="str">
        <f>+'[2]Doc Set'!B10</f>
        <v>SP</v>
      </c>
      <c r="C4" s="55" t="str">
        <f>+'[2]Doc Set'!C10</f>
        <v>L - ELV systems</v>
      </c>
      <c r="D4" s="55" t="str">
        <f>+'[2]Doc Set'!D10</f>
        <v>01 - Exhibition Hall 1 with Grand Foyer and EH1 Basement parking</v>
      </c>
      <c r="E4" s="55" t="str">
        <f>+'[2]Doc Set'!E10</f>
        <v>EH1-INT_D</v>
      </c>
      <c r="F4" s="180">
        <f>+COUNTIF([2]EH1!M:M,'elv BLG (3)'!E4)</f>
        <v>82</v>
      </c>
      <c r="G4" s="180">
        <f>+COUNTIF([2]EH1!O:O,'elv BLG (3)'!E4)</f>
        <v>82</v>
      </c>
      <c r="H4" s="180">
        <f>+COUNTIF([2]EH1!Q:Q,'elv BLG (3)'!E4)</f>
        <v>82</v>
      </c>
      <c r="J4">
        <v>97</v>
      </c>
    </row>
    <row r="5" spans="1:10" x14ac:dyDescent="0.3">
      <c r="A5" s="55" t="str">
        <f>+'[2]Doc Set'!A14</f>
        <v>O17203</v>
      </c>
      <c r="B5" s="55" t="str">
        <f>+'[2]Doc Set'!B14</f>
        <v>SP</v>
      </c>
      <c r="C5" s="55" t="str">
        <f>+'[2]Doc Set'!C14</f>
        <v>L - ELV systems</v>
      </c>
      <c r="D5" s="55" t="str">
        <f>+'[2]Doc Set'!D14</f>
        <v>02 - Exhibition Hall 2 with Grand Foyer and EH2 Basement parking</v>
      </c>
      <c r="E5" s="55" t="str">
        <f>+'[2]Doc Set'!E14</f>
        <v>EH2-SCHEME</v>
      </c>
      <c r="F5" s="180">
        <f>+COUNTIF([2]EH2!M:M,'elv BLG (3)'!E5)</f>
        <v>3</v>
      </c>
      <c r="G5" s="180">
        <f>+COUNTIF([2]EH2!O:O,'elv BLG (3)'!E5)</f>
        <v>0</v>
      </c>
      <c r="H5" s="180">
        <f>+COUNTIF([2]EH2!Q:Q,'elv BLG (3)'!E5)</f>
        <v>0</v>
      </c>
    </row>
    <row r="6" spans="1:10" ht="30" customHeight="1" x14ac:dyDescent="0.3">
      <c r="A6" s="55" t="str">
        <f>+'[2]Doc Set'!A15</f>
        <v>O17203</v>
      </c>
      <c r="B6" s="55" t="str">
        <f>+'[2]Doc Set'!B15</f>
        <v>SP</v>
      </c>
      <c r="C6" s="55" t="str">
        <f>+'[2]Doc Set'!C15</f>
        <v>L - ELV systems</v>
      </c>
      <c r="D6" s="55" t="str">
        <f>+'[2]Doc Set'!D15</f>
        <v>02 - Exhibition Hall 2 with Grand Foyer and EH2 Basement parking</v>
      </c>
      <c r="E6" s="55" t="str">
        <f>+'[2]Doc Set'!E15</f>
        <v>EH2-SS_B</v>
      </c>
      <c r="F6" s="180">
        <f>+COUNTIF([2]EH2!M:M,'elv BLG (3)'!E6)</f>
        <v>14</v>
      </c>
      <c r="G6" s="180">
        <f>+COUNTIF([2]EH2!O:O,'elv BLG (3)'!E6)</f>
        <v>17</v>
      </c>
      <c r="H6" s="180">
        <f>+COUNTIF([2]EH2!Q:Q,'elv BLG (3)'!E6)</f>
        <v>17</v>
      </c>
    </row>
    <row r="7" spans="1:10" x14ac:dyDescent="0.3">
      <c r="A7" s="55" t="str">
        <f>+'[2]Doc Set'!A13</f>
        <v>O17203</v>
      </c>
      <c r="B7" s="55" t="str">
        <f>+'[2]Doc Set'!B13</f>
        <v>SP</v>
      </c>
      <c r="C7" s="55" t="str">
        <f>+'[2]Doc Set'!C13</f>
        <v>L - ELV systems</v>
      </c>
      <c r="D7" s="55" t="str">
        <f>+'[2]Doc Set'!D13</f>
        <v>02 - Exhibition Hall 2 with Grand Foyer and EH2 Basement parking</v>
      </c>
      <c r="E7" s="55" t="str">
        <f>+'[2]Doc Set'!E13</f>
        <v>EH2-INT_D</v>
      </c>
      <c r="F7" s="180">
        <f>+COUNTIF([2]EH2!M:M,'elv BLG (3)'!E7)</f>
        <v>77</v>
      </c>
      <c r="G7" s="180">
        <f>+COUNTIF([2]EH2!O:O,'elv BLG (3)'!E7)</f>
        <v>77</v>
      </c>
      <c r="H7" s="180">
        <f>+COUNTIF([2]EH2!Q:Q,'elv BLG (3)'!E7)</f>
        <v>77</v>
      </c>
      <c r="J7">
        <v>94</v>
      </c>
    </row>
    <row r="8" spans="1:10" ht="15" customHeight="1" x14ac:dyDescent="0.3">
      <c r="A8" s="55" t="str">
        <f>+'[2]Doc Set'!A16</f>
        <v>O17203</v>
      </c>
      <c r="B8" s="55" t="str">
        <f>+'[2]Doc Set'!B16</f>
        <v>SP</v>
      </c>
      <c r="C8" s="55" t="str">
        <f>+'[2]Doc Set'!C16</f>
        <v>L - ELV systems</v>
      </c>
      <c r="D8" s="55" t="str">
        <f>+'[2]Doc Set'!D16</f>
        <v>03 - Exhibition Hall 3 Service Building</v>
      </c>
      <c r="E8" s="55" t="str">
        <f>+'[2]Doc Set'!E16</f>
        <v>EH3-SCHEME</v>
      </c>
      <c r="F8" s="180">
        <f>+COUNTIF([2]EH3!M:M,'elv BLG (3)'!E8)</f>
        <v>0</v>
      </c>
      <c r="G8" s="180">
        <f>+COUNTIF([2]EH3!O:O,'elv BLG (3)'!E8)</f>
        <v>0</v>
      </c>
      <c r="H8" s="180">
        <f>+COUNTIF([2]EH3!Q:Q,'elv BLG (3)'!E8)</f>
        <v>0</v>
      </c>
    </row>
    <row r="9" spans="1:10" ht="15" customHeight="1" x14ac:dyDescent="0.3">
      <c r="A9" s="55" t="str">
        <f>+'[2]Doc Set'!A17</f>
        <v>O17203</v>
      </c>
      <c r="B9" s="55" t="str">
        <f>+'[2]Doc Set'!B17</f>
        <v>SP</v>
      </c>
      <c r="C9" s="55" t="str">
        <f>+'[2]Doc Set'!C17</f>
        <v>L - ELV systems</v>
      </c>
      <c r="D9" s="55" t="str">
        <f>+'[2]Doc Set'!D17</f>
        <v>03 - Exhibition Hall 3 Service Building</v>
      </c>
      <c r="E9" s="55" t="str">
        <f>+'[2]Doc Set'!E17</f>
        <v>EH3-SS_B</v>
      </c>
      <c r="F9" s="180">
        <f>+COUNTIF([2]EH3!M:M,'elv BLG (3)'!E9)</f>
        <v>18</v>
      </c>
      <c r="G9" s="180">
        <f>+COUNTIF([2]EH3!O:O,'elv BLG (3)'!E9)</f>
        <v>18</v>
      </c>
      <c r="H9" s="180">
        <f>+COUNTIF([2]EH3!Q:Q,'elv BLG (3)'!E9)</f>
        <v>18</v>
      </c>
      <c r="J9">
        <v>18</v>
      </c>
    </row>
    <row r="10" spans="1:10" x14ac:dyDescent="0.3">
      <c r="A10" s="55" t="str">
        <f>+'[2]Doc Set'!A7</f>
        <v>O17203</v>
      </c>
      <c r="B10" s="55" t="str">
        <f>+'[2]Doc Set'!B7</f>
        <v>SP</v>
      </c>
      <c r="C10" s="55" t="str">
        <f>+'[2]Doc Set'!C7</f>
        <v>L - ELV systems</v>
      </c>
      <c r="D10" s="55" t="str">
        <f>+'[2]Doc Set'!D7</f>
        <v>07 - Convention centre</v>
      </c>
      <c r="E10" s="55" t="str">
        <f>+'[2]Doc Set'!E7</f>
        <v>COC-SCHEME</v>
      </c>
      <c r="F10" s="180">
        <f>+COUNTIF([2]CC7!M:M,'elv BLG (3)'!E10)</f>
        <v>7</v>
      </c>
      <c r="G10" s="180">
        <f>+COUNTIF([2]CC7!O:O,'elv BLG (3)'!E10)</f>
        <v>0</v>
      </c>
      <c r="H10" s="180">
        <f>+COUNTIF([2]CC7!Q:Q,'elv BLG (3)'!E10)</f>
        <v>0</v>
      </c>
    </row>
    <row r="11" spans="1:10" x14ac:dyDescent="0.3">
      <c r="A11" s="55" t="str">
        <f>+'[2]Doc Set'!A5</f>
        <v>O17203</v>
      </c>
      <c r="B11" s="55" t="str">
        <f>+'[2]Doc Set'!B5</f>
        <v>SP</v>
      </c>
      <c r="C11" s="55" t="str">
        <f>+'[2]Doc Set'!C5</f>
        <v>L - ELV systems</v>
      </c>
      <c r="D11" s="55" t="str">
        <f>+'[2]Doc Set'!D5</f>
        <v>07 - Convention centre</v>
      </c>
      <c r="E11" s="55" t="str">
        <f>+'[2]Doc Set'!E5</f>
        <v>CC-SS_B</v>
      </c>
      <c r="F11" s="180">
        <f>+COUNTIF([2]CC7!M:M,'elv BLG (3)'!E11)</f>
        <v>21</v>
      </c>
      <c r="G11" s="180">
        <f>+COUNTIF([2]CC7!O:O,'elv BLG (3)'!E11)</f>
        <v>28</v>
      </c>
      <c r="H11" s="180">
        <f>+COUNTIF([2]CC7!Q:Q,'elv BLG (3)'!E11)</f>
        <v>28</v>
      </c>
    </row>
    <row r="12" spans="1:10" x14ac:dyDescent="0.3">
      <c r="A12" s="55" t="str">
        <f>+'[2]Doc Set'!A6</f>
        <v>O17203</v>
      </c>
      <c r="B12" s="55" t="str">
        <f>+'[2]Doc Set'!B6</f>
        <v>SP</v>
      </c>
      <c r="C12" s="55" t="str">
        <f>+'[2]Doc Set'!C6</f>
        <v>L - ELV systems</v>
      </c>
      <c r="D12" s="55" t="str">
        <f>+'[2]Doc Set'!D6</f>
        <v>07 - Convention centre</v>
      </c>
      <c r="E12" s="55" t="str">
        <f>+'[2]Doc Set'!E6</f>
        <v>CC-SS_C</v>
      </c>
      <c r="F12" s="180">
        <f>+COUNTIF([2]CC7!M:M,'elv BLG (3)'!E12)</f>
        <v>6</v>
      </c>
      <c r="G12" s="180">
        <f>+COUNTIF([2]CC7!O:O,'elv BLG (3)'!E12)</f>
        <v>6</v>
      </c>
      <c r="H12" s="180">
        <f>+COUNTIF([2]CC7!Q:Q,'elv BLG (3)'!E12)</f>
        <v>6</v>
      </c>
    </row>
    <row r="13" spans="1:10" x14ac:dyDescent="0.3">
      <c r="A13" s="55" t="str">
        <f>+'[2]Doc Set'!A2</f>
        <v>O17203</v>
      </c>
      <c r="B13" s="55" t="str">
        <f>+'[2]Doc Set'!B2</f>
        <v>SP</v>
      </c>
      <c r="C13" s="55" t="str">
        <f>+'[2]Doc Set'!C2</f>
        <v>L - ELV systems</v>
      </c>
      <c r="D13" s="55" t="str">
        <f>+'[2]Doc Set'!D2</f>
        <v>07 - Convention centre</v>
      </c>
      <c r="E13" s="55" t="str">
        <f>+'[2]Doc Set'!E2</f>
        <v>CC-INT_D</v>
      </c>
      <c r="F13" s="180">
        <f>+COUNTIF([2]CC7!M:M,'elv BLG (3)'!E13)</f>
        <v>53</v>
      </c>
      <c r="G13" s="180">
        <f>+COUNTIF([2]CC7!O:O,'elv BLG (3)'!E13)</f>
        <v>53</v>
      </c>
      <c r="H13" s="180">
        <f>+COUNTIF([2]CC7!Q:Q,'elv BLG (3)'!E13)</f>
        <v>53</v>
      </c>
      <c r="J13">
        <v>168</v>
      </c>
    </row>
    <row r="14" spans="1:10" x14ac:dyDescent="0.3">
      <c r="A14" s="55" t="str">
        <f>+'[2]Doc Set'!A3</f>
        <v>O17203</v>
      </c>
      <c r="B14" s="55" t="str">
        <f>+'[2]Doc Set'!B3</f>
        <v>SP</v>
      </c>
      <c r="C14" s="55" t="str">
        <f>+'[2]Doc Set'!C3</f>
        <v>L - ELV systems</v>
      </c>
      <c r="D14" s="55" t="str">
        <f>+'[2]Doc Set'!D3</f>
        <v>07 - Convention centre</v>
      </c>
      <c r="E14" s="55" t="str">
        <f>+'[2]Doc Set'!E3</f>
        <v>CC-INT_E</v>
      </c>
      <c r="F14" s="180">
        <f>+COUNTIF([2]CC7!M:M,'elv BLG (3)'!E14)</f>
        <v>81</v>
      </c>
      <c r="G14" s="180">
        <f>+COUNTIF([2]CC7!O:O,'elv BLG (3)'!E14)</f>
        <v>81</v>
      </c>
      <c r="H14" s="180">
        <f>+COUNTIF([2]CC7!Q:Q,'elv BLG (3)'!E14)</f>
        <v>81</v>
      </c>
    </row>
    <row r="15" spans="1:10" x14ac:dyDescent="0.3">
      <c r="A15" s="55" t="str">
        <f>+'[2]Doc Set'!A4</f>
        <v>O17203</v>
      </c>
      <c r="B15" s="55" t="str">
        <f>+'[2]Doc Set'!B4</f>
        <v>SP</v>
      </c>
      <c r="C15" s="55" t="str">
        <f>+'[2]Doc Set'!C4</f>
        <v>L - ELV systems</v>
      </c>
      <c r="D15" s="55" t="str">
        <f>+'[2]Doc Set'!D4</f>
        <v>38 - CC Parking</v>
      </c>
      <c r="E15" s="55" t="str">
        <f>+'[2]Doc Set'!E4</f>
        <v>CCP-SS_B</v>
      </c>
      <c r="F15" s="180">
        <f>+COUNTIF([2]CCP38!M:M,'elv BLG (3)'!E15)</f>
        <v>12</v>
      </c>
      <c r="G15" s="180">
        <f>+COUNTIF([2]CCP38!O:O,'elv BLG (3)'!E15)</f>
        <v>12</v>
      </c>
      <c r="H15" s="180">
        <f>+COUNTIF([2]CCP38!Q:Q,'elv BLG (3)'!E15)</f>
        <v>12</v>
      </c>
      <c r="J15">
        <v>12</v>
      </c>
    </row>
    <row r="16" spans="1:10" ht="15" customHeight="1" x14ac:dyDescent="0.3">
      <c r="A16" s="55" t="str">
        <f>+'[2]Doc Set'!A20</f>
        <v>O17203</v>
      </c>
      <c r="B16" s="55" t="str">
        <f>+'[2]Doc Set'!B20</f>
        <v>SP</v>
      </c>
      <c r="C16" s="55" t="str">
        <f>+'[2]Doc Set'!C20</f>
        <v>L - ELV systems</v>
      </c>
      <c r="D16" s="55" t="str">
        <f>+'[2]Doc Set'!D20</f>
        <v>00 - MASTER PLAN AND EXTERNAL WORKS</v>
      </c>
      <c r="E16" s="55" t="str">
        <f>+'[2]Doc Set'!E20</f>
        <v>OA-SCHEME</v>
      </c>
      <c r="F16" s="180">
        <f>+COUNTIF([2]MSP00!M:M,'elv BLG (3)'!E16)</f>
        <v>0</v>
      </c>
      <c r="G16" s="180">
        <f>+COUNTIF([2]MSP00!O:O,'elv BLG (3)'!E16)</f>
        <v>0</v>
      </c>
      <c r="H16" s="180">
        <f>+COUNTIF([2]MSP00!Q:Q,'elv BLG (3)'!E16)</f>
        <v>0</v>
      </c>
    </row>
    <row r="17" spans="1:10" ht="15" customHeight="1" x14ac:dyDescent="0.3">
      <c r="A17" s="55" t="str">
        <f>+'[2]Doc Set'!A19</f>
        <v>O17203</v>
      </c>
      <c r="B17" s="55" t="str">
        <f>+'[2]Doc Set'!B19</f>
        <v>SP</v>
      </c>
      <c r="C17" s="55" t="str">
        <f>+'[2]Doc Set'!C19</f>
        <v>L - ELV systems</v>
      </c>
      <c r="D17" s="55" t="str">
        <f>+'[2]Doc Set'!D19</f>
        <v>00 - MASTER PLAN AND EXTERNAL WORKS</v>
      </c>
      <c r="E17" s="55" t="str">
        <f>+'[2]Doc Set'!E19</f>
        <v>MSP-F_A</v>
      </c>
      <c r="F17" s="180">
        <f>+COUNTIF([2]MSP00!M:M,'elv BLG (3)'!E17)</f>
        <v>30</v>
      </c>
      <c r="G17" s="180">
        <f>+COUNTIF([2]MSP00!O:O,'elv BLG (3)'!E17)</f>
        <v>30</v>
      </c>
      <c r="H17" s="180">
        <f>+COUNTIF([2]MSP00!Q:Q,'elv BLG (3)'!E17)</f>
        <v>30</v>
      </c>
      <c r="J17">
        <v>30</v>
      </c>
    </row>
    <row r="18" spans="1:10" ht="15" customHeight="1" x14ac:dyDescent="0.3">
      <c r="A18" s="55" t="str">
        <f>+'[2]Doc Set'!A22</f>
        <v>O17203</v>
      </c>
      <c r="B18" s="55" t="str">
        <f>+'[2]Doc Set'!B22</f>
        <v>SP</v>
      </c>
      <c r="C18" s="55" t="str">
        <f>+'[2]Doc Set'!C22</f>
        <v>L - ELV systems</v>
      </c>
      <c r="D18" s="55" t="str">
        <f>+'[2]Doc Set'!D22</f>
        <v>0A - Service Gallery</v>
      </c>
      <c r="E18" s="55" t="str">
        <f>+'[2]Doc Set'!E22</f>
        <v>SG-SCHEME</v>
      </c>
      <c r="F18" s="180">
        <f>+COUNTIF([2]SG0A!M:M,'elv BLG (3)'!E18)</f>
        <v>0</v>
      </c>
      <c r="G18" s="180">
        <f>+COUNTIF([2]SG0A!O:O,'elv BLG (3)'!E18)</f>
        <v>0</v>
      </c>
      <c r="H18" s="180">
        <f>+COUNTIF([2]SG0A!Q:Q,'elv BLG (3)'!E18)</f>
        <v>0</v>
      </c>
    </row>
    <row r="19" spans="1:10" ht="15" customHeight="1" x14ac:dyDescent="0.3">
      <c r="A19" s="55" t="str">
        <f>+'[2]Doc Set'!A21</f>
        <v>O17203</v>
      </c>
      <c r="B19" s="55" t="str">
        <f>+'[2]Doc Set'!B21</f>
        <v>SP</v>
      </c>
      <c r="C19" s="55" t="str">
        <f>+'[2]Doc Set'!C21</f>
        <v>L - ELV systems</v>
      </c>
      <c r="D19" s="55" t="str">
        <f>+'[2]Doc Set'!D21</f>
        <v>0A - Service Gallery</v>
      </c>
      <c r="E19" s="55" t="str">
        <f>+'[2]Doc Set'!E21</f>
        <v>SG-F_A</v>
      </c>
      <c r="F19" s="180">
        <f>+COUNTIF([2]SG0A!M:M,'elv BLG (3)'!E19)</f>
        <v>11</v>
      </c>
      <c r="G19" s="180">
        <f>+COUNTIF([2]SG0A!O:O,'elv BLG (3)'!E19)</f>
        <v>11</v>
      </c>
      <c r="H19" s="180">
        <f>+COUNTIF([2]SG0A!Q:Q,'elv BLG (3)'!E19)</f>
        <v>11</v>
      </c>
      <c r="J19">
        <v>11</v>
      </c>
    </row>
    <row r="20" spans="1:10" x14ac:dyDescent="0.3">
      <c r="A20" s="55" t="str">
        <f>+'[2]Doc Set'!A9</f>
        <v>O17203</v>
      </c>
      <c r="B20" s="55" t="str">
        <f>+'[2]Doc Set'!B9</f>
        <v>SP</v>
      </c>
      <c r="C20" s="55" t="str">
        <f>+'[2]Doc Set'!C9</f>
        <v>L - ELV systems</v>
      </c>
      <c r="D20" s="55" t="str">
        <f>+'[2]Doc Set'!D9</f>
        <v>30 - DG Yard and Electrical Sub Stations</v>
      </c>
      <c r="E20" s="55" t="str">
        <f>+'[2]Doc Set'!E9</f>
        <v>DG-SCHEME</v>
      </c>
      <c r="F20" s="180">
        <f>+COUNTIF([2]DG30!M:M,'elv BLG (3)'!E20)</f>
        <v>0</v>
      </c>
      <c r="G20" s="180">
        <f>+COUNTIF([2]DG30!O:O,'elv BLG (3)'!E20)</f>
        <v>0</v>
      </c>
      <c r="H20" s="180">
        <f>+COUNTIF([2]DG30!Q:Q,'elv BLG (3)'!E20)</f>
        <v>0</v>
      </c>
    </row>
    <row r="21" spans="1:10" x14ac:dyDescent="0.3">
      <c r="A21" s="55" t="str">
        <f>+'[2]Doc Set'!A8</f>
        <v>O17203</v>
      </c>
      <c r="B21" s="55" t="str">
        <f>+'[2]Doc Set'!B8</f>
        <v>SP</v>
      </c>
      <c r="C21" s="55" t="str">
        <f>+'[2]Doc Set'!C8</f>
        <v>L - ELV systems</v>
      </c>
      <c r="D21" s="55" t="str">
        <f>+'[2]Doc Set'!D8</f>
        <v>30 - DG Yard and Electrical Sub Stations</v>
      </c>
      <c r="E21" s="55" t="str">
        <f>+'[2]Doc Set'!E8</f>
        <v>DG-F_A</v>
      </c>
      <c r="F21" s="180">
        <f>+COUNTIF([2]DG30!M:M,'elv BLG (3)'!E21)</f>
        <v>9</v>
      </c>
      <c r="G21" s="180">
        <f>+COUNTIF([2]DG30!O:O,'elv BLG (3)'!E21)</f>
        <v>9</v>
      </c>
      <c r="H21" s="180">
        <f>+COUNTIF([2]DG30!Q:Q,'elv BLG (3)'!E21)</f>
        <v>9</v>
      </c>
      <c r="J21">
        <v>9</v>
      </c>
    </row>
    <row r="22" spans="1:10" ht="30" customHeight="1" x14ac:dyDescent="0.3">
      <c r="A22" s="55" t="str">
        <f>+'[2]Doc Set'!A18</f>
        <v>O17203</v>
      </c>
      <c r="B22" s="55" t="str">
        <f>+'[2]Doc Set'!B18</f>
        <v>SP</v>
      </c>
      <c r="C22" s="55" t="str">
        <f>+'[2]Doc Set'!C18</f>
        <v>L - ELV systems</v>
      </c>
      <c r="D22" s="55" t="str">
        <f>+'[2]Doc Set'!D18</f>
        <v>31 - Fire Station</v>
      </c>
      <c r="E22" s="55" t="str">
        <f>+'[2]Doc Set'!E18</f>
        <v>FS-F_A</v>
      </c>
      <c r="F22" s="180">
        <f>+COUNTIF([2]FS31!M:M,'elv BLG (3)'!E22)</f>
        <v>2</v>
      </c>
      <c r="G22" s="180">
        <f>+COUNTIF([2]FS31!O:O,'elv BLG (3)'!E22)</f>
        <v>2</v>
      </c>
      <c r="H22" s="180">
        <f>+COUNTIF([2]FS31!Q:Q,'elv BLG (3)'!E22)</f>
        <v>2</v>
      </c>
      <c r="J22">
        <v>2</v>
      </c>
    </row>
    <row r="23" spans="1:10" ht="15" customHeight="1" x14ac:dyDescent="0.3">
      <c r="A23" s="55"/>
      <c r="B23" s="55"/>
      <c r="C23" s="55"/>
      <c r="D23" s="55"/>
      <c r="E23" s="55"/>
      <c r="F23" s="55"/>
      <c r="G23" s="55"/>
      <c r="H23" s="55"/>
    </row>
    <row r="24" spans="1:10" x14ac:dyDescent="0.3">
      <c r="A24" s="55"/>
      <c r="B24" s="55"/>
      <c r="C24" s="55"/>
      <c r="D24" s="55"/>
      <c r="E24" s="55" t="s">
        <v>1329</v>
      </c>
      <c r="F24" s="181">
        <f>SUM(F2:F23)</f>
        <v>441</v>
      </c>
      <c r="G24" s="181">
        <f t="shared" ref="G24:H24" si="0">SUM(G2:G23)</f>
        <v>441</v>
      </c>
      <c r="H24" s="181">
        <f t="shared" si="0"/>
        <v>441</v>
      </c>
      <c r="I24" s="181"/>
      <c r="J24" s="181">
        <f t="shared" ref="J24" si="1">SUM(J2:J23)</f>
        <v>441</v>
      </c>
    </row>
  </sheetData>
  <pageMargins left="0.7" right="0.7" top="0.75" bottom="0.75" header="0.3" footer="0.3"/>
  <pageSetup orientation="portrait" r:id="rId1"/>
  <headerFooter>
    <oddFooter>&amp;L&amp;1#&amp;"Calibri"&amp;8 Sensitivity: LNT Construction Internal Use</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2">
    <pageSetUpPr fitToPage="1"/>
  </sheetPr>
  <dimension ref="B1:J31"/>
  <sheetViews>
    <sheetView view="pageBreakPreview" zoomScale="115" zoomScaleNormal="115" zoomScaleSheetLayoutView="115" workbookViewId="0">
      <selection activeCell="F19" sqref="F19"/>
    </sheetView>
  </sheetViews>
  <sheetFormatPr defaultColWidth="9.109375" defaultRowHeight="14.4" x14ac:dyDescent="0.3"/>
  <cols>
    <col min="1" max="1" width="2.44140625" customWidth="1"/>
    <col min="2" max="2" width="17.44140625" customWidth="1"/>
    <col min="3" max="3" width="50.44140625" customWidth="1"/>
    <col min="4" max="10" width="12.109375" customWidth="1"/>
  </cols>
  <sheetData>
    <row r="1" spans="2:10" ht="17.399999999999999" x14ac:dyDescent="0.3">
      <c r="B1" s="64" t="s">
        <v>68</v>
      </c>
      <c r="C1" s="65"/>
      <c r="D1" s="65"/>
      <c r="E1" s="65"/>
      <c r="F1" s="65"/>
      <c r="G1" s="65"/>
      <c r="H1" s="65"/>
      <c r="I1" s="65"/>
      <c r="J1" s="65"/>
    </row>
    <row r="2" spans="2:10" ht="15.6" x14ac:dyDescent="0.3">
      <c r="B2" s="256" t="s">
        <v>1327</v>
      </c>
      <c r="C2" s="256"/>
      <c r="D2" s="256"/>
      <c r="E2" s="256"/>
      <c r="F2" s="256"/>
      <c r="G2" s="256"/>
      <c r="H2" s="256"/>
      <c r="I2" s="256"/>
      <c r="J2" s="256"/>
    </row>
    <row r="3" spans="2:10" x14ac:dyDescent="0.3">
      <c r="B3" s="67" t="s">
        <v>70</v>
      </c>
      <c r="C3" s="68" t="s">
        <v>71</v>
      </c>
      <c r="D3" s="175" t="s">
        <v>72</v>
      </c>
      <c r="E3" s="257" t="s">
        <v>73</v>
      </c>
      <c r="F3" s="258"/>
      <c r="G3" s="259"/>
      <c r="H3" s="257" t="s">
        <v>74</v>
      </c>
      <c r="I3" s="258"/>
      <c r="J3" s="259"/>
    </row>
    <row r="4" spans="2:10" x14ac:dyDescent="0.3">
      <c r="B4" s="69"/>
      <c r="C4" s="68" t="s">
        <v>75</v>
      </c>
      <c r="D4" s="70" t="s">
        <v>76</v>
      </c>
      <c r="E4" s="70" t="s">
        <v>77</v>
      </c>
      <c r="F4" s="67" t="s">
        <v>78</v>
      </c>
      <c r="G4" s="109" t="s">
        <v>79</v>
      </c>
      <c r="H4" s="70" t="s">
        <v>80</v>
      </c>
      <c r="I4" s="67" t="s">
        <v>81</v>
      </c>
      <c r="J4" s="109" t="s">
        <v>82</v>
      </c>
    </row>
    <row r="5" spans="2:10" x14ac:dyDescent="0.3">
      <c r="B5" s="77"/>
      <c r="C5" s="78"/>
      <c r="D5" s="79"/>
      <c r="E5" s="81"/>
      <c r="F5" s="82"/>
      <c r="G5" s="83"/>
      <c r="H5" s="84"/>
      <c r="I5" s="77"/>
      <c r="J5" s="85"/>
    </row>
    <row r="6" spans="2:10" x14ac:dyDescent="0.3">
      <c r="B6" s="86" t="s">
        <v>83</v>
      </c>
      <c r="C6" s="87" t="s">
        <v>84</v>
      </c>
      <c r="D6" s="88">
        <v>43159</v>
      </c>
      <c r="E6" s="176">
        <v>43187</v>
      </c>
      <c r="F6" s="177">
        <v>43222</v>
      </c>
      <c r="G6" s="93"/>
      <c r="H6" s="176">
        <v>43215</v>
      </c>
      <c r="I6" s="177">
        <v>43257</v>
      </c>
      <c r="J6" s="93"/>
    </row>
    <row r="7" spans="2:10" x14ac:dyDescent="0.3">
      <c r="B7" s="86" t="s">
        <v>85</v>
      </c>
      <c r="C7" s="87" t="s">
        <v>86</v>
      </c>
      <c r="D7" s="88">
        <v>43160</v>
      </c>
      <c r="E7" s="176">
        <v>43188</v>
      </c>
      <c r="F7" s="177">
        <v>43223</v>
      </c>
      <c r="G7" s="93"/>
      <c r="H7" s="176">
        <v>43216</v>
      </c>
      <c r="I7" s="177">
        <v>43258</v>
      </c>
      <c r="J7" s="93"/>
    </row>
    <row r="8" spans="2:10" x14ac:dyDescent="0.3">
      <c r="B8" s="86" t="s">
        <v>87</v>
      </c>
      <c r="C8" s="87" t="s">
        <v>88</v>
      </c>
      <c r="D8" s="88">
        <v>43184</v>
      </c>
      <c r="E8" s="176">
        <v>43212</v>
      </c>
      <c r="F8" s="177">
        <v>43247</v>
      </c>
      <c r="G8" s="93"/>
      <c r="H8" s="176">
        <v>43240</v>
      </c>
      <c r="I8" s="177">
        <v>43282</v>
      </c>
      <c r="J8" s="93"/>
    </row>
    <row r="9" spans="2:10" x14ac:dyDescent="0.3">
      <c r="B9" s="86" t="s">
        <v>89</v>
      </c>
      <c r="C9" s="87" t="s">
        <v>90</v>
      </c>
      <c r="D9" s="88">
        <v>43166</v>
      </c>
      <c r="E9" s="176">
        <v>43199</v>
      </c>
      <c r="F9" s="177">
        <v>43245</v>
      </c>
      <c r="G9" s="93">
        <v>43301</v>
      </c>
      <c r="H9" s="176">
        <v>43229</v>
      </c>
      <c r="I9" s="177">
        <v>43273</v>
      </c>
      <c r="J9" s="93">
        <v>43329</v>
      </c>
    </row>
    <row r="10" spans="2:10" x14ac:dyDescent="0.3">
      <c r="B10" s="86" t="s">
        <v>91</v>
      </c>
      <c r="C10" s="87" t="s">
        <v>92</v>
      </c>
      <c r="D10" s="88">
        <v>43159</v>
      </c>
      <c r="E10" s="176">
        <v>43182</v>
      </c>
      <c r="F10" s="177">
        <v>43213</v>
      </c>
      <c r="G10" s="93"/>
      <c r="H10" s="176">
        <v>43210</v>
      </c>
      <c r="I10" s="177">
        <v>43252</v>
      </c>
      <c r="J10" s="93"/>
    </row>
    <row r="11" spans="2:10" x14ac:dyDescent="0.3">
      <c r="B11" s="86" t="s">
        <v>93</v>
      </c>
      <c r="C11" s="87" t="s">
        <v>94</v>
      </c>
      <c r="D11" s="88">
        <v>43175</v>
      </c>
      <c r="E11" s="176">
        <v>43206</v>
      </c>
      <c r="F11" s="177">
        <v>43236</v>
      </c>
      <c r="G11" s="93"/>
      <c r="H11" s="176">
        <v>43227</v>
      </c>
      <c r="I11" s="177"/>
      <c r="J11" s="93"/>
    </row>
    <row r="12" spans="2:10" x14ac:dyDescent="0.3">
      <c r="B12" s="86" t="s">
        <v>95</v>
      </c>
      <c r="C12" s="87" t="s">
        <v>96</v>
      </c>
      <c r="D12" s="88">
        <v>43195</v>
      </c>
      <c r="E12" s="176">
        <v>43223</v>
      </c>
      <c r="F12" s="177"/>
      <c r="G12" s="93"/>
      <c r="H12" s="176">
        <v>43258</v>
      </c>
      <c r="I12" s="177"/>
      <c r="J12" s="93"/>
    </row>
    <row r="13" spans="2:10" x14ac:dyDescent="0.3">
      <c r="B13" s="86" t="s">
        <v>97</v>
      </c>
      <c r="C13" s="87" t="s">
        <v>98</v>
      </c>
      <c r="D13" s="88">
        <v>43179</v>
      </c>
      <c r="E13" s="176">
        <v>43207</v>
      </c>
      <c r="F13" s="177"/>
      <c r="G13" s="93"/>
      <c r="H13" s="176">
        <v>43242</v>
      </c>
      <c r="I13" s="177"/>
      <c r="J13" s="93"/>
    </row>
    <row r="14" spans="2:10" x14ac:dyDescent="0.3">
      <c r="B14" s="86" t="s">
        <v>99</v>
      </c>
      <c r="C14" s="87" t="s">
        <v>100</v>
      </c>
      <c r="D14" s="88">
        <v>43176</v>
      </c>
      <c r="E14" s="176">
        <v>43204</v>
      </c>
      <c r="F14" s="177"/>
      <c r="G14" s="93"/>
      <c r="H14" s="176">
        <v>43239</v>
      </c>
      <c r="I14" s="177"/>
      <c r="J14" s="93"/>
    </row>
    <row r="15" spans="2:10" x14ac:dyDescent="0.3">
      <c r="B15" s="86" t="s">
        <v>101</v>
      </c>
      <c r="C15" s="87" t="s">
        <v>102</v>
      </c>
      <c r="D15" s="88">
        <v>43187</v>
      </c>
      <c r="E15" s="176">
        <v>43215</v>
      </c>
      <c r="F15" s="177"/>
      <c r="G15" s="93"/>
      <c r="H15" s="176">
        <v>43250</v>
      </c>
      <c r="I15" s="177"/>
      <c r="J15" s="93"/>
    </row>
    <row r="16" spans="2:10" x14ac:dyDescent="0.3">
      <c r="B16" s="97"/>
      <c r="C16" s="97"/>
      <c r="D16" s="98"/>
      <c r="E16" s="97"/>
      <c r="F16" s="97"/>
      <c r="G16" s="97"/>
      <c r="H16" s="97"/>
      <c r="I16" s="97"/>
      <c r="J16" s="97"/>
    </row>
    <row r="17" spans="2:10" x14ac:dyDescent="0.3">
      <c r="B17" s="99" t="s">
        <v>103</v>
      </c>
      <c r="C17" s="99"/>
      <c r="D17" s="98"/>
      <c r="E17" s="97"/>
      <c r="F17" s="97"/>
      <c r="G17" s="97"/>
      <c r="H17" s="97"/>
      <c r="I17" s="97"/>
      <c r="J17" s="97"/>
    </row>
    <row r="18" spans="2:10" ht="15.6" customHeight="1" x14ac:dyDescent="0.3">
      <c r="B18" s="260" t="s">
        <v>1328</v>
      </c>
      <c r="C18" s="260"/>
      <c r="D18" s="260"/>
      <c r="E18" s="260"/>
      <c r="F18" s="260"/>
      <c r="G18" s="260"/>
      <c r="H18" s="178"/>
      <c r="I18" s="178"/>
      <c r="J18" s="178"/>
    </row>
    <row r="19" spans="2:10" ht="15.6" customHeight="1" x14ac:dyDescent="0.3">
      <c r="B19" s="100"/>
      <c r="C19" s="100"/>
      <c r="D19" s="100"/>
      <c r="E19" s="100"/>
      <c r="F19" s="100"/>
      <c r="G19" s="100"/>
      <c r="H19" s="100"/>
      <c r="I19" s="100"/>
      <c r="J19" s="100"/>
    </row>
    <row r="20" spans="2:10" x14ac:dyDescent="0.3">
      <c r="B20" s="99" t="s">
        <v>76</v>
      </c>
      <c r="C20" s="99" t="s">
        <v>105</v>
      </c>
      <c r="D20" s="101"/>
      <c r="E20" s="102"/>
      <c r="F20" s="102"/>
      <c r="G20" s="97"/>
      <c r="H20" s="97"/>
      <c r="I20" s="97"/>
      <c r="J20" s="97"/>
    </row>
    <row r="21" spans="2:10" x14ac:dyDescent="0.3">
      <c r="B21" s="99" t="s">
        <v>106</v>
      </c>
      <c r="C21" s="99" t="s">
        <v>107</v>
      </c>
      <c r="D21" s="101"/>
      <c r="E21" s="102"/>
      <c r="F21" s="102"/>
      <c r="G21" s="97"/>
      <c r="H21" s="97"/>
      <c r="I21" s="97"/>
      <c r="J21" s="97"/>
    </row>
    <row r="22" spans="2:10" x14ac:dyDescent="0.3">
      <c r="B22" s="99" t="s">
        <v>108</v>
      </c>
      <c r="C22" s="99" t="s">
        <v>109</v>
      </c>
      <c r="D22" s="101"/>
      <c r="E22" s="102"/>
      <c r="F22" s="102"/>
      <c r="G22" s="97"/>
      <c r="H22" s="97"/>
      <c r="I22" s="97"/>
      <c r="J22" s="97"/>
    </row>
    <row r="23" spans="2:10" x14ac:dyDescent="0.3">
      <c r="B23" s="99" t="s">
        <v>78</v>
      </c>
      <c r="C23" s="99" t="s">
        <v>110</v>
      </c>
      <c r="D23" s="101"/>
      <c r="E23" s="102"/>
      <c r="F23" s="102"/>
    </row>
    <row r="24" spans="2:10" x14ac:dyDescent="0.3">
      <c r="D24" s="101"/>
      <c r="E24" s="102"/>
      <c r="F24" s="102"/>
    </row>
    <row r="25" spans="2:10" x14ac:dyDescent="0.3">
      <c r="B25" s="104" t="s">
        <v>111</v>
      </c>
      <c r="D25" s="101"/>
      <c r="E25" s="102"/>
      <c r="F25" s="102"/>
    </row>
    <row r="26" spans="2:10" ht="30.15" customHeight="1" x14ac:dyDescent="0.3">
      <c r="B26" s="179">
        <v>1</v>
      </c>
      <c r="C26" s="255" t="s">
        <v>112</v>
      </c>
      <c r="D26" s="255"/>
      <c r="E26" s="255"/>
      <c r="F26" s="255"/>
      <c r="G26" s="255"/>
      <c r="H26" s="255"/>
      <c r="I26" s="255"/>
      <c r="J26" s="255"/>
    </row>
    <row r="27" spans="2:10" ht="30.15" customHeight="1" x14ac:dyDescent="0.3">
      <c r="B27" s="179">
        <v>2</v>
      </c>
      <c r="C27" s="255" t="s">
        <v>113</v>
      </c>
      <c r="D27" s="255"/>
      <c r="E27" s="255"/>
      <c r="F27" s="255"/>
      <c r="G27" s="255"/>
      <c r="H27" s="255"/>
      <c r="I27" s="255"/>
      <c r="J27" s="255"/>
    </row>
    <row r="28" spans="2:10" ht="30.75" customHeight="1" x14ac:dyDescent="0.3">
      <c r="B28" s="179">
        <v>3</v>
      </c>
      <c r="C28" s="255" t="s">
        <v>114</v>
      </c>
      <c r="D28" s="255"/>
      <c r="E28" s="255"/>
      <c r="F28" s="255"/>
      <c r="G28" s="255"/>
      <c r="H28" s="255"/>
      <c r="I28" s="255"/>
      <c r="J28" s="255"/>
    </row>
    <row r="29" spans="2:10" ht="26.4" customHeight="1" x14ac:dyDescent="0.3">
      <c r="B29" s="179">
        <v>4</v>
      </c>
      <c r="C29" s="255" t="s">
        <v>115</v>
      </c>
      <c r="D29" s="255"/>
      <c r="E29" s="255"/>
      <c r="F29" s="255"/>
      <c r="G29" s="255"/>
      <c r="H29" s="255"/>
      <c r="I29" s="255"/>
      <c r="J29" s="255"/>
    </row>
    <row r="30" spans="2:10" x14ac:dyDescent="0.3">
      <c r="B30" s="179">
        <v>5</v>
      </c>
      <c r="C30" s="255" t="s">
        <v>116</v>
      </c>
      <c r="D30" s="255"/>
      <c r="E30" s="255"/>
      <c r="F30" s="255"/>
      <c r="G30" s="255"/>
      <c r="H30" s="255"/>
      <c r="I30" s="255"/>
      <c r="J30" s="255"/>
    </row>
    <row r="31" spans="2:10" x14ac:dyDescent="0.3">
      <c r="C31" s="106"/>
      <c r="D31" s="106"/>
      <c r="E31" s="106"/>
      <c r="F31" s="106"/>
      <c r="G31" s="106"/>
      <c r="H31" s="106"/>
      <c r="I31" s="106"/>
      <c r="J31" s="106"/>
    </row>
  </sheetData>
  <mergeCells count="9">
    <mergeCell ref="C28:J28"/>
    <mergeCell ref="C29:J29"/>
    <mergeCell ref="C30:J30"/>
    <mergeCell ref="B2:J2"/>
    <mergeCell ref="E3:G3"/>
    <mergeCell ref="H3:J3"/>
    <mergeCell ref="B18:G18"/>
    <mergeCell ref="C26:J26"/>
    <mergeCell ref="C27:J27"/>
  </mergeCells>
  <pageMargins left="0.7" right="0.7" top="0.75" bottom="0.75" header="0.3" footer="0.3"/>
  <pageSetup paperSize="8" orientation="landscape" r:id="rId1"/>
  <headerFooter>
    <oddFooter>&amp;L&amp;1#&amp;"Calibri"&amp;8 Sensitivity: LNT Construction Internal Use</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K22"/>
  <sheetViews>
    <sheetView zoomScale="70" zoomScaleNormal="70" workbookViewId="0">
      <selection activeCell="A21" sqref="A21:XFD21"/>
    </sheetView>
  </sheetViews>
  <sheetFormatPr defaultRowHeight="14.4" x14ac:dyDescent="0.3"/>
  <cols>
    <col min="1" max="1" width="11.44140625" bestFit="1" customWidth="1"/>
    <col min="2" max="2" width="12" bestFit="1" customWidth="1"/>
    <col min="3" max="3" width="13.44140625" bestFit="1" customWidth="1"/>
    <col min="4" max="4" width="59.88671875" bestFit="1" customWidth="1"/>
    <col min="5" max="5" width="22.44140625" customWidth="1"/>
    <col min="6" max="6" width="9.88671875" bestFit="1" customWidth="1"/>
    <col min="7" max="8" width="10.109375" bestFit="1" customWidth="1"/>
    <col min="9" max="9" width="10.88671875" bestFit="1" customWidth="1"/>
    <col min="10" max="10" width="10.6640625" customWidth="1"/>
    <col min="11" max="11" width="9.6640625" customWidth="1"/>
  </cols>
  <sheetData>
    <row r="1" spans="1:11" s="136" customFormat="1" x14ac:dyDescent="0.3">
      <c r="A1" s="136" t="s">
        <v>174</v>
      </c>
      <c r="B1" s="136" t="s">
        <v>176</v>
      </c>
      <c r="C1" s="136" t="s">
        <v>175</v>
      </c>
      <c r="D1" s="136" t="s">
        <v>177</v>
      </c>
      <c r="E1" s="136" t="s">
        <v>1319</v>
      </c>
      <c r="F1" s="136" t="s">
        <v>34</v>
      </c>
      <c r="G1" s="168" t="s">
        <v>67</v>
      </c>
      <c r="H1" s="136" t="s">
        <v>133</v>
      </c>
      <c r="J1" s="136" t="s">
        <v>1320</v>
      </c>
    </row>
    <row r="2" spans="1:11" x14ac:dyDescent="0.3">
      <c r="A2" s="55" t="s">
        <v>40</v>
      </c>
      <c r="B2" s="55" t="s">
        <v>191</v>
      </c>
      <c r="C2" s="55" t="s">
        <v>1321</v>
      </c>
      <c r="D2" s="169" t="s">
        <v>166</v>
      </c>
      <c r="E2" s="55" t="s">
        <v>199</v>
      </c>
      <c r="F2" s="170" t="s">
        <v>1322</v>
      </c>
      <c r="G2" s="171">
        <f>+'[2]L &amp; T MASTER'!E54</f>
        <v>43437</v>
      </c>
      <c r="H2" s="171">
        <f>+'[2]L &amp; T MASTER'!G54</f>
        <v>43514</v>
      </c>
    </row>
    <row r="3" spans="1:11" x14ac:dyDescent="0.3">
      <c r="A3" s="55" t="s">
        <v>40</v>
      </c>
      <c r="B3" s="55" t="s">
        <v>191</v>
      </c>
      <c r="C3" s="55" t="s">
        <v>1321</v>
      </c>
      <c r="D3" s="169" t="s">
        <v>166</v>
      </c>
      <c r="E3" s="55" t="s">
        <v>306</v>
      </c>
      <c r="F3" s="170" t="s">
        <v>1322</v>
      </c>
      <c r="G3" s="171">
        <f>+'[2]L &amp; T MASTER'!F54</f>
        <v>43489</v>
      </c>
      <c r="H3" s="171">
        <f>+'[2]L &amp; T MASTER'!H54</f>
        <v>43542</v>
      </c>
    </row>
    <row r="4" spans="1:11" x14ac:dyDescent="0.3">
      <c r="A4" s="55" t="s">
        <v>40</v>
      </c>
      <c r="B4" s="55" t="s">
        <v>191</v>
      </c>
      <c r="C4" s="55" t="s">
        <v>1321</v>
      </c>
      <c r="D4" s="172" t="s">
        <v>167</v>
      </c>
      <c r="E4" s="55" t="s">
        <v>1159</v>
      </c>
      <c r="F4" s="173" t="s">
        <v>1322</v>
      </c>
      <c r="G4" s="173">
        <f>+'[2]L &amp; T MASTER'!G10</f>
        <v>43260</v>
      </c>
      <c r="H4" s="173">
        <f>+'[2]L &amp; T MASTER'!J10</f>
        <v>43299</v>
      </c>
      <c r="J4">
        <f ca="1">+G4-TODAY()</f>
        <v>32</v>
      </c>
      <c r="K4">
        <f>+H4-G4</f>
        <v>39</v>
      </c>
    </row>
    <row r="5" spans="1:11" x14ac:dyDescent="0.3">
      <c r="A5" s="55" t="s">
        <v>40</v>
      </c>
      <c r="B5" s="55" t="s">
        <v>191</v>
      </c>
      <c r="C5" s="55" t="s">
        <v>1321</v>
      </c>
      <c r="D5" s="169" t="s">
        <v>166</v>
      </c>
      <c r="E5" s="55" t="s">
        <v>560</v>
      </c>
      <c r="F5" s="170" t="s">
        <v>1322</v>
      </c>
      <c r="G5" s="170">
        <f>+'[2]L &amp; T MASTER'!G9</f>
        <v>43278</v>
      </c>
      <c r="H5" s="170">
        <f>+'[2]L &amp; T MASTER'!J9</f>
        <v>43308</v>
      </c>
      <c r="J5">
        <f t="shared" ref="J5:J22" ca="1" si="0">+G5-TODAY()</f>
        <v>50</v>
      </c>
      <c r="K5">
        <f t="shared" ref="K5:K22" si="1">+H5-G5</f>
        <v>30</v>
      </c>
    </row>
    <row r="6" spans="1:11" x14ac:dyDescent="0.3">
      <c r="A6" s="55" t="s">
        <v>40</v>
      </c>
      <c r="B6" s="55" t="s">
        <v>191</v>
      </c>
      <c r="C6" s="55" t="s">
        <v>1321</v>
      </c>
      <c r="D6" s="169" t="s">
        <v>166</v>
      </c>
      <c r="E6" s="55" t="s">
        <v>647</v>
      </c>
      <c r="F6" s="170" t="s">
        <v>1322</v>
      </c>
      <c r="G6" s="173">
        <f>+'[2]L &amp; T MASTER'!H9</f>
        <v>43343</v>
      </c>
      <c r="H6" s="173">
        <f>+'[2]L &amp; T MASTER'!K9</f>
        <v>43371</v>
      </c>
      <c r="J6">
        <f t="shared" ca="1" si="0"/>
        <v>115</v>
      </c>
      <c r="K6">
        <f t="shared" si="1"/>
        <v>28</v>
      </c>
    </row>
    <row r="7" spans="1:11" x14ac:dyDescent="0.3">
      <c r="A7" s="55" t="s">
        <v>40</v>
      </c>
      <c r="B7" s="55" t="s">
        <v>191</v>
      </c>
      <c r="C7" s="55" t="s">
        <v>1321</v>
      </c>
      <c r="D7" s="169" t="s">
        <v>166</v>
      </c>
      <c r="E7" s="55" t="s">
        <v>559</v>
      </c>
      <c r="F7" s="173">
        <v>43185</v>
      </c>
      <c r="G7" s="170">
        <f>+'[2]L &amp; T MASTER'!G9</f>
        <v>43278</v>
      </c>
      <c r="H7" s="170">
        <f>+'[2]L &amp; T MASTER'!J9</f>
        <v>43308</v>
      </c>
      <c r="J7">
        <f t="shared" ca="1" si="0"/>
        <v>50</v>
      </c>
      <c r="K7">
        <f t="shared" si="1"/>
        <v>30</v>
      </c>
    </row>
    <row r="8" spans="1:11" x14ac:dyDescent="0.3">
      <c r="A8" s="55" t="s">
        <v>40</v>
      </c>
      <c r="B8" s="55" t="s">
        <v>191</v>
      </c>
      <c r="C8" s="55" t="s">
        <v>1321</v>
      </c>
      <c r="D8" s="169" t="s">
        <v>170</v>
      </c>
      <c r="E8" s="55" t="s">
        <v>1296</v>
      </c>
      <c r="F8" s="173" t="s">
        <v>1322</v>
      </c>
      <c r="G8" s="173">
        <f>+'[2]L &amp; T MASTER'!G14</f>
        <v>43266</v>
      </c>
      <c r="H8" s="173">
        <f>+'[2]L &amp; T MASTER'!J14</f>
        <v>43350</v>
      </c>
      <c r="J8">
        <f t="shared" ca="1" si="0"/>
        <v>38</v>
      </c>
      <c r="K8">
        <f t="shared" si="1"/>
        <v>84</v>
      </c>
    </row>
    <row r="9" spans="1:11" x14ac:dyDescent="0.3">
      <c r="A9" s="55" t="s">
        <v>40</v>
      </c>
      <c r="B9" s="55" t="s">
        <v>191</v>
      </c>
      <c r="C9" s="55" t="s">
        <v>1321</v>
      </c>
      <c r="D9" s="169" t="s">
        <v>170</v>
      </c>
      <c r="E9" s="55" t="s">
        <v>1323</v>
      </c>
      <c r="F9" s="173">
        <v>43185</v>
      </c>
      <c r="G9" s="173">
        <f>+'[2]L &amp; T MASTER'!G14</f>
        <v>43266</v>
      </c>
      <c r="H9" s="173">
        <f>+'[2]L &amp; T MASTER'!J14</f>
        <v>43350</v>
      </c>
      <c r="J9">
        <f t="shared" ca="1" si="0"/>
        <v>38</v>
      </c>
      <c r="K9">
        <f t="shared" si="1"/>
        <v>84</v>
      </c>
    </row>
    <row r="10" spans="1:11" x14ac:dyDescent="0.3">
      <c r="A10" s="55" t="s">
        <v>40</v>
      </c>
      <c r="B10" s="55" t="s">
        <v>191</v>
      </c>
      <c r="C10" s="55" t="s">
        <v>1321</v>
      </c>
      <c r="D10" s="172" t="s">
        <v>162</v>
      </c>
      <c r="E10" s="55" t="s">
        <v>714</v>
      </c>
      <c r="F10" s="171" t="s">
        <v>1322</v>
      </c>
      <c r="G10" s="171">
        <f>+'[2]L &amp; T MASTER'!E52</f>
        <v>43493</v>
      </c>
      <c r="H10" s="171">
        <f>+'[2]L &amp; T MASTER'!G52</f>
        <v>43521</v>
      </c>
      <c r="J10">
        <f t="shared" ca="1" si="0"/>
        <v>265</v>
      </c>
      <c r="K10">
        <f t="shared" si="1"/>
        <v>28</v>
      </c>
    </row>
    <row r="11" spans="1:11" x14ac:dyDescent="0.3">
      <c r="A11" s="55" t="s">
        <v>40</v>
      </c>
      <c r="B11" s="55" t="s">
        <v>191</v>
      </c>
      <c r="C11" s="55" t="s">
        <v>1321</v>
      </c>
      <c r="D11" s="172" t="s">
        <v>162</v>
      </c>
      <c r="E11" s="55" t="s">
        <v>860</v>
      </c>
      <c r="F11" s="173">
        <v>43160</v>
      </c>
      <c r="G11" s="170">
        <f>+'[2]L &amp; T MASTER'!G6</f>
        <v>43295</v>
      </c>
      <c r="H11" s="170">
        <f>+'[2]L &amp; T MASTER'!J6</f>
        <v>43340</v>
      </c>
      <c r="J11">
        <f t="shared" ca="1" si="0"/>
        <v>67</v>
      </c>
      <c r="K11">
        <f t="shared" si="1"/>
        <v>45</v>
      </c>
    </row>
    <row r="12" spans="1:11" x14ac:dyDescent="0.3">
      <c r="A12" s="55" t="s">
        <v>40</v>
      </c>
      <c r="B12" s="55" t="s">
        <v>191</v>
      </c>
      <c r="C12" s="55" t="s">
        <v>1321</v>
      </c>
      <c r="D12" s="172" t="s">
        <v>162</v>
      </c>
      <c r="E12" s="55" t="s">
        <v>844</v>
      </c>
      <c r="F12" s="170" t="s">
        <v>1322</v>
      </c>
      <c r="G12" s="170">
        <f>+'[2]L &amp; T MASTER'!G6</f>
        <v>43295</v>
      </c>
      <c r="H12" s="170">
        <f>+'[2]L &amp; T MASTER'!J6</f>
        <v>43340</v>
      </c>
      <c r="J12">
        <f t="shared" ca="1" si="0"/>
        <v>67</v>
      </c>
      <c r="K12">
        <f t="shared" si="1"/>
        <v>45</v>
      </c>
    </row>
    <row r="13" spans="1:11" x14ac:dyDescent="0.3">
      <c r="A13" s="55" t="s">
        <v>40</v>
      </c>
      <c r="B13" s="55" t="s">
        <v>191</v>
      </c>
      <c r="C13" s="55" t="s">
        <v>1321</v>
      </c>
      <c r="D13" s="169" t="s">
        <v>164</v>
      </c>
      <c r="E13" s="55" t="s">
        <v>931</v>
      </c>
      <c r="F13" s="171" t="s">
        <v>1322</v>
      </c>
      <c r="G13" s="171">
        <f>+'[2]L &amp; T MASTER'!E53</f>
        <v>43500</v>
      </c>
      <c r="H13" s="171">
        <f>+'[2]L &amp; T MASTER'!G53</f>
        <v>43528</v>
      </c>
      <c r="J13">
        <f t="shared" ca="1" si="0"/>
        <v>272</v>
      </c>
      <c r="K13">
        <f t="shared" si="1"/>
        <v>28</v>
      </c>
    </row>
    <row r="14" spans="1:11" x14ac:dyDescent="0.3">
      <c r="A14" s="55" t="s">
        <v>40</v>
      </c>
      <c r="B14" s="55" t="s">
        <v>191</v>
      </c>
      <c r="C14" s="55" t="s">
        <v>1321</v>
      </c>
      <c r="D14" s="169" t="s">
        <v>164</v>
      </c>
      <c r="E14" s="55" t="s">
        <v>1064</v>
      </c>
      <c r="F14" s="173">
        <v>43160</v>
      </c>
      <c r="G14" s="170">
        <f>+'[2]L &amp; T MASTER'!G7</f>
        <v>43305</v>
      </c>
      <c r="H14" s="170">
        <f>+'[2]L &amp; T MASTER'!J7</f>
        <v>43350</v>
      </c>
      <c r="J14">
        <f t="shared" ca="1" si="0"/>
        <v>77</v>
      </c>
      <c r="K14">
        <f t="shared" si="1"/>
        <v>45</v>
      </c>
    </row>
    <row r="15" spans="1:11" x14ac:dyDescent="0.3">
      <c r="A15" s="55" t="s">
        <v>40</v>
      </c>
      <c r="B15" s="55" t="s">
        <v>191</v>
      </c>
      <c r="C15" s="55" t="s">
        <v>1321</v>
      </c>
      <c r="D15" s="169" t="s">
        <v>164</v>
      </c>
      <c r="E15" s="55" t="s">
        <v>1042</v>
      </c>
      <c r="F15" s="170" t="s">
        <v>1322</v>
      </c>
      <c r="G15" s="170">
        <f>+'[2]L &amp; T MASTER'!G7</f>
        <v>43305</v>
      </c>
      <c r="H15" s="170">
        <f>+'[2]L &amp; T MASTER'!J7</f>
        <v>43350</v>
      </c>
      <c r="J15">
        <f t="shared" ca="1" si="0"/>
        <v>77</v>
      </c>
      <c r="K15">
        <f t="shared" si="1"/>
        <v>45</v>
      </c>
    </row>
    <row r="16" spans="1:11" x14ac:dyDescent="0.3">
      <c r="A16" s="55" t="s">
        <v>40</v>
      </c>
      <c r="B16" s="55" t="s">
        <v>191</v>
      </c>
      <c r="C16" s="55" t="s">
        <v>1321</v>
      </c>
      <c r="D16" s="172" t="s">
        <v>165</v>
      </c>
      <c r="E16" s="55" t="s">
        <v>1324</v>
      </c>
      <c r="F16" s="173">
        <v>43185</v>
      </c>
      <c r="G16" s="170">
        <f>+'[2]L &amp; T MASTER'!G8</f>
        <v>43259</v>
      </c>
      <c r="H16" s="170">
        <f>+'[2]L &amp; T MASTER'!J8</f>
        <v>43313</v>
      </c>
      <c r="J16">
        <f t="shared" ca="1" si="0"/>
        <v>31</v>
      </c>
      <c r="K16">
        <f t="shared" si="1"/>
        <v>54</v>
      </c>
    </row>
    <row r="17" spans="1:11" x14ac:dyDescent="0.3">
      <c r="A17" s="55" t="s">
        <v>40</v>
      </c>
      <c r="B17" s="55" t="s">
        <v>191</v>
      </c>
      <c r="C17" s="55" t="s">
        <v>1321</v>
      </c>
      <c r="D17" s="172" t="s">
        <v>165</v>
      </c>
      <c r="E17" s="55" t="s">
        <v>1117</v>
      </c>
      <c r="F17" s="170" t="s">
        <v>1322</v>
      </c>
      <c r="G17" s="170">
        <f>+'[2]L &amp; T MASTER'!G8</f>
        <v>43259</v>
      </c>
      <c r="H17" s="170">
        <f>+'[2]L &amp; T MASTER'!J8</f>
        <v>43313</v>
      </c>
      <c r="J17">
        <f t="shared" ca="1" si="0"/>
        <v>31</v>
      </c>
      <c r="K17">
        <f t="shared" si="1"/>
        <v>54</v>
      </c>
    </row>
    <row r="18" spans="1:11" x14ac:dyDescent="0.3">
      <c r="A18" s="55" t="s">
        <v>40</v>
      </c>
      <c r="B18" s="55" t="s">
        <v>191</v>
      </c>
      <c r="C18" s="55" t="s">
        <v>1321</v>
      </c>
      <c r="D18" s="172" t="s">
        <v>171</v>
      </c>
      <c r="E18" s="55" t="s">
        <v>1316</v>
      </c>
      <c r="F18" s="173" t="s">
        <v>1322</v>
      </c>
      <c r="G18" s="173">
        <f>+'[2]L &amp; T MASTER'!G15</f>
        <v>43278</v>
      </c>
      <c r="H18" s="173">
        <f>+'[2]L &amp; T MASTER'!J15</f>
        <v>43346</v>
      </c>
      <c r="J18">
        <f t="shared" ca="1" si="0"/>
        <v>50</v>
      </c>
      <c r="K18">
        <f t="shared" si="1"/>
        <v>68</v>
      </c>
    </row>
    <row r="19" spans="1:11" ht="15" customHeight="1" x14ac:dyDescent="0.3">
      <c r="A19" s="55" t="s">
        <v>40</v>
      </c>
      <c r="B19" s="55" t="s">
        <v>191</v>
      </c>
      <c r="C19" s="55" t="s">
        <v>1321</v>
      </c>
      <c r="D19" s="169" t="s">
        <v>168</v>
      </c>
      <c r="E19" s="55" t="s">
        <v>1186</v>
      </c>
      <c r="F19" s="173" t="s">
        <v>1322</v>
      </c>
      <c r="G19" s="170">
        <f>+'[2]L &amp; T MASTER'!E55</f>
        <v>43451</v>
      </c>
      <c r="H19" s="170">
        <f>+'[2]L &amp; T MASTER'!G55</f>
        <v>43479</v>
      </c>
      <c r="J19">
        <f t="shared" ca="1" si="0"/>
        <v>223</v>
      </c>
      <c r="K19">
        <f t="shared" si="1"/>
        <v>28</v>
      </c>
    </row>
    <row r="20" spans="1:11" x14ac:dyDescent="0.3">
      <c r="A20" s="55" t="s">
        <v>40</v>
      </c>
      <c r="B20" s="55" t="s">
        <v>191</v>
      </c>
      <c r="C20" s="55" t="s">
        <v>1321</v>
      </c>
      <c r="D20" s="169" t="s">
        <v>168</v>
      </c>
      <c r="E20" s="174" t="s">
        <v>1325</v>
      </c>
      <c r="F20" s="173" t="s">
        <v>1322</v>
      </c>
      <c r="G20" s="173">
        <f>+G19</f>
        <v>43451</v>
      </c>
      <c r="H20" s="173">
        <f>+H19</f>
        <v>43479</v>
      </c>
      <c r="J20">
        <f t="shared" ca="1" si="0"/>
        <v>223</v>
      </c>
      <c r="K20">
        <f t="shared" si="1"/>
        <v>28</v>
      </c>
    </row>
    <row r="21" spans="1:11" x14ac:dyDescent="0.3">
      <c r="A21" s="55" t="s">
        <v>40</v>
      </c>
      <c r="B21" s="55" t="s">
        <v>191</v>
      </c>
      <c r="C21" s="55" t="s">
        <v>1321</v>
      </c>
      <c r="D21" s="172" t="s">
        <v>169</v>
      </c>
      <c r="E21" s="55" t="s">
        <v>1271</v>
      </c>
      <c r="F21" s="170" t="s">
        <v>1322</v>
      </c>
      <c r="G21" s="170">
        <f>+'[2]L &amp; T MASTER'!G12</f>
        <v>43329</v>
      </c>
      <c r="H21" s="170">
        <f>+'[2]L &amp; T MASTER'!J12</f>
        <v>43381</v>
      </c>
      <c r="J21">
        <f t="shared" ca="1" si="0"/>
        <v>101</v>
      </c>
      <c r="K21">
        <f t="shared" si="1"/>
        <v>52</v>
      </c>
    </row>
    <row r="22" spans="1:11" x14ac:dyDescent="0.3">
      <c r="A22" s="55" t="s">
        <v>40</v>
      </c>
      <c r="B22" s="55" t="s">
        <v>191</v>
      </c>
      <c r="C22" s="55" t="s">
        <v>1321</v>
      </c>
      <c r="D22" s="172" t="s">
        <v>169</v>
      </c>
      <c r="E22" s="55" t="s">
        <v>1326</v>
      </c>
      <c r="F22" s="170">
        <v>43195</v>
      </c>
      <c r="G22" s="170">
        <f>+G21</f>
        <v>43329</v>
      </c>
      <c r="H22" s="170">
        <f>+H21</f>
        <v>43381</v>
      </c>
      <c r="J22">
        <f t="shared" ca="1" si="0"/>
        <v>101</v>
      </c>
      <c r="K22">
        <f t="shared" si="1"/>
        <v>52</v>
      </c>
    </row>
  </sheetData>
  <autoFilter ref="D1:H22"/>
  <pageMargins left="0.7" right="0.7" top="0.75" bottom="0.75" header="0.3" footer="0.3"/>
  <pageSetup orientation="portrait" r:id="rId1"/>
  <headerFooter>
    <oddFooter>&amp;L&amp;1#&amp;"Calibri"&amp;8 Sensitivity: LNT Construction Internal Use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S3"/>
  <sheetViews>
    <sheetView zoomScaleNormal="100" workbookViewId="0">
      <selection activeCell="H86" sqref="H86:H98"/>
    </sheetView>
  </sheetViews>
  <sheetFormatPr defaultRowHeight="14.4" x14ac:dyDescent="0.3"/>
  <cols>
    <col min="1" max="1" width="11.44140625" bestFit="1" customWidth="1"/>
    <col min="3" max="3" width="11.109375" bestFit="1" customWidth="1"/>
    <col min="4" max="4" width="11.33203125" style="155" bestFit="1" customWidth="1"/>
    <col min="5" max="5" width="10.5546875" bestFit="1" customWidth="1"/>
    <col min="6" max="6" width="8.5546875" bestFit="1" customWidth="1"/>
    <col min="8" max="8" width="22.5546875" bestFit="1" customWidth="1"/>
    <col min="10" max="10" width="56.5546875" bestFit="1" customWidth="1"/>
    <col min="11" max="11" width="11.6640625" bestFit="1" customWidth="1"/>
    <col min="12" max="12" width="20.44140625" bestFit="1" customWidth="1"/>
    <col min="15" max="15" width="9.109375" customWidth="1"/>
    <col min="16" max="16" width="11.33203125" customWidth="1"/>
    <col min="17" max="17" width="0" hidden="1" customWidth="1"/>
    <col min="18" max="18" width="12.44140625" bestFit="1" customWidth="1"/>
    <col min="19" max="19" width="0" hidden="1" customWidth="1"/>
  </cols>
  <sheetData>
    <row r="1" spans="1:19" s="136" customFormat="1" x14ac:dyDescent="0.3">
      <c r="A1" s="136" t="s">
        <v>174</v>
      </c>
      <c r="B1" s="136" t="s">
        <v>175</v>
      </c>
      <c r="C1" s="136" t="s">
        <v>176</v>
      </c>
      <c r="D1" s="137" t="s">
        <v>177</v>
      </c>
      <c r="E1" s="136" t="s">
        <v>178</v>
      </c>
      <c r="F1" s="136" t="s">
        <v>179</v>
      </c>
      <c r="G1" s="136" t="s">
        <v>180</v>
      </c>
      <c r="H1" s="136" t="s">
        <v>181</v>
      </c>
      <c r="I1" s="136" t="s">
        <v>182</v>
      </c>
      <c r="J1" s="136" t="s">
        <v>183</v>
      </c>
      <c r="K1" s="136" t="s">
        <v>184</v>
      </c>
      <c r="L1" s="136" t="s">
        <v>185</v>
      </c>
      <c r="M1" s="136" t="s">
        <v>34</v>
      </c>
      <c r="N1" s="136" t="s">
        <v>186</v>
      </c>
      <c r="O1" s="136" t="s">
        <v>67</v>
      </c>
      <c r="P1" s="136" t="s">
        <v>187</v>
      </c>
      <c r="Q1" s="136" t="s">
        <v>133</v>
      </c>
      <c r="R1" s="136" t="s">
        <v>188</v>
      </c>
      <c r="S1" s="136" t="s">
        <v>189</v>
      </c>
    </row>
    <row r="2" spans="1:19" x14ac:dyDescent="0.3">
      <c r="A2" t="s">
        <v>40</v>
      </c>
      <c r="B2" t="s">
        <v>190</v>
      </c>
      <c r="C2" t="s">
        <v>191</v>
      </c>
      <c r="D2" s="165" t="s">
        <v>1313</v>
      </c>
      <c r="E2" t="s">
        <v>193</v>
      </c>
      <c r="F2" t="s">
        <v>194</v>
      </c>
      <c r="G2" t="s">
        <v>240</v>
      </c>
      <c r="H2" t="s">
        <v>1314</v>
      </c>
      <c r="I2" s="166" t="s">
        <v>51</v>
      </c>
      <c r="J2" s="167" t="s">
        <v>1315</v>
      </c>
      <c r="K2">
        <v>20038918</v>
      </c>
      <c r="L2" s="55" t="s">
        <v>198</v>
      </c>
      <c r="M2" s="141" t="str">
        <f>+O2</f>
        <v>FS-F_A</v>
      </c>
      <c r="N2" s="142" t="str">
        <f>LOOKUP(M2,'[2]Doc Set'!E:E,'[2]Doc Set'!F:F)</f>
        <v>_</v>
      </c>
      <c r="O2" s="141" t="s">
        <v>1316</v>
      </c>
      <c r="P2" s="142">
        <f>+LOOKUP(O2,'[2]Doc Set'!E:E,'[2]Doc Set'!G:G)</f>
        <v>43278</v>
      </c>
      <c r="Q2" s="55" t="str">
        <f>+O2</f>
        <v>FS-F_A</v>
      </c>
      <c r="R2" s="142">
        <f>+LOOKUP(Q2,'[2]Doc Set'!E:E,'[2]Doc Set'!H:H)</f>
        <v>43346</v>
      </c>
      <c r="S2" s="143" t="s">
        <v>200</v>
      </c>
    </row>
    <row r="3" spans="1:19" x14ac:dyDescent="0.3">
      <c r="A3" t="s">
        <v>40</v>
      </c>
      <c r="B3" t="s">
        <v>190</v>
      </c>
      <c r="C3" t="s">
        <v>191</v>
      </c>
      <c r="D3" s="165" t="s">
        <v>1313</v>
      </c>
      <c r="E3" t="s">
        <v>193</v>
      </c>
      <c r="F3" t="s">
        <v>194</v>
      </c>
      <c r="G3" t="s">
        <v>243</v>
      </c>
      <c r="H3" t="s">
        <v>1317</v>
      </c>
      <c r="I3" s="166" t="s">
        <v>51</v>
      </c>
      <c r="J3" s="167" t="s">
        <v>1318</v>
      </c>
      <c r="K3">
        <v>20038918</v>
      </c>
      <c r="L3" s="55" t="s">
        <v>198</v>
      </c>
      <c r="M3" s="141" t="str">
        <f>+O3</f>
        <v>FS-F_A</v>
      </c>
      <c r="N3" s="142" t="str">
        <f>LOOKUP(M3,'[2]Doc Set'!E:E,'[2]Doc Set'!F:F)</f>
        <v>_</v>
      </c>
      <c r="O3" s="141" t="s">
        <v>1316</v>
      </c>
      <c r="P3" s="142">
        <f>+LOOKUP(O3,'[2]Doc Set'!E:E,'[2]Doc Set'!G:G)</f>
        <v>43278</v>
      </c>
      <c r="Q3" s="55" t="str">
        <f>+O3</f>
        <v>FS-F_A</v>
      </c>
      <c r="R3" s="142">
        <f>+LOOKUP(Q3,'[2]Doc Set'!E:E,'[2]Doc Set'!H:H)</f>
        <v>43346</v>
      </c>
      <c r="S3" s="143" t="s">
        <v>200</v>
      </c>
    </row>
  </sheetData>
  <autoFilter ref="A1:S3"/>
  <conditionalFormatting sqref="G2:G3">
    <cfRule type="duplicateValues" dxfId="143" priority="6"/>
  </conditionalFormatting>
  <conditionalFormatting sqref="G2:G3">
    <cfRule type="duplicateValues" dxfId="142" priority="5"/>
  </conditionalFormatting>
  <conditionalFormatting sqref="G2:G3">
    <cfRule type="duplicateValues" dxfId="141" priority="4"/>
  </conditionalFormatting>
  <conditionalFormatting sqref="G2:G3">
    <cfRule type="duplicateValues" dxfId="140" priority="3"/>
  </conditionalFormatting>
  <conditionalFormatting sqref="G1:G1048576">
    <cfRule type="duplicateValues" dxfId="139" priority="2"/>
  </conditionalFormatting>
  <conditionalFormatting sqref="H1:H1048576">
    <cfRule type="duplicateValues" dxfId="138" priority="1"/>
  </conditionalFormatting>
  <dataValidations count="1">
    <dataValidation type="list" allowBlank="1" showInputMessage="1" showErrorMessage="1" sqref="O2:O3 M2:M3">
      <formula1>Document_Set_Name</formula1>
    </dataValidation>
  </dataValidations>
  <pageMargins left="0.7" right="0.7" top="0.75" bottom="0.75" header="0.3" footer="0.3"/>
  <pageSetup orientation="portrait" r:id="rId1"/>
  <headerFooter>
    <oddFooter>&amp;L&amp;1#&amp;"Calibri"&amp;8 Sensitivity: LNT Construction Internal Use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S10"/>
  <sheetViews>
    <sheetView topLeftCell="E1" zoomScaleNormal="100" workbookViewId="0">
      <selection activeCell="H86" sqref="H86:H98"/>
    </sheetView>
  </sheetViews>
  <sheetFormatPr defaultRowHeight="14.4" x14ac:dyDescent="0.3"/>
  <cols>
    <col min="1" max="1" width="11.44140625" bestFit="1" customWidth="1"/>
    <col min="3" max="3" width="11.109375" bestFit="1" customWidth="1"/>
    <col min="4" max="4" width="11.33203125" style="155" bestFit="1" customWidth="1"/>
    <col min="5" max="5" width="10.5546875" bestFit="1" customWidth="1"/>
    <col min="6" max="6" width="8.5546875" bestFit="1" customWidth="1"/>
    <col min="8" max="8" width="22.5546875" bestFit="1" customWidth="1"/>
    <col min="10" max="10" width="56.5546875" bestFit="1" customWidth="1"/>
    <col min="11" max="11" width="11.6640625" customWidth="1"/>
    <col min="12" max="12" width="20.44140625" customWidth="1"/>
    <col min="15" max="15" width="9.109375" customWidth="1"/>
    <col min="16" max="16" width="12.5546875" bestFit="1" customWidth="1"/>
    <col min="17" max="17" width="9.109375" customWidth="1"/>
    <col min="18" max="18" width="12.44140625" bestFit="1" customWidth="1"/>
    <col min="19" max="19" width="9.109375" customWidth="1"/>
  </cols>
  <sheetData>
    <row r="1" spans="1:19" s="136" customFormat="1" x14ac:dyDescent="0.3">
      <c r="A1" s="136" t="s">
        <v>174</v>
      </c>
      <c r="B1" s="136" t="s">
        <v>175</v>
      </c>
      <c r="C1" s="136" t="s">
        <v>176</v>
      </c>
      <c r="D1" s="137" t="s">
        <v>177</v>
      </c>
      <c r="E1" s="136" t="s">
        <v>178</v>
      </c>
      <c r="F1" s="136" t="s">
        <v>179</v>
      </c>
      <c r="G1" s="136" t="s">
        <v>180</v>
      </c>
      <c r="H1" s="136" t="s">
        <v>181</v>
      </c>
      <c r="I1" s="136" t="s">
        <v>182</v>
      </c>
      <c r="J1" s="136" t="s">
        <v>183</v>
      </c>
      <c r="K1" s="136" t="s">
        <v>184</v>
      </c>
      <c r="L1" s="136" t="s">
        <v>185</v>
      </c>
      <c r="M1" s="136" t="s">
        <v>34</v>
      </c>
      <c r="N1" s="136" t="s">
        <v>186</v>
      </c>
      <c r="O1" s="136" t="s">
        <v>67</v>
      </c>
      <c r="P1" s="136" t="s">
        <v>187</v>
      </c>
      <c r="Q1" s="136" t="s">
        <v>133</v>
      </c>
      <c r="R1" s="136" t="s">
        <v>188</v>
      </c>
      <c r="S1" s="136" t="s">
        <v>189</v>
      </c>
    </row>
    <row r="2" spans="1:19" x14ac:dyDescent="0.3">
      <c r="A2" t="s">
        <v>40</v>
      </c>
      <c r="B2" t="s">
        <v>190</v>
      </c>
      <c r="C2" t="s">
        <v>191</v>
      </c>
      <c r="D2" s="165" t="s">
        <v>1293</v>
      </c>
      <c r="E2" t="s">
        <v>193</v>
      </c>
      <c r="F2" t="s">
        <v>194</v>
      </c>
      <c r="G2" t="s">
        <v>261</v>
      </c>
      <c r="H2" t="s">
        <v>1294</v>
      </c>
      <c r="I2" s="166" t="s">
        <v>51</v>
      </c>
      <c r="J2" s="167" t="s">
        <v>1295</v>
      </c>
      <c r="K2">
        <v>20038918</v>
      </c>
      <c r="L2" s="55" t="s">
        <v>198</v>
      </c>
      <c r="M2" s="141" t="str">
        <f t="shared" ref="M2:M10" si="0">+O2</f>
        <v>DG-F_A</v>
      </c>
      <c r="N2" s="142" t="str">
        <f>LOOKUP(M2,'[2]Doc Set'!E:E,'[2]Doc Set'!F:F)</f>
        <v>_</v>
      </c>
      <c r="O2" s="141" t="s">
        <v>1296</v>
      </c>
      <c r="P2" s="142">
        <f>+LOOKUP(O2,'[2]Doc Set'!E:E,'[2]Doc Set'!G:G)</f>
        <v>43266</v>
      </c>
      <c r="Q2" s="55" t="str">
        <f>+O2</f>
        <v>DG-F_A</v>
      </c>
      <c r="R2" s="142">
        <f>+LOOKUP(Q2,'[2]Doc Set'!E:E,'[2]Doc Set'!H:H)</f>
        <v>43350</v>
      </c>
      <c r="S2" s="143" t="s">
        <v>200</v>
      </c>
    </row>
    <row r="3" spans="1:19" x14ac:dyDescent="0.3">
      <c r="A3" t="s">
        <v>40</v>
      </c>
      <c r="B3" t="s">
        <v>190</v>
      </c>
      <c r="C3" t="s">
        <v>191</v>
      </c>
      <c r="D3" s="165" t="s">
        <v>1293</v>
      </c>
      <c r="E3" t="s">
        <v>193</v>
      </c>
      <c r="F3" t="s">
        <v>194</v>
      </c>
      <c r="G3" t="s">
        <v>264</v>
      </c>
      <c r="H3" t="s">
        <v>1297</v>
      </c>
      <c r="I3" s="166" t="s">
        <v>51</v>
      </c>
      <c r="J3" s="167" t="s">
        <v>1298</v>
      </c>
      <c r="K3">
        <v>20038918</v>
      </c>
      <c r="L3" s="55" t="s">
        <v>198</v>
      </c>
      <c r="M3" s="141" t="str">
        <f t="shared" si="0"/>
        <v>DG-F_A</v>
      </c>
      <c r="N3" s="142" t="str">
        <f>LOOKUP(M3,'[2]Doc Set'!E:E,'[2]Doc Set'!F:F)</f>
        <v>_</v>
      </c>
      <c r="O3" s="141" t="s">
        <v>1296</v>
      </c>
      <c r="P3" s="142">
        <f>+LOOKUP(O3,'[2]Doc Set'!E:E,'[2]Doc Set'!G:G)</f>
        <v>43266</v>
      </c>
      <c r="Q3" s="55" t="str">
        <f t="shared" ref="Q3:Q10" si="1">+O3</f>
        <v>DG-F_A</v>
      </c>
      <c r="R3" s="142">
        <f>+LOOKUP(Q3,'[2]Doc Set'!E:E,'[2]Doc Set'!H:H)</f>
        <v>43350</v>
      </c>
      <c r="S3" s="143" t="s">
        <v>200</v>
      </c>
    </row>
    <row r="4" spans="1:19" x14ac:dyDescent="0.3">
      <c r="A4" t="s">
        <v>40</v>
      </c>
      <c r="B4" t="s">
        <v>190</v>
      </c>
      <c r="C4" t="s">
        <v>191</v>
      </c>
      <c r="D4" s="165" t="s">
        <v>1293</v>
      </c>
      <c r="E4" t="s">
        <v>193</v>
      </c>
      <c r="F4" t="s">
        <v>194</v>
      </c>
      <c r="G4" t="s">
        <v>267</v>
      </c>
      <c r="H4" t="s">
        <v>1299</v>
      </c>
      <c r="I4" s="166" t="s">
        <v>51</v>
      </c>
      <c r="J4" s="167" t="s">
        <v>1300</v>
      </c>
      <c r="K4">
        <v>20038918</v>
      </c>
      <c r="L4" s="55" t="s">
        <v>198</v>
      </c>
      <c r="M4" s="141" t="str">
        <f t="shared" si="0"/>
        <v>DG-F_A</v>
      </c>
      <c r="N4" s="142" t="str">
        <f>LOOKUP(M4,'[2]Doc Set'!E:E,'[2]Doc Set'!F:F)</f>
        <v>_</v>
      </c>
      <c r="O4" s="141" t="s">
        <v>1296</v>
      </c>
      <c r="P4" s="142">
        <f>+LOOKUP(O4,'[2]Doc Set'!E:E,'[2]Doc Set'!G:G)</f>
        <v>43266</v>
      </c>
      <c r="Q4" s="55" t="str">
        <f t="shared" si="1"/>
        <v>DG-F_A</v>
      </c>
      <c r="R4" s="142">
        <f>+LOOKUP(Q4,'[2]Doc Set'!E:E,'[2]Doc Set'!H:H)</f>
        <v>43350</v>
      </c>
      <c r="S4" s="143" t="s">
        <v>200</v>
      </c>
    </row>
    <row r="5" spans="1:19" x14ac:dyDescent="0.3">
      <c r="A5" t="s">
        <v>40</v>
      </c>
      <c r="B5" t="s">
        <v>190</v>
      </c>
      <c r="C5" t="s">
        <v>191</v>
      </c>
      <c r="D5" s="165" t="s">
        <v>1293</v>
      </c>
      <c r="E5" t="s">
        <v>193</v>
      </c>
      <c r="F5" t="s">
        <v>194</v>
      </c>
      <c r="G5" t="s">
        <v>282</v>
      </c>
      <c r="H5" t="s">
        <v>1301</v>
      </c>
      <c r="I5" s="166" t="s">
        <v>51</v>
      </c>
      <c r="J5" s="167" t="s">
        <v>1302</v>
      </c>
      <c r="K5">
        <v>20038918</v>
      </c>
      <c r="L5" s="55" t="s">
        <v>198</v>
      </c>
      <c r="M5" s="141" t="str">
        <f t="shared" si="0"/>
        <v>DG-F_A</v>
      </c>
      <c r="N5" s="142" t="str">
        <f>LOOKUP(M5,'[2]Doc Set'!E:E,'[2]Doc Set'!F:F)</f>
        <v>_</v>
      </c>
      <c r="O5" s="141" t="s">
        <v>1296</v>
      </c>
      <c r="P5" s="142">
        <f>+LOOKUP(O5,'[2]Doc Set'!E:E,'[2]Doc Set'!G:G)</f>
        <v>43266</v>
      </c>
      <c r="Q5" s="55" t="str">
        <f t="shared" si="1"/>
        <v>DG-F_A</v>
      </c>
      <c r="R5" s="142">
        <f>+LOOKUP(Q5,'[2]Doc Set'!E:E,'[2]Doc Set'!H:H)</f>
        <v>43350</v>
      </c>
      <c r="S5" s="143" t="s">
        <v>200</v>
      </c>
    </row>
    <row r="6" spans="1:19" x14ac:dyDescent="0.3">
      <c r="A6" t="s">
        <v>40</v>
      </c>
      <c r="B6" t="s">
        <v>190</v>
      </c>
      <c r="C6" t="s">
        <v>191</v>
      </c>
      <c r="D6" s="165" t="s">
        <v>1293</v>
      </c>
      <c r="E6" t="s">
        <v>193</v>
      </c>
      <c r="F6" t="s">
        <v>194</v>
      </c>
      <c r="G6" t="s">
        <v>285</v>
      </c>
      <c r="H6" t="s">
        <v>1303</v>
      </c>
      <c r="I6" s="166" t="s">
        <v>51</v>
      </c>
      <c r="J6" s="167" t="s">
        <v>1304</v>
      </c>
      <c r="K6">
        <v>20038918</v>
      </c>
      <c r="L6" s="55" t="s">
        <v>198</v>
      </c>
      <c r="M6" s="141" t="str">
        <f t="shared" si="0"/>
        <v>DG-F_A</v>
      </c>
      <c r="N6" s="142" t="str">
        <f>LOOKUP(M6,'[2]Doc Set'!E:E,'[2]Doc Set'!F:F)</f>
        <v>_</v>
      </c>
      <c r="O6" s="141" t="s">
        <v>1296</v>
      </c>
      <c r="P6" s="142">
        <f>+LOOKUP(O6,'[2]Doc Set'!E:E,'[2]Doc Set'!G:G)</f>
        <v>43266</v>
      </c>
      <c r="Q6" s="55" t="str">
        <f t="shared" si="1"/>
        <v>DG-F_A</v>
      </c>
      <c r="R6" s="142">
        <f>+LOOKUP(Q6,'[2]Doc Set'!E:E,'[2]Doc Set'!H:H)</f>
        <v>43350</v>
      </c>
      <c r="S6" s="143" t="s">
        <v>200</v>
      </c>
    </row>
    <row r="7" spans="1:19" x14ac:dyDescent="0.3">
      <c r="A7" t="s">
        <v>40</v>
      </c>
      <c r="B7" t="s">
        <v>190</v>
      </c>
      <c r="C7" t="s">
        <v>191</v>
      </c>
      <c r="D7" s="165" t="s">
        <v>1293</v>
      </c>
      <c r="E7" t="s">
        <v>193</v>
      </c>
      <c r="F7" t="s">
        <v>194</v>
      </c>
      <c r="G7" t="s">
        <v>288</v>
      </c>
      <c r="H7" t="s">
        <v>1305</v>
      </c>
      <c r="I7" s="166" t="s">
        <v>51</v>
      </c>
      <c r="J7" s="167" t="s">
        <v>1306</v>
      </c>
      <c r="K7">
        <v>20038918</v>
      </c>
      <c r="L7" s="55" t="s">
        <v>198</v>
      </c>
      <c r="M7" s="141" t="str">
        <f t="shared" si="0"/>
        <v>DG-F_A</v>
      </c>
      <c r="N7" s="142" t="str">
        <f>LOOKUP(M7,'[2]Doc Set'!E:E,'[2]Doc Set'!F:F)</f>
        <v>_</v>
      </c>
      <c r="O7" s="141" t="s">
        <v>1296</v>
      </c>
      <c r="P7" s="142">
        <f>+LOOKUP(O7,'[2]Doc Set'!E:E,'[2]Doc Set'!G:G)</f>
        <v>43266</v>
      </c>
      <c r="Q7" s="55" t="str">
        <f t="shared" si="1"/>
        <v>DG-F_A</v>
      </c>
      <c r="R7" s="142">
        <f>+LOOKUP(Q7,'[2]Doc Set'!E:E,'[2]Doc Set'!H:H)</f>
        <v>43350</v>
      </c>
      <c r="S7" s="143" t="s">
        <v>200</v>
      </c>
    </row>
    <row r="8" spans="1:19" x14ac:dyDescent="0.3">
      <c r="A8" t="s">
        <v>40</v>
      </c>
      <c r="B8" t="s">
        <v>190</v>
      </c>
      <c r="C8" t="s">
        <v>191</v>
      </c>
      <c r="D8" s="165" t="s">
        <v>1293</v>
      </c>
      <c r="E8" t="s">
        <v>193</v>
      </c>
      <c r="F8" t="s">
        <v>194</v>
      </c>
      <c r="G8" t="s">
        <v>303</v>
      </c>
      <c r="H8" t="s">
        <v>1307</v>
      </c>
      <c r="I8" s="166" t="s">
        <v>51</v>
      </c>
      <c r="J8" s="167" t="s">
        <v>1308</v>
      </c>
      <c r="K8">
        <v>20038918</v>
      </c>
      <c r="L8" s="55" t="s">
        <v>198</v>
      </c>
      <c r="M8" s="141" t="str">
        <f t="shared" si="0"/>
        <v>DG-F_A</v>
      </c>
      <c r="N8" s="142" t="str">
        <f>LOOKUP(M8,'[2]Doc Set'!E:E,'[2]Doc Set'!F:F)</f>
        <v>_</v>
      </c>
      <c r="O8" s="141" t="s">
        <v>1296</v>
      </c>
      <c r="P8" s="142">
        <f>+LOOKUP(O8,'[2]Doc Set'!E:E,'[2]Doc Set'!G:G)</f>
        <v>43266</v>
      </c>
      <c r="Q8" s="55" t="str">
        <f t="shared" si="1"/>
        <v>DG-F_A</v>
      </c>
      <c r="R8" s="142">
        <f>+LOOKUP(Q8,'[2]Doc Set'!E:E,'[2]Doc Set'!H:H)</f>
        <v>43350</v>
      </c>
      <c r="S8" s="143" t="s">
        <v>200</v>
      </c>
    </row>
    <row r="9" spans="1:19" x14ac:dyDescent="0.3">
      <c r="A9" t="s">
        <v>40</v>
      </c>
      <c r="B9" t="s">
        <v>190</v>
      </c>
      <c r="C9" t="s">
        <v>191</v>
      </c>
      <c r="D9" s="165" t="s">
        <v>1293</v>
      </c>
      <c r="E9" t="s">
        <v>193</v>
      </c>
      <c r="F9" t="s">
        <v>194</v>
      </c>
      <c r="G9" t="s">
        <v>307</v>
      </c>
      <c r="H9" t="s">
        <v>1309</v>
      </c>
      <c r="I9" s="166" t="s">
        <v>51</v>
      </c>
      <c r="J9" s="167" t="s">
        <v>1310</v>
      </c>
      <c r="K9">
        <v>20038918</v>
      </c>
      <c r="L9" s="55" t="s">
        <v>198</v>
      </c>
      <c r="M9" s="141" t="str">
        <f t="shared" si="0"/>
        <v>DG-F_A</v>
      </c>
      <c r="N9" s="142" t="str">
        <f>LOOKUP(M9,'[2]Doc Set'!E:E,'[2]Doc Set'!F:F)</f>
        <v>_</v>
      </c>
      <c r="O9" s="141" t="s">
        <v>1296</v>
      </c>
      <c r="P9" s="142">
        <f>+LOOKUP(O9,'[2]Doc Set'!E:E,'[2]Doc Set'!G:G)</f>
        <v>43266</v>
      </c>
      <c r="Q9" s="55" t="str">
        <f t="shared" si="1"/>
        <v>DG-F_A</v>
      </c>
      <c r="R9" s="142">
        <f>+LOOKUP(Q9,'[2]Doc Set'!E:E,'[2]Doc Set'!H:H)</f>
        <v>43350</v>
      </c>
      <c r="S9" s="143" t="s">
        <v>200</v>
      </c>
    </row>
    <row r="10" spans="1:19" x14ac:dyDescent="0.3">
      <c r="A10" t="s">
        <v>40</v>
      </c>
      <c r="B10" t="s">
        <v>190</v>
      </c>
      <c r="C10" t="s">
        <v>191</v>
      </c>
      <c r="D10" s="165" t="s">
        <v>1293</v>
      </c>
      <c r="E10" t="s">
        <v>193</v>
      </c>
      <c r="F10" t="s">
        <v>194</v>
      </c>
      <c r="G10" t="s">
        <v>310</v>
      </c>
      <c r="H10" t="s">
        <v>1311</v>
      </c>
      <c r="I10" s="166" t="s">
        <v>51</v>
      </c>
      <c r="J10" s="167" t="s">
        <v>1312</v>
      </c>
      <c r="K10">
        <v>20038918</v>
      </c>
      <c r="L10" s="55" t="s">
        <v>198</v>
      </c>
      <c r="M10" s="141" t="str">
        <f t="shared" si="0"/>
        <v>DG-F_A</v>
      </c>
      <c r="N10" s="142" t="str">
        <f>LOOKUP(M10,'[2]Doc Set'!E:E,'[2]Doc Set'!F:F)</f>
        <v>_</v>
      </c>
      <c r="O10" s="141" t="s">
        <v>1296</v>
      </c>
      <c r="P10" s="142">
        <f>+LOOKUP(O10,'[2]Doc Set'!E:E,'[2]Doc Set'!G:G)</f>
        <v>43266</v>
      </c>
      <c r="Q10" s="55" t="str">
        <f t="shared" si="1"/>
        <v>DG-F_A</v>
      </c>
      <c r="R10" s="142">
        <f>+LOOKUP(Q10,'[2]Doc Set'!E:E,'[2]Doc Set'!H:H)</f>
        <v>43350</v>
      </c>
      <c r="S10" s="143" t="s">
        <v>200</v>
      </c>
    </row>
  </sheetData>
  <autoFilter ref="A1:S10"/>
  <conditionalFormatting sqref="G2:G10">
    <cfRule type="duplicateValues" dxfId="137" priority="8"/>
  </conditionalFormatting>
  <conditionalFormatting sqref="G2:G10">
    <cfRule type="duplicateValues" dxfId="136" priority="7"/>
  </conditionalFormatting>
  <conditionalFormatting sqref="G2:G10">
    <cfRule type="duplicateValues" dxfId="135" priority="6"/>
  </conditionalFormatting>
  <conditionalFormatting sqref="G2:G10">
    <cfRule type="duplicateValues" dxfId="134" priority="5"/>
  </conditionalFormatting>
  <conditionalFormatting sqref="G1:G1048576">
    <cfRule type="duplicateValues" dxfId="133" priority="2"/>
    <cfRule type="duplicateValues" dxfId="132" priority="3"/>
    <cfRule type="duplicateValues" dxfId="131" priority="4"/>
  </conditionalFormatting>
  <conditionalFormatting sqref="H1:H1048576">
    <cfRule type="duplicateValues" dxfId="130" priority="1"/>
  </conditionalFormatting>
  <dataValidations count="1">
    <dataValidation type="list" allowBlank="1" showInputMessage="1" showErrorMessage="1" sqref="O2:O10 M2:M10">
      <formula1>Document_Set_Name</formula1>
    </dataValidation>
  </dataValidations>
  <pageMargins left="0.7" right="0.7" top="0.75" bottom="0.75" header="0.3" footer="0.3"/>
  <pageSetup orientation="portrait" r:id="rId1"/>
  <headerFooter>
    <oddFooter>&amp;L&amp;1#&amp;"Calibri"&amp;8 Sensitivity: LNT Construction Internal Use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S12"/>
  <sheetViews>
    <sheetView topLeftCell="G1" zoomScaleNormal="100" workbookViewId="0">
      <selection activeCell="H86" sqref="H86:H98"/>
    </sheetView>
  </sheetViews>
  <sheetFormatPr defaultRowHeight="14.4" x14ac:dyDescent="0.3"/>
  <cols>
    <col min="1" max="1" width="11.44140625" bestFit="1" customWidth="1"/>
    <col min="3" max="3" width="11.109375" bestFit="1" customWidth="1"/>
    <col min="4" max="4" width="11.33203125" style="155" bestFit="1" customWidth="1"/>
    <col min="5" max="5" width="10.5546875" bestFit="1" customWidth="1"/>
    <col min="6" max="6" width="8.5546875" bestFit="1" customWidth="1"/>
    <col min="8" max="8" width="22.5546875" bestFit="1" customWidth="1"/>
    <col min="10" max="10" width="56.5546875" bestFit="1" customWidth="1"/>
    <col min="11" max="11" width="11.6640625" customWidth="1"/>
    <col min="12" max="12" width="20.44140625" customWidth="1"/>
    <col min="16" max="16" width="12.5546875" bestFit="1" customWidth="1"/>
    <col min="18" max="18" width="9.6640625" bestFit="1" customWidth="1"/>
    <col min="19" max="19" width="0" hidden="1" customWidth="1"/>
  </cols>
  <sheetData>
    <row r="1" spans="1:19" s="136" customFormat="1" x14ac:dyDescent="0.3">
      <c r="A1" s="136" t="s">
        <v>174</v>
      </c>
      <c r="B1" s="136" t="s">
        <v>175</v>
      </c>
      <c r="C1" s="136" t="s">
        <v>176</v>
      </c>
      <c r="D1" s="137" t="s">
        <v>177</v>
      </c>
      <c r="E1" s="136" t="s">
        <v>178</v>
      </c>
      <c r="F1" s="136" t="s">
        <v>179</v>
      </c>
      <c r="G1" s="136" t="s">
        <v>180</v>
      </c>
      <c r="H1" s="136" t="s">
        <v>181</v>
      </c>
      <c r="I1" s="136" t="s">
        <v>182</v>
      </c>
      <c r="J1" s="136" t="s">
        <v>183</v>
      </c>
      <c r="K1" s="136" t="s">
        <v>184</v>
      </c>
      <c r="L1" s="136" t="s">
        <v>185</v>
      </c>
      <c r="M1" s="136" t="s">
        <v>34</v>
      </c>
      <c r="N1" s="136" t="s">
        <v>186</v>
      </c>
      <c r="O1" s="136" t="s">
        <v>67</v>
      </c>
      <c r="P1" s="136" t="s">
        <v>187</v>
      </c>
      <c r="Q1" s="136" t="s">
        <v>133</v>
      </c>
      <c r="R1" s="136" t="s">
        <v>188</v>
      </c>
      <c r="S1" s="136" t="s">
        <v>189</v>
      </c>
    </row>
    <row r="2" spans="1:19" x14ac:dyDescent="0.3">
      <c r="A2" t="s">
        <v>40</v>
      </c>
      <c r="B2" t="s">
        <v>190</v>
      </c>
      <c r="C2" t="s">
        <v>191</v>
      </c>
      <c r="D2" s="165" t="s">
        <v>63</v>
      </c>
      <c r="E2" t="s">
        <v>193</v>
      </c>
      <c r="F2" t="s">
        <v>194</v>
      </c>
      <c r="G2" t="s">
        <v>240</v>
      </c>
      <c r="H2" t="s">
        <v>1269</v>
      </c>
      <c r="I2" s="166" t="s">
        <v>51</v>
      </c>
      <c r="J2" s="167" t="s">
        <v>1270</v>
      </c>
      <c r="K2">
        <v>20038918</v>
      </c>
      <c r="L2" s="55" t="s">
        <v>198</v>
      </c>
      <c r="M2" s="141" t="str">
        <f t="shared" ref="M2:M12" si="0">+O2</f>
        <v>SG-F_A</v>
      </c>
      <c r="N2" s="142" t="str">
        <f>LOOKUP(M2,'[2]Doc Set'!E:E,'[2]Doc Set'!F:F)</f>
        <v>_</v>
      </c>
      <c r="O2" s="141" t="s">
        <v>1271</v>
      </c>
      <c r="P2" s="142">
        <f>+LOOKUP(O2,'[2]Doc Set'!E:E,'[2]Doc Set'!G:G)</f>
        <v>43329</v>
      </c>
      <c r="Q2" s="55" t="str">
        <f>+O2</f>
        <v>SG-F_A</v>
      </c>
      <c r="R2" s="142">
        <f>+LOOKUP(Q2,'[2]Doc Set'!E:E,'[2]Doc Set'!H:H)</f>
        <v>43381</v>
      </c>
      <c r="S2" s="143" t="s">
        <v>200</v>
      </c>
    </row>
    <row r="3" spans="1:19" x14ac:dyDescent="0.3">
      <c r="A3" t="s">
        <v>40</v>
      </c>
      <c r="B3" t="s">
        <v>190</v>
      </c>
      <c r="C3" t="s">
        <v>191</v>
      </c>
      <c r="D3" s="165" t="s">
        <v>63</v>
      </c>
      <c r="E3" t="s">
        <v>193</v>
      </c>
      <c r="F3" t="s">
        <v>194</v>
      </c>
      <c r="G3" t="s">
        <v>243</v>
      </c>
      <c r="H3" t="s">
        <v>1272</v>
      </c>
      <c r="I3" s="166" t="s">
        <v>51</v>
      </c>
      <c r="J3" s="167" t="s">
        <v>1273</v>
      </c>
      <c r="K3">
        <v>20038918</v>
      </c>
      <c r="L3" s="55" t="s">
        <v>198</v>
      </c>
      <c r="M3" s="141" t="str">
        <f t="shared" si="0"/>
        <v>SG-F_A</v>
      </c>
      <c r="N3" s="142" t="str">
        <f>LOOKUP(M3,'[2]Doc Set'!E:E,'[2]Doc Set'!F:F)</f>
        <v>_</v>
      </c>
      <c r="O3" s="141" t="s">
        <v>1271</v>
      </c>
      <c r="P3" s="142">
        <f>+LOOKUP(O3,'[2]Doc Set'!E:E,'[2]Doc Set'!G:G)</f>
        <v>43329</v>
      </c>
      <c r="Q3" s="55" t="str">
        <f t="shared" ref="Q3:Q12" si="1">+O3</f>
        <v>SG-F_A</v>
      </c>
      <c r="R3" s="142">
        <f>+LOOKUP(Q3,'[2]Doc Set'!E:E,'[2]Doc Set'!H:H)</f>
        <v>43381</v>
      </c>
      <c r="S3" s="143" t="s">
        <v>200</v>
      </c>
    </row>
    <row r="4" spans="1:19" x14ac:dyDescent="0.3">
      <c r="A4" t="s">
        <v>40</v>
      </c>
      <c r="B4" t="s">
        <v>190</v>
      </c>
      <c r="C4" t="s">
        <v>191</v>
      </c>
      <c r="D4" s="165" t="s">
        <v>63</v>
      </c>
      <c r="E4" t="s">
        <v>193</v>
      </c>
      <c r="F4" t="s">
        <v>194</v>
      </c>
      <c r="G4" t="s">
        <v>246</v>
      </c>
      <c r="H4" t="s">
        <v>1274</v>
      </c>
      <c r="I4" s="166" t="s">
        <v>51</v>
      </c>
      <c r="J4" s="167" t="s">
        <v>1275</v>
      </c>
      <c r="K4">
        <v>20038918</v>
      </c>
      <c r="L4" s="55" t="s">
        <v>198</v>
      </c>
      <c r="M4" s="141" t="str">
        <f t="shared" si="0"/>
        <v>SG-F_A</v>
      </c>
      <c r="N4" s="142" t="str">
        <f>LOOKUP(M4,'[2]Doc Set'!E:E,'[2]Doc Set'!F:F)</f>
        <v>_</v>
      </c>
      <c r="O4" s="141" t="s">
        <v>1271</v>
      </c>
      <c r="P4" s="142">
        <f>+LOOKUP(O4,'[2]Doc Set'!E:E,'[2]Doc Set'!G:G)</f>
        <v>43329</v>
      </c>
      <c r="Q4" s="55" t="str">
        <f t="shared" si="1"/>
        <v>SG-F_A</v>
      </c>
      <c r="R4" s="142">
        <f>+LOOKUP(Q4,'[2]Doc Set'!E:E,'[2]Doc Set'!H:H)</f>
        <v>43381</v>
      </c>
      <c r="S4" s="143" t="s">
        <v>200</v>
      </c>
    </row>
    <row r="5" spans="1:19" x14ac:dyDescent="0.3">
      <c r="A5" t="s">
        <v>40</v>
      </c>
      <c r="B5" t="s">
        <v>190</v>
      </c>
      <c r="C5" t="s">
        <v>191</v>
      </c>
      <c r="D5" s="165" t="s">
        <v>63</v>
      </c>
      <c r="E5" t="s">
        <v>193</v>
      </c>
      <c r="F5" t="s">
        <v>194</v>
      </c>
      <c r="G5" t="s">
        <v>249</v>
      </c>
      <c r="H5" t="s">
        <v>1276</v>
      </c>
      <c r="I5" s="166" t="s">
        <v>51</v>
      </c>
      <c r="J5" s="167" t="s">
        <v>1277</v>
      </c>
      <c r="K5">
        <v>20038918</v>
      </c>
      <c r="L5" s="55" t="s">
        <v>198</v>
      </c>
      <c r="M5" s="141" t="str">
        <f t="shared" si="0"/>
        <v>SG-F_A</v>
      </c>
      <c r="N5" s="142" t="str">
        <f>LOOKUP(M5,'[2]Doc Set'!E:E,'[2]Doc Set'!F:F)</f>
        <v>_</v>
      </c>
      <c r="O5" s="141" t="s">
        <v>1271</v>
      </c>
      <c r="P5" s="142">
        <f>+LOOKUP(O5,'[2]Doc Set'!E:E,'[2]Doc Set'!G:G)</f>
        <v>43329</v>
      </c>
      <c r="Q5" s="55" t="str">
        <f t="shared" si="1"/>
        <v>SG-F_A</v>
      </c>
      <c r="R5" s="142">
        <f>+LOOKUP(Q5,'[2]Doc Set'!E:E,'[2]Doc Set'!H:H)</f>
        <v>43381</v>
      </c>
      <c r="S5" s="143" t="s">
        <v>200</v>
      </c>
    </row>
    <row r="6" spans="1:19" x14ac:dyDescent="0.3">
      <c r="A6" t="s">
        <v>40</v>
      </c>
      <c r="B6" t="s">
        <v>190</v>
      </c>
      <c r="C6" t="s">
        <v>191</v>
      </c>
      <c r="D6" s="165" t="s">
        <v>63</v>
      </c>
      <c r="E6" t="s">
        <v>193</v>
      </c>
      <c r="F6" t="s">
        <v>194</v>
      </c>
      <c r="G6" t="s">
        <v>252</v>
      </c>
      <c r="H6" t="s">
        <v>1278</v>
      </c>
      <c r="I6" s="166" t="s">
        <v>51</v>
      </c>
      <c r="J6" s="167" t="s">
        <v>1279</v>
      </c>
      <c r="K6">
        <v>20038918</v>
      </c>
      <c r="L6" s="55" t="s">
        <v>198</v>
      </c>
      <c r="M6" s="141" t="str">
        <f t="shared" si="0"/>
        <v>SG-F_A</v>
      </c>
      <c r="N6" s="142" t="str">
        <f>LOOKUP(M6,'[2]Doc Set'!E:E,'[2]Doc Set'!F:F)</f>
        <v>_</v>
      </c>
      <c r="O6" s="141" t="s">
        <v>1271</v>
      </c>
      <c r="P6" s="142">
        <f>+LOOKUP(O6,'[2]Doc Set'!E:E,'[2]Doc Set'!G:G)</f>
        <v>43329</v>
      </c>
      <c r="Q6" s="55" t="str">
        <f t="shared" si="1"/>
        <v>SG-F_A</v>
      </c>
      <c r="R6" s="142">
        <f>+LOOKUP(Q6,'[2]Doc Set'!E:E,'[2]Doc Set'!H:H)</f>
        <v>43381</v>
      </c>
      <c r="S6" s="143" t="s">
        <v>200</v>
      </c>
    </row>
    <row r="7" spans="1:19" x14ac:dyDescent="0.3">
      <c r="A7" t="s">
        <v>40</v>
      </c>
      <c r="B7" t="s">
        <v>190</v>
      </c>
      <c r="C7" t="s">
        <v>191</v>
      </c>
      <c r="D7" s="165" t="s">
        <v>63</v>
      </c>
      <c r="E7" t="s">
        <v>193</v>
      </c>
      <c r="F7" t="s">
        <v>194</v>
      </c>
      <c r="G7" t="s">
        <v>255</v>
      </c>
      <c r="H7" t="s">
        <v>1280</v>
      </c>
      <c r="I7" s="166" t="s">
        <v>51</v>
      </c>
      <c r="J7" s="167" t="s">
        <v>1281</v>
      </c>
      <c r="K7">
        <v>20038918</v>
      </c>
      <c r="L7" s="55" t="s">
        <v>198</v>
      </c>
      <c r="M7" s="141" t="str">
        <f t="shared" si="0"/>
        <v>SG-F_A</v>
      </c>
      <c r="N7" s="142" t="str">
        <f>LOOKUP(M7,'[2]Doc Set'!E:E,'[2]Doc Set'!F:F)</f>
        <v>_</v>
      </c>
      <c r="O7" s="141" t="s">
        <v>1271</v>
      </c>
      <c r="P7" s="142">
        <f>+LOOKUP(O7,'[2]Doc Set'!E:E,'[2]Doc Set'!G:G)</f>
        <v>43329</v>
      </c>
      <c r="Q7" s="55" t="str">
        <f t="shared" si="1"/>
        <v>SG-F_A</v>
      </c>
      <c r="R7" s="142">
        <f>+LOOKUP(Q7,'[2]Doc Set'!E:E,'[2]Doc Set'!H:H)</f>
        <v>43381</v>
      </c>
      <c r="S7" s="143" t="s">
        <v>200</v>
      </c>
    </row>
    <row r="8" spans="1:19" x14ac:dyDescent="0.3">
      <c r="A8" t="s">
        <v>40</v>
      </c>
      <c r="B8" t="s">
        <v>190</v>
      </c>
      <c r="C8" t="s">
        <v>191</v>
      </c>
      <c r="D8" s="165" t="s">
        <v>63</v>
      </c>
      <c r="E8" t="s">
        <v>193</v>
      </c>
      <c r="F8" t="s">
        <v>194</v>
      </c>
      <c r="G8" t="s">
        <v>258</v>
      </c>
      <c r="H8" t="s">
        <v>1282</v>
      </c>
      <c r="I8" s="166" t="s">
        <v>51</v>
      </c>
      <c r="J8" s="167" t="s">
        <v>1283</v>
      </c>
      <c r="K8">
        <v>20038918</v>
      </c>
      <c r="L8" s="55" t="s">
        <v>198</v>
      </c>
      <c r="M8" s="141" t="str">
        <f t="shared" si="0"/>
        <v>SG-F_A</v>
      </c>
      <c r="N8" s="142" t="str">
        <f>LOOKUP(M8,'[2]Doc Set'!E:E,'[2]Doc Set'!F:F)</f>
        <v>_</v>
      </c>
      <c r="O8" s="141" t="s">
        <v>1271</v>
      </c>
      <c r="P8" s="142">
        <f>+LOOKUP(O8,'[2]Doc Set'!E:E,'[2]Doc Set'!G:G)</f>
        <v>43329</v>
      </c>
      <c r="Q8" s="55" t="str">
        <f t="shared" si="1"/>
        <v>SG-F_A</v>
      </c>
      <c r="R8" s="142">
        <f>+LOOKUP(Q8,'[2]Doc Set'!E:E,'[2]Doc Set'!H:H)</f>
        <v>43381</v>
      </c>
      <c r="S8" s="143" t="s">
        <v>200</v>
      </c>
    </row>
    <row r="9" spans="1:19" x14ac:dyDescent="0.3">
      <c r="A9" t="s">
        <v>40</v>
      </c>
      <c r="B9" t="s">
        <v>190</v>
      </c>
      <c r="C9" t="s">
        <v>191</v>
      </c>
      <c r="D9" s="165" t="s">
        <v>63</v>
      </c>
      <c r="E9" t="s">
        <v>193</v>
      </c>
      <c r="F9" t="s">
        <v>194</v>
      </c>
      <c r="G9" t="s">
        <v>739</v>
      </c>
      <c r="H9" t="s">
        <v>1284</v>
      </c>
      <c r="I9" s="166" t="s">
        <v>51</v>
      </c>
      <c r="J9" s="167" t="s">
        <v>1285</v>
      </c>
      <c r="K9">
        <v>20038918</v>
      </c>
      <c r="L9" s="55" t="s">
        <v>198</v>
      </c>
      <c r="M9" s="141" t="str">
        <f t="shared" si="0"/>
        <v>SG-F_A</v>
      </c>
      <c r="N9" s="142" t="str">
        <f>LOOKUP(M9,'[2]Doc Set'!E:E,'[2]Doc Set'!F:F)</f>
        <v>_</v>
      </c>
      <c r="O9" s="141" t="s">
        <v>1271</v>
      </c>
      <c r="P9" s="142">
        <f>+LOOKUP(O9,'[2]Doc Set'!E:E,'[2]Doc Set'!G:G)</f>
        <v>43329</v>
      </c>
      <c r="Q9" s="55" t="str">
        <f t="shared" si="1"/>
        <v>SG-F_A</v>
      </c>
      <c r="R9" s="142">
        <f>+LOOKUP(Q9,'[2]Doc Set'!E:E,'[2]Doc Set'!H:H)</f>
        <v>43381</v>
      </c>
      <c r="S9" s="143" t="s">
        <v>200</v>
      </c>
    </row>
    <row r="10" spans="1:19" x14ac:dyDescent="0.3">
      <c r="A10" t="s">
        <v>40</v>
      </c>
      <c r="B10" t="s">
        <v>190</v>
      </c>
      <c r="C10" t="s">
        <v>191</v>
      </c>
      <c r="D10" s="165" t="s">
        <v>63</v>
      </c>
      <c r="E10" t="s">
        <v>193</v>
      </c>
      <c r="F10" t="s">
        <v>194</v>
      </c>
      <c r="G10" t="s">
        <v>742</v>
      </c>
      <c r="H10" t="s">
        <v>1286</v>
      </c>
      <c r="I10" s="166" t="s">
        <v>51</v>
      </c>
      <c r="J10" s="167" t="s">
        <v>1287</v>
      </c>
      <c r="K10">
        <v>20038918</v>
      </c>
      <c r="L10" s="55" t="s">
        <v>198</v>
      </c>
      <c r="M10" s="141" t="str">
        <f t="shared" si="0"/>
        <v>SG-F_A</v>
      </c>
      <c r="N10" s="142" t="str">
        <f>LOOKUP(M10,'[2]Doc Set'!E:E,'[2]Doc Set'!F:F)</f>
        <v>_</v>
      </c>
      <c r="O10" s="141" t="s">
        <v>1271</v>
      </c>
      <c r="P10" s="142">
        <f>+LOOKUP(O10,'[2]Doc Set'!E:E,'[2]Doc Set'!G:G)</f>
        <v>43329</v>
      </c>
      <c r="Q10" s="55" t="str">
        <f t="shared" si="1"/>
        <v>SG-F_A</v>
      </c>
      <c r="R10" s="142">
        <f>+LOOKUP(Q10,'[2]Doc Set'!E:E,'[2]Doc Set'!H:H)</f>
        <v>43381</v>
      </c>
      <c r="S10" s="143" t="s">
        <v>200</v>
      </c>
    </row>
    <row r="11" spans="1:19" x14ac:dyDescent="0.3">
      <c r="A11" t="s">
        <v>40</v>
      </c>
      <c r="B11" t="s">
        <v>190</v>
      </c>
      <c r="C11" t="s">
        <v>191</v>
      </c>
      <c r="D11" s="165" t="s">
        <v>63</v>
      </c>
      <c r="E11" t="s">
        <v>193</v>
      </c>
      <c r="F11" t="s">
        <v>194</v>
      </c>
      <c r="G11" t="s">
        <v>1288</v>
      </c>
      <c r="H11" t="s">
        <v>1289</v>
      </c>
      <c r="I11" s="166" t="s">
        <v>51</v>
      </c>
      <c r="J11" s="167" t="s">
        <v>1290</v>
      </c>
      <c r="K11">
        <v>20038918</v>
      </c>
      <c r="L11" s="55" t="s">
        <v>198</v>
      </c>
      <c r="M11" s="141" t="str">
        <f t="shared" si="0"/>
        <v>SG-F_A</v>
      </c>
      <c r="N11" s="142" t="str">
        <f>LOOKUP(M11,'[2]Doc Set'!E:E,'[2]Doc Set'!F:F)</f>
        <v>_</v>
      </c>
      <c r="O11" s="141" t="s">
        <v>1271</v>
      </c>
      <c r="P11" s="142">
        <f>+LOOKUP(O11,'[2]Doc Set'!E:E,'[2]Doc Set'!G:G)</f>
        <v>43329</v>
      </c>
      <c r="Q11" s="55" t="str">
        <f t="shared" si="1"/>
        <v>SG-F_A</v>
      </c>
      <c r="R11" s="142">
        <f>+LOOKUP(Q11,'[2]Doc Set'!E:E,'[2]Doc Set'!H:H)</f>
        <v>43381</v>
      </c>
      <c r="S11" s="143" t="s">
        <v>200</v>
      </c>
    </row>
    <row r="12" spans="1:19" x14ac:dyDescent="0.3">
      <c r="A12" t="s">
        <v>40</v>
      </c>
      <c r="B12" t="s">
        <v>190</v>
      </c>
      <c r="C12" t="s">
        <v>191</v>
      </c>
      <c r="D12" s="165" t="s">
        <v>63</v>
      </c>
      <c r="E12" t="s">
        <v>193</v>
      </c>
      <c r="F12" t="s">
        <v>194</v>
      </c>
      <c r="G12" t="s">
        <v>491</v>
      </c>
      <c r="H12" t="s">
        <v>1291</v>
      </c>
      <c r="I12" s="166" t="s">
        <v>134</v>
      </c>
      <c r="J12" s="167" t="s">
        <v>1292</v>
      </c>
      <c r="K12">
        <v>20038918</v>
      </c>
      <c r="L12" s="55" t="s">
        <v>198</v>
      </c>
      <c r="M12" s="141" t="str">
        <f t="shared" si="0"/>
        <v>SG-F_A</v>
      </c>
      <c r="N12" s="142" t="str">
        <f>LOOKUP(M12,'[2]Doc Set'!E:E,'[2]Doc Set'!F:F)</f>
        <v>_</v>
      </c>
      <c r="O12" s="141" t="s">
        <v>1271</v>
      </c>
      <c r="P12" s="142">
        <f>+LOOKUP(O12,'[2]Doc Set'!E:E,'[2]Doc Set'!G:G)</f>
        <v>43329</v>
      </c>
      <c r="Q12" s="55" t="str">
        <f t="shared" si="1"/>
        <v>SG-F_A</v>
      </c>
      <c r="R12" s="142">
        <f>+LOOKUP(Q12,'[2]Doc Set'!E:E,'[2]Doc Set'!H:H)</f>
        <v>43381</v>
      </c>
      <c r="S12" s="143" t="s">
        <v>200</v>
      </c>
    </row>
  </sheetData>
  <autoFilter ref="A1:S12"/>
  <conditionalFormatting sqref="G2:G12">
    <cfRule type="duplicateValues" dxfId="129" priority="6"/>
  </conditionalFormatting>
  <conditionalFormatting sqref="G2:G12">
    <cfRule type="duplicateValues" dxfId="128" priority="5"/>
  </conditionalFormatting>
  <conditionalFormatting sqref="G2:G12">
    <cfRule type="duplicateValues" dxfId="127" priority="4"/>
  </conditionalFormatting>
  <conditionalFormatting sqref="G1:G1048576">
    <cfRule type="duplicateValues" dxfId="126" priority="2"/>
    <cfRule type="duplicateValues" dxfId="125" priority="3"/>
  </conditionalFormatting>
  <conditionalFormatting sqref="H1:H1048576">
    <cfRule type="duplicateValues" dxfId="124" priority="1"/>
  </conditionalFormatting>
  <dataValidations count="1">
    <dataValidation type="list" allowBlank="1" showInputMessage="1" showErrorMessage="1" sqref="O2:O12 M2:M12">
      <formula1>Document_Set_Name</formula1>
    </dataValidation>
  </dataValidations>
  <pageMargins left="0.7" right="0.7" top="0.75" bottom="0.75" header="0.3" footer="0.3"/>
  <pageSetup orientation="portrait" r:id="rId1"/>
  <headerFooter>
    <oddFooter>&amp;L&amp;1#&amp;"Calibri"&amp;8 Sensitivity: LNT Construction Internal Use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S31"/>
  <sheetViews>
    <sheetView topLeftCell="G10" zoomScale="98" zoomScaleNormal="98" workbookViewId="0">
      <selection activeCell="H86" sqref="H86:H98"/>
    </sheetView>
  </sheetViews>
  <sheetFormatPr defaultRowHeight="14.4" x14ac:dyDescent="0.3"/>
  <cols>
    <col min="1" max="1" width="11.44140625" bestFit="1" customWidth="1"/>
    <col min="3" max="3" width="11.109375" bestFit="1" customWidth="1"/>
    <col min="4" max="4" width="11.33203125" style="155" bestFit="1" customWidth="1"/>
    <col min="5" max="5" width="10.5546875" bestFit="1" customWidth="1"/>
    <col min="6" max="6" width="8.5546875" bestFit="1" customWidth="1"/>
    <col min="8" max="8" width="22.5546875" bestFit="1" customWidth="1"/>
    <col min="10" max="10" width="56.5546875" bestFit="1" customWidth="1"/>
    <col min="11" max="11" width="11.6640625" customWidth="1"/>
    <col min="12" max="12" width="20.44140625" customWidth="1"/>
    <col min="13" max="13" width="9.109375" customWidth="1"/>
    <col min="14" max="14" width="11.5546875" bestFit="1" customWidth="1"/>
    <col min="15" max="15" width="9.109375" customWidth="1"/>
    <col min="16" max="16" width="12.5546875" bestFit="1" customWidth="1"/>
    <col min="17" max="17" width="9.109375" customWidth="1"/>
    <col min="18" max="18" width="12.44140625" bestFit="1" customWidth="1"/>
    <col min="19" max="19" width="13.88671875" bestFit="1" customWidth="1"/>
  </cols>
  <sheetData>
    <row r="1" spans="1:19" s="136" customFormat="1" x14ac:dyDescent="0.3">
      <c r="A1" s="160" t="s">
        <v>174</v>
      </c>
      <c r="B1" s="160" t="s">
        <v>175</v>
      </c>
      <c r="C1" s="160" t="s">
        <v>176</v>
      </c>
      <c r="D1" s="161" t="s">
        <v>177</v>
      </c>
      <c r="E1" s="160" t="s">
        <v>178</v>
      </c>
      <c r="F1" s="160" t="s">
        <v>179</v>
      </c>
      <c r="G1" s="160" t="s">
        <v>180</v>
      </c>
      <c r="H1" s="160" t="s">
        <v>181</v>
      </c>
      <c r="I1" s="160" t="s">
        <v>182</v>
      </c>
      <c r="J1" s="160" t="s">
        <v>183</v>
      </c>
      <c r="K1" s="160" t="s">
        <v>184</v>
      </c>
      <c r="L1" s="160" t="s">
        <v>185</v>
      </c>
      <c r="M1" s="160" t="s">
        <v>34</v>
      </c>
      <c r="N1" s="160" t="s">
        <v>186</v>
      </c>
      <c r="O1" s="160" t="s">
        <v>67</v>
      </c>
      <c r="P1" s="160" t="s">
        <v>187</v>
      </c>
      <c r="Q1" s="160" t="s">
        <v>133</v>
      </c>
      <c r="R1" s="160" t="s">
        <v>188</v>
      </c>
      <c r="S1" s="160" t="s">
        <v>189</v>
      </c>
    </row>
    <row r="2" spans="1:19" x14ac:dyDescent="0.3">
      <c r="A2" s="55" t="s">
        <v>40</v>
      </c>
      <c r="B2" s="55" t="s">
        <v>190</v>
      </c>
      <c r="C2" s="55" t="s">
        <v>191</v>
      </c>
      <c r="D2" s="138" t="s">
        <v>1182</v>
      </c>
      <c r="E2" s="55" t="s">
        <v>193</v>
      </c>
      <c r="F2" s="55" t="s">
        <v>194</v>
      </c>
      <c r="G2" s="55" t="s">
        <v>1183</v>
      </c>
      <c r="H2" s="55" t="s">
        <v>1184</v>
      </c>
      <c r="I2" s="139" t="s">
        <v>134</v>
      </c>
      <c r="J2" s="159" t="s">
        <v>1185</v>
      </c>
      <c r="K2" s="55">
        <v>20038918</v>
      </c>
      <c r="L2" s="55" t="s">
        <v>198</v>
      </c>
      <c r="M2" s="141" t="s">
        <v>1186</v>
      </c>
      <c r="N2" s="142" t="str">
        <f>LOOKUP(M2,'[2]Doc Set'!E:E,'[2]Doc Set'!F:F)</f>
        <v>_</v>
      </c>
      <c r="O2" s="141" t="s">
        <v>1186</v>
      </c>
      <c r="P2" s="142">
        <f>+LOOKUP(O2,'[2]Doc Set'!E:E,'[2]Doc Set'!G:G)</f>
        <v>43451</v>
      </c>
      <c r="Q2" s="55" t="str">
        <f>+O2</f>
        <v>MSP-F_A</v>
      </c>
      <c r="R2" s="142">
        <f>+LOOKUP(Q2,'[2]Doc Set'!E:E,'[2]Doc Set'!H:H)</f>
        <v>43479</v>
      </c>
      <c r="S2" s="143" t="s">
        <v>200</v>
      </c>
    </row>
    <row r="3" spans="1:19" x14ac:dyDescent="0.3">
      <c r="A3" s="55" t="s">
        <v>40</v>
      </c>
      <c r="B3" s="55" t="s">
        <v>190</v>
      </c>
      <c r="C3" s="55" t="s">
        <v>191</v>
      </c>
      <c r="D3" s="138" t="s">
        <v>1182</v>
      </c>
      <c r="E3" s="55" t="s">
        <v>193</v>
      </c>
      <c r="F3" s="55" t="s">
        <v>194</v>
      </c>
      <c r="G3" s="55" t="s">
        <v>1187</v>
      </c>
      <c r="H3" s="55" t="s">
        <v>1188</v>
      </c>
      <c r="I3" s="139" t="s">
        <v>134</v>
      </c>
      <c r="J3" s="159" t="s">
        <v>1189</v>
      </c>
      <c r="K3" s="55">
        <v>20038918</v>
      </c>
      <c r="L3" s="55" t="s">
        <v>198</v>
      </c>
      <c r="M3" s="141" t="s">
        <v>1186</v>
      </c>
      <c r="N3" s="142" t="str">
        <f>LOOKUP(M3,'[2]Doc Set'!E:E,'[2]Doc Set'!F:F)</f>
        <v>_</v>
      </c>
      <c r="O3" s="141" t="s">
        <v>1186</v>
      </c>
      <c r="P3" s="142">
        <f>+LOOKUP(O3,'[2]Doc Set'!E:E,'[2]Doc Set'!G:G)</f>
        <v>43451</v>
      </c>
      <c r="Q3" s="55" t="str">
        <f t="shared" ref="Q3:Q31" si="0">+O3</f>
        <v>MSP-F_A</v>
      </c>
      <c r="R3" s="142">
        <f>+LOOKUP(Q3,'[2]Doc Set'!E:E,'[2]Doc Set'!H:H)</f>
        <v>43479</v>
      </c>
      <c r="S3" s="143" t="s">
        <v>200</v>
      </c>
    </row>
    <row r="4" spans="1:19" x14ac:dyDescent="0.3">
      <c r="A4" s="55" t="s">
        <v>40</v>
      </c>
      <c r="B4" s="55" t="s">
        <v>190</v>
      </c>
      <c r="C4" s="55" t="s">
        <v>191</v>
      </c>
      <c r="D4" s="138" t="s">
        <v>1182</v>
      </c>
      <c r="E4" s="55" t="s">
        <v>193</v>
      </c>
      <c r="F4" s="55" t="s">
        <v>194</v>
      </c>
      <c r="G4" s="55" t="s">
        <v>1190</v>
      </c>
      <c r="H4" s="55" t="s">
        <v>1191</v>
      </c>
      <c r="I4" s="139" t="s">
        <v>134</v>
      </c>
      <c r="J4" s="159" t="s">
        <v>1192</v>
      </c>
      <c r="K4" s="55">
        <v>20038918</v>
      </c>
      <c r="L4" s="55" t="s">
        <v>198</v>
      </c>
      <c r="M4" s="141" t="s">
        <v>1186</v>
      </c>
      <c r="N4" s="142" t="str">
        <f>LOOKUP(M4,'[2]Doc Set'!E:E,'[2]Doc Set'!F:F)</f>
        <v>_</v>
      </c>
      <c r="O4" s="141" t="s">
        <v>1186</v>
      </c>
      <c r="P4" s="142">
        <f>+LOOKUP(O4,'[2]Doc Set'!E:E,'[2]Doc Set'!G:G)</f>
        <v>43451</v>
      </c>
      <c r="Q4" s="55" t="str">
        <f t="shared" si="0"/>
        <v>MSP-F_A</v>
      </c>
      <c r="R4" s="142">
        <f>+LOOKUP(Q4,'[2]Doc Set'!E:E,'[2]Doc Set'!H:H)</f>
        <v>43479</v>
      </c>
      <c r="S4" s="143" t="s">
        <v>200</v>
      </c>
    </row>
    <row r="5" spans="1:19" x14ac:dyDescent="0.3">
      <c r="A5" s="55" t="s">
        <v>40</v>
      </c>
      <c r="B5" s="55" t="s">
        <v>190</v>
      </c>
      <c r="C5" s="55" t="s">
        <v>191</v>
      </c>
      <c r="D5" s="138" t="s">
        <v>1182</v>
      </c>
      <c r="E5" s="55" t="s">
        <v>193</v>
      </c>
      <c r="F5" s="55" t="s">
        <v>194</v>
      </c>
      <c r="G5" s="55" t="s">
        <v>1193</v>
      </c>
      <c r="H5" s="55" t="s">
        <v>1194</v>
      </c>
      <c r="I5" s="139" t="s">
        <v>134</v>
      </c>
      <c r="J5" s="159" t="s">
        <v>1195</v>
      </c>
      <c r="K5" s="55">
        <v>20038918</v>
      </c>
      <c r="L5" s="55" t="s">
        <v>198</v>
      </c>
      <c r="M5" s="141" t="s">
        <v>1186</v>
      </c>
      <c r="N5" s="142" t="str">
        <f>LOOKUP(M5,'[2]Doc Set'!E:E,'[2]Doc Set'!F:F)</f>
        <v>_</v>
      </c>
      <c r="O5" s="141" t="s">
        <v>1186</v>
      </c>
      <c r="P5" s="142">
        <f>+LOOKUP(O5,'[2]Doc Set'!E:E,'[2]Doc Set'!G:G)</f>
        <v>43451</v>
      </c>
      <c r="Q5" s="55" t="str">
        <f t="shared" si="0"/>
        <v>MSP-F_A</v>
      </c>
      <c r="R5" s="142">
        <f>+LOOKUP(Q5,'[2]Doc Set'!E:E,'[2]Doc Set'!H:H)</f>
        <v>43479</v>
      </c>
      <c r="S5" s="143" t="s">
        <v>200</v>
      </c>
    </row>
    <row r="6" spans="1:19" x14ac:dyDescent="0.3">
      <c r="A6" s="55" t="s">
        <v>40</v>
      </c>
      <c r="B6" s="55" t="s">
        <v>190</v>
      </c>
      <c r="C6" s="55" t="s">
        <v>191</v>
      </c>
      <c r="D6" s="138" t="s">
        <v>1182</v>
      </c>
      <c r="E6" s="55" t="s">
        <v>193</v>
      </c>
      <c r="F6" s="55" t="s">
        <v>194</v>
      </c>
      <c r="G6" s="55" t="s">
        <v>1196</v>
      </c>
      <c r="H6" s="55" t="s">
        <v>1197</v>
      </c>
      <c r="I6" s="139" t="s">
        <v>134</v>
      </c>
      <c r="J6" s="159" t="s">
        <v>1198</v>
      </c>
      <c r="K6" s="55">
        <v>20038918</v>
      </c>
      <c r="L6" s="55" t="s">
        <v>198</v>
      </c>
      <c r="M6" s="141" t="s">
        <v>1186</v>
      </c>
      <c r="N6" s="142" t="str">
        <f>LOOKUP(M6,'[2]Doc Set'!E:E,'[2]Doc Set'!F:F)</f>
        <v>_</v>
      </c>
      <c r="O6" s="141" t="s">
        <v>1186</v>
      </c>
      <c r="P6" s="142">
        <f>+LOOKUP(O6,'[2]Doc Set'!E:E,'[2]Doc Set'!G:G)</f>
        <v>43451</v>
      </c>
      <c r="Q6" s="55" t="str">
        <f t="shared" si="0"/>
        <v>MSP-F_A</v>
      </c>
      <c r="R6" s="142">
        <f>+LOOKUP(Q6,'[2]Doc Set'!E:E,'[2]Doc Set'!H:H)</f>
        <v>43479</v>
      </c>
      <c r="S6" s="143" t="s">
        <v>200</v>
      </c>
    </row>
    <row r="7" spans="1:19" x14ac:dyDescent="0.3">
      <c r="A7" s="55" t="s">
        <v>40</v>
      </c>
      <c r="B7" s="55" t="s">
        <v>190</v>
      </c>
      <c r="C7" s="55" t="s">
        <v>191</v>
      </c>
      <c r="D7" s="138" t="s">
        <v>1182</v>
      </c>
      <c r="E7" s="55" t="s">
        <v>193</v>
      </c>
      <c r="F7" s="55" t="s">
        <v>194</v>
      </c>
      <c r="G7" s="55" t="s">
        <v>1199</v>
      </c>
      <c r="H7" s="55" t="s">
        <v>1200</v>
      </c>
      <c r="I7" s="139" t="s">
        <v>134</v>
      </c>
      <c r="J7" s="159" t="s">
        <v>1201</v>
      </c>
      <c r="K7" s="55">
        <v>20038918</v>
      </c>
      <c r="L7" s="55" t="s">
        <v>198</v>
      </c>
      <c r="M7" s="141" t="s">
        <v>1186</v>
      </c>
      <c r="N7" s="142" t="str">
        <f>LOOKUP(M7,'[2]Doc Set'!E:E,'[2]Doc Set'!F:F)</f>
        <v>_</v>
      </c>
      <c r="O7" s="141" t="s">
        <v>1186</v>
      </c>
      <c r="P7" s="142">
        <f>+LOOKUP(O7,'[2]Doc Set'!E:E,'[2]Doc Set'!G:G)</f>
        <v>43451</v>
      </c>
      <c r="Q7" s="55" t="str">
        <f t="shared" si="0"/>
        <v>MSP-F_A</v>
      </c>
      <c r="R7" s="142">
        <f>+LOOKUP(Q7,'[2]Doc Set'!E:E,'[2]Doc Set'!H:H)</f>
        <v>43479</v>
      </c>
      <c r="S7" s="143" t="s">
        <v>200</v>
      </c>
    </row>
    <row r="8" spans="1:19" x14ac:dyDescent="0.3">
      <c r="A8" s="55" t="s">
        <v>40</v>
      </c>
      <c r="B8" s="55" t="s">
        <v>190</v>
      </c>
      <c r="C8" s="55" t="s">
        <v>191</v>
      </c>
      <c r="D8" s="138" t="s">
        <v>1182</v>
      </c>
      <c r="E8" s="55" t="s">
        <v>193</v>
      </c>
      <c r="F8" s="55" t="s">
        <v>194</v>
      </c>
      <c r="G8" s="55" t="s">
        <v>1202</v>
      </c>
      <c r="H8" s="55" t="s">
        <v>1203</v>
      </c>
      <c r="I8" s="139" t="s">
        <v>134</v>
      </c>
      <c r="J8" s="159" t="s">
        <v>1204</v>
      </c>
      <c r="K8" s="55">
        <v>20038918</v>
      </c>
      <c r="L8" s="55" t="s">
        <v>198</v>
      </c>
      <c r="M8" s="141" t="s">
        <v>1186</v>
      </c>
      <c r="N8" s="142" t="str">
        <f>LOOKUP(M8,'[2]Doc Set'!E:E,'[2]Doc Set'!F:F)</f>
        <v>_</v>
      </c>
      <c r="O8" s="141" t="s">
        <v>1186</v>
      </c>
      <c r="P8" s="142">
        <f>+LOOKUP(O8,'[2]Doc Set'!E:E,'[2]Doc Set'!G:G)</f>
        <v>43451</v>
      </c>
      <c r="Q8" s="55" t="str">
        <f t="shared" si="0"/>
        <v>MSP-F_A</v>
      </c>
      <c r="R8" s="142">
        <f>+LOOKUP(Q8,'[2]Doc Set'!E:E,'[2]Doc Set'!H:H)</f>
        <v>43479</v>
      </c>
      <c r="S8" s="143" t="s">
        <v>200</v>
      </c>
    </row>
    <row r="9" spans="1:19" x14ac:dyDescent="0.3">
      <c r="A9" s="55" t="s">
        <v>40</v>
      </c>
      <c r="B9" s="55" t="s">
        <v>190</v>
      </c>
      <c r="C9" s="55" t="s">
        <v>191</v>
      </c>
      <c r="D9" s="138" t="s">
        <v>1182</v>
      </c>
      <c r="E9" s="55" t="s">
        <v>193</v>
      </c>
      <c r="F9" s="55" t="s">
        <v>194</v>
      </c>
      <c r="G9" s="55" t="s">
        <v>1205</v>
      </c>
      <c r="H9" s="55" t="s">
        <v>1206</v>
      </c>
      <c r="I9" s="139" t="s">
        <v>134</v>
      </c>
      <c r="J9" s="159" t="s">
        <v>1207</v>
      </c>
      <c r="K9" s="55">
        <v>20038918</v>
      </c>
      <c r="L9" s="55" t="s">
        <v>198</v>
      </c>
      <c r="M9" s="141" t="s">
        <v>1186</v>
      </c>
      <c r="N9" s="142" t="str">
        <f>LOOKUP(M9,'[2]Doc Set'!E:E,'[2]Doc Set'!F:F)</f>
        <v>_</v>
      </c>
      <c r="O9" s="141" t="s">
        <v>1186</v>
      </c>
      <c r="P9" s="142">
        <f>+LOOKUP(O9,'[2]Doc Set'!E:E,'[2]Doc Set'!G:G)</f>
        <v>43451</v>
      </c>
      <c r="Q9" s="55" t="str">
        <f t="shared" si="0"/>
        <v>MSP-F_A</v>
      </c>
      <c r="R9" s="142">
        <f>+LOOKUP(Q9,'[2]Doc Set'!E:E,'[2]Doc Set'!H:H)</f>
        <v>43479</v>
      </c>
      <c r="S9" s="143" t="s">
        <v>200</v>
      </c>
    </row>
    <row r="10" spans="1:19" x14ac:dyDescent="0.3">
      <c r="A10" s="55" t="s">
        <v>40</v>
      </c>
      <c r="B10" s="55" t="s">
        <v>190</v>
      </c>
      <c r="C10" s="55" t="s">
        <v>191</v>
      </c>
      <c r="D10" s="138" t="s">
        <v>1182</v>
      </c>
      <c r="E10" s="55" t="s">
        <v>193</v>
      </c>
      <c r="F10" s="55" t="s">
        <v>194</v>
      </c>
      <c r="G10" s="55" t="s">
        <v>1208</v>
      </c>
      <c r="H10" s="55" t="s">
        <v>1209</v>
      </c>
      <c r="I10" s="139" t="s">
        <v>134</v>
      </c>
      <c r="J10" s="159" t="s">
        <v>1210</v>
      </c>
      <c r="K10" s="55">
        <v>20038918</v>
      </c>
      <c r="L10" s="55" t="s">
        <v>198</v>
      </c>
      <c r="M10" s="141" t="s">
        <v>1186</v>
      </c>
      <c r="N10" s="142" t="str">
        <f>LOOKUP(M10,'[2]Doc Set'!E:E,'[2]Doc Set'!F:F)</f>
        <v>_</v>
      </c>
      <c r="O10" s="141" t="s">
        <v>1186</v>
      </c>
      <c r="P10" s="142">
        <f>+LOOKUP(O10,'[2]Doc Set'!E:E,'[2]Doc Set'!G:G)</f>
        <v>43451</v>
      </c>
      <c r="Q10" s="55" t="str">
        <f t="shared" si="0"/>
        <v>MSP-F_A</v>
      </c>
      <c r="R10" s="142">
        <f>+LOOKUP(Q10,'[2]Doc Set'!E:E,'[2]Doc Set'!H:H)</f>
        <v>43479</v>
      </c>
      <c r="S10" s="143" t="s">
        <v>200</v>
      </c>
    </row>
    <row r="11" spans="1:19" x14ac:dyDescent="0.3">
      <c r="A11" s="55" t="s">
        <v>40</v>
      </c>
      <c r="B11" s="55" t="s">
        <v>190</v>
      </c>
      <c r="C11" s="55" t="s">
        <v>191</v>
      </c>
      <c r="D11" s="138" t="s">
        <v>1182</v>
      </c>
      <c r="E11" s="55" t="s">
        <v>193</v>
      </c>
      <c r="F11" s="55" t="s">
        <v>451</v>
      </c>
      <c r="G11" s="55" t="s">
        <v>1211</v>
      </c>
      <c r="H11" s="55" t="s">
        <v>1212</v>
      </c>
      <c r="I11" s="139" t="s">
        <v>134</v>
      </c>
      <c r="J11" s="159" t="s">
        <v>1213</v>
      </c>
      <c r="K11" s="55">
        <v>20038918</v>
      </c>
      <c r="L11" s="55" t="s">
        <v>198</v>
      </c>
      <c r="M11" s="141" t="s">
        <v>1186</v>
      </c>
      <c r="N11" s="142" t="str">
        <f>LOOKUP(M11,'[2]Doc Set'!E:E,'[2]Doc Set'!F:F)</f>
        <v>_</v>
      </c>
      <c r="O11" s="141" t="s">
        <v>1186</v>
      </c>
      <c r="P11" s="142">
        <f>+LOOKUP(O11,'[2]Doc Set'!E:E,'[2]Doc Set'!G:G)</f>
        <v>43451</v>
      </c>
      <c r="Q11" s="55" t="str">
        <f t="shared" si="0"/>
        <v>MSP-F_A</v>
      </c>
      <c r="R11" s="142">
        <f>+LOOKUP(Q11,'[2]Doc Set'!E:E,'[2]Doc Set'!H:H)</f>
        <v>43479</v>
      </c>
      <c r="S11" s="143" t="s">
        <v>200</v>
      </c>
    </row>
    <row r="12" spans="1:19" x14ac:dyDescent="0.3">
      <c r="A12" s="55" t="s">
        <v>40</v>
      </c>
      <c r="B12" s="55" t="s">
        <v>190</v>
      </c>
      <c r="C12" s="55" t="s">
        <v>191</v>
      </c>
      <c r="D12" s="138" t="s">
        <v>1182</v>
      </c>
      <c r="E12" s="55" t="s">
        <v>193</v>
      </c>
      <c r="F12" s="55" t="s">
        <v>451</v>
      </c>
      <c r="G12" s="55" t="s">
        <v>1214</v>
      </c>
      <c r="H12" s="55" t="s">
        <v>1215</v>
      </c>
      <c r="I12" s="139" t="s">
        <v>134</v>
      </c>
      <c r="J12" s="159" t="s">
        <v>1216</v>
      </c>
      <c r="K12" s="55">
        <v>20038918</v>
      </c>
      <c r="L12" s="55" t="s">
        <v>198</v>
      </c>
      <c r="M12" s="141" t="s">
        <v>1186</v>
      </c>
      <c r="N12" s="142" t="str">
        <f>LOOKUP(M12,'[2]Doc Set'!E:E,'[2]Doc Set'!F:F)</f>
        <v>_</v>
      </c>
      <c r="O12" s="141" t="s">
        <v>1186</v>
      </c>
      <c r="P12" s="142">
        <f>+LOOKUP(O12,'[2]Doc Set'!E:E,'[2]Doc Set'!G:G)</f>
        <v>43451</v>
      </c>
      <c r="Q12" s="55" t="str">
        <f t="shared" si="0"/>
        <v>MSP-F_A</v>
      </c>
      <c r="R12" s="142">
        <f>+LOOKUP(Q12,'[2]Doc Set'!E:E,'[2]Doc Set'!H:H)</f>
        <v>43479</v>
      </c>
      <c r="S12" s="143" t="s">
        <v>200</v>
      </c>
    </row>
    <row r="13" spans="1:19" x14ac:dyDescent="0.3">
      <c r="A13" s="55" t="s">
        <v>40</v>
      </c>
      <c r="B13" s="55" t="s">
        <v>190</v>
      </c>
      <c r="C13" s="55" t="s">
        <v>191</v>
      </c>
      <c r="D13" s="138" t="s">
        <v>1182</v>
      </c>
      <c r="E13" s="55" t="s">
        <v>193</v>
      </c>
      <c r="F13" s="55" t="s">
        <v>451</v>
      </c>
      <c r="G13" s="55" t="s">
        <v>1217</v>
      </c>
      <c r="H13" s="55" t="s">
        <v>1218</v>
      </c>
      <c r="I13" s="139" t="s">
        <v>134</v>
      </c>
      <c r="J13" s="159" t="s">
        <v>1219</v>
      </c>
      <c r="K13" s="55">
        <v>20038918</v>
      </c>
      <c r="L13" s="55" t="s">
        <v>198</v>
      </c>
      <c r="M13" s="141" t="s">
        <v>1186</v>
      </c>
      <c r="N13" s="142" t="str">
        <f>LOOKUP(M13,'[2]Doc Set'!E:E,'[2]Doc Set'!F:F)</f>
        <v>_</v>
      </c>
      <c r="O13" s="141" t="s">
        <v>1186</v>
      </c>
      <c r="P13" s="142">
        <f>+LOOKUP(O13,'[2]Doc Set'!E:E,'[2]Doc Set'!G:G)</f>
        <v>43451</v>
      </c>
      <c r="Q13" s="55" t="str">
        <f t="shared" si="0"/>
        <v>MSP-F_A</v>
      </c>
      <c r="R13" s="142">
        <f>+LOOKUP(Q13,'[2]Doc Set'!E:E,'[2]Doc Set'!H:H)</f>
        <v>43479</v>
      </c>
      <c r="S13" s="143" t="s">
        <v>200</v>
      </c>
    </row>
    <row r="14" spans="1:19" x14ac:dyDescent="0.3">
      <c r="A14" s="55" t="s">
        <v>40</v>
      </c>
      <c r="B14" s="55" t="s">
        <v>190</v>
      </c>
      <c r="C14" s="55" t="s">
        <v>191</v>
      </c>
      <c r="D14" s="138" t="s">
        <v>1182</v>
      </c>
      <c r="E14" s="55" t="s">
        <v>193</v>
      </c>
      <c r="F14" s="55" t="s">
        <v>451</v>
      </c>
      <c r="G14" s="55" t="s">
        <v>1220</v>
      </c>
      <c r="H14" s="55" t="s">
        <v>1221</v>
      </c>
      <c r="I14" s="139" t="s">
        <v>134</v>
      </c>
      <c r="J14" s="159" t="s">
        <v>1222</v>
      </c>
      <c r="K14" s="55">
        <v>20038918</v>
      </c>
      <c r="L14" s="55" t="s">
        <v>198</v>
      </c>
      <c r="M14" s="141" t="s">
        <v>1186</v>
      </c>
      <c r="N14" s="142" t="str">
        <f>LOOKUP(M14,'[2]Doc Set'!E:E,'[2]Doc Set'!F:F)</f>
        <v>_</v>
      </c>
      <c r="O14" s="141" t="s">
        <v>1186</v>
      </c>
      <c r="P14" s="142">
        <f>+LOOKUP(O14,'[2]Doc Set'!E:E,'[2]Doc Set'!G:G)</f>
        <v>43451</v>
      </c>
      <c r="Q14" s="55" t="str">
        <f t="shared" si="0"/>
        <v>MSP-F_A</v>
      </c>
      <c r="R14" s="142">
        <f>+LOOKUP(Q14,'[2]Doc Set'!E:E,'[2]Doc Set'!H:H)</f>
        <v>43479</v>
      </c>
      <c r="S14" s="143" t="s">
        <v>200</v>
      </c>
    </row>
    <row r="15" spans="1:19" x14ac:dyDescent="0.3">
      <c r="A15" s="55" t="s">
        <v>40</v>
      </c>
      <c r="B15" s="55" t="s">
        <v>190</v>
      </c>
      <c r="C15" s="55" t="s">
        <v>191</v>
      </c>
      <c r="D15" s="138" t="s">
        <v>1182</v>
      </c>
      <c r="E15" s="55" t="s">
        <v>193</v>
      </c>
      <c r="F15" s="55" t="s">
        <v>451</v>
      </c>
      <c r="G15" s="55" t="s">
        <v>1223</v>
      </c>
      <c r="H15" s="55" t="s">
        <v>1224</v>
      </c>
      <c r="I15" s="139" t="s">
        <v>134</v>
      </c>
      <c r="J15" s="159" t="s">
        <v>1225</v>
      </c>
      <c r="K15" s="55">
        <v>20038918</v>
      </c>
      <c r="L15" s="55" t="s">
        <v>198</v>
      </c>
      <c r="M15" s="141" t="s">
        <v>1186</v>
      </c>
      <c r="N15" s="142" t="str">
        <f>LOOKUP(M15,'[2]Doc Set'!E:E,'[2]Doc Set'!F:F)</f>
        <v>_</v>
      </c>
      <c r="O15" s="141" t="s">
        <v>1186</v>
      </c>
      <c r="P15" s="142">
        <f>+LOOKUP(O15,'[2]Doc Set'!E:E,'[2]Doc Set'!G:G)</f>
        <v>43451</v>
      </c>
      <c r="Q15" s="55" t="str">
        <f t="shared" si="0"/>
        <v>MSP-F_A</v>
      </c>
      <c r="R15" s="142">
        <f>+LOOKUP(Q15,'[2]Doc Set'!E:E,'[2]Doc Set'!H:H)</f>
        <v>43479</v>
      </c>
      <c r="S15" s="143" t="s">
        <v>200</v>
      </c>
    </row>
    <row r="16" spans="1:19" x14ac:dyDescent="0.3">
      <c r="A16" s="55" t="s">
        <v>40</v>
      </c>
      <c r="B16" s="55" t="s">
        <v>190</v>
      </c>
      <c r="C16" s="55" t="s">
        <v>191</v>
      </c>
      <c r="D16" s="138" t="s">
        <v>1182</v>
      </c>
      <c r="E16" s="55" t="s">
        <v>193</v>
      </c>
      <c r="F16" s="55" t="s">
        <v>521</v>
      </c>
      <c r="G16" s="55" t="s">
        <v>1226</v>
      </c>
      <c r="H16" s="55" t="s">
        <v>1227</v>
      </c>
      <c r="I16" s="139" t="s">
        <v>134</v>
      </c>
      <c r="J16" s="159" t="s">
        <v>1228</v>
      </c>
      <c r="K16" s="55">
        <v>20038918</v>
      </c>
      <c r="L16" s="55" t="s">
        <v>198</v>
      </c>
      <c r="M16" s="141" t="s">
        <v>1186</v>
      </c>
      <c r="N16" s="142" t="str">
        <f>LOOKUP(M16,'[2]Doc Set'!E:E,'[2]Doc Set'!F:F)</f>
        <v>_</v>
      </c>
      <c r="O16" s="141" t="s">
        <v>1186</v>
      </c>
      <c r="P16" s="142">
        <f>+LOOKUP(O16,'[2]Doc Set'!E:E,'[2]Doc Set'!G:G)</f>
        <v>43451</v>
      </c>
      <c r="Q16" s="55" t="str">
        <f t="shared" si="0"/>
        <v>MSP-F_A</v>
      </c>
      <c r="R16" s="142">
        <f>+LOOKUP(Q16,'[2]Doc Set'!E:E,'[2]Doc Set'!H:H)</f>
        <v>43479</v>
      </c>
      <c r="S16" s="143" t="s">
        <v>200</v>
      </c>
    </row>
    <row r="17" spans="1:19" x14ac:dyDescent="0.3">
      <c r="A17" s="55" t="s">
        <v>40</v>
      </c>
      <c r="B17" s="55" t="s">
        <v>190</v>
      </c>
      <c r="C17" s="55" t="s">
        <v>191</v>
      </c>
      <c r="D17" s="138" t="s">
        <v>1182</v>
      </c>
      <c r="E17" s="55" t="s">
        <v>193</v>
      </c>
      <c r="F17" s="55" t="s">
        <v>521</v>
      </c>
      <c r="G17" s="55" t="s">
        <v>1229</v>
      </c>
      <c r="H17" s="55" t="s">
        <v>1230</v>
      </c>
      <c r="I17" s="139" t="s">
        <v>134</v>
      </c>
      <c r="J17" s="159" t="s">
        <v>1231</v>
      </c>
      <c r="K17" s="55">
        <v>20038918</v>
      </c>
      <c r="L17" s="55" t="s">
        <v>198</v>
      </c>
      <c r="M17" s="141" t="s">
        <v>1186</v>
      </c>
      <c r="N17" s="142" t="str">
        <f>LOOKUP(M17,'[2]Doc Set'!E:E,'[2]Doc Set'!F:F)</f>
        <v>_</v>
      </c>
      <c r="O17" s="141" t="s">
        <v>1186</v>
      </c>
      <c r="P17" s="142">
        <f>+LOOKUP(O17,'[2]Doc Set'!E:E,'[2]Doc Set'!G:G)</f>
        <v>43451</v>
      </c>
      <c r="Q17" s="55" t="str">
        <f t="shared" si="0"/>
        <v>MSP-F_A</v>
      </c>
      <c r="R17" s="142">
        <f>+LOOKUP(Q17,'[2]Doc Set'!E:E,'[2]Doc Set'!H:H)</f>
        <v>43479</v>
      </c>
      <c r="S17" s="143" t="s">
        <v>200</v>
      </c>
    </row>
    <row r="18" spans="1:19" x14ac:dyDescent="0.3">
      <c r="A18" s="55" t="s">
        <v>40</v>
      </c>
      <c r="B18" s="55" t="s">
        <v>190</v>
      </c>
      <c r="C18" s="55" t="s">
        <v>191</v>
      </c>
      <c r="D18" s="138" t="s">
        <v>1182</v>
      </c>
      <c r="E18" s="55" t="s">
        <v>193</v>
      </c>
      <c r="F18" s="55" t="s">
        <v>555</v>
      </c>
      <c r="G18" s="55" t="s">
        <v>53</v>
      </c>
      <c r="H18" s="55" t="s">
        <v>1232</v>
      </c>
      <c r="I18" s="139" t="s">
        <v>134</v>
      </c>
      <c r="J18" s="159" t="s">
        <v>1233</v>
      </c>
      <c r="K18" s="55">
        <v>20038918</v>
      </c>
      <c r="L18" t="s">
        <v>1234</v>
      </c>
      <c r="M18" s="141" t="s">
        <v>1186</v>
      </c>
      <c r="N18" s="142" t="str">
        <f>LOOKUP(M18,'[2]Doc Set'!E:E,'[2]Doc Set'!F:F)</f>
        <v>_</v>
      </c>
      <c r="O18" s="141" t="s">
        <v>1186</v>
      </c>
      <c r="P18" s="142">
        <f>+LOOKUP(O18,'[2]Doc Set'!E:E,'[2]Doc Set'!G:G)</f>
        <v>43451</v>
      </c>
      <c r="Q18" s="55" t="str">
        <f t="shared" si="0"/>
        <v>MSP-F_A</v>
      </c>
      <c r="R18" s="142">
        <f>+LOOKUP(Q18,'[2]Doc Set'!E:E,'[2]Doc Set'!H:H)</f>
        <v>43479</v>
      </c>
      <c r="S18" s="143" t="s">
        <v>200</v>
      </c>
    </row>
    <row r="19" spans="1:19" ht="28.8" x14ac:dyDescent="0.3">
      <c r="A19" s="55" t="s">
        <v>40</v>
      </c>
      <c r="B19" s="55" t="s">
        <v>190</v>
      </c>
      <c r="C19" s="55" t="s">
        <v>191</v>
      </c>
      <c r="D19" s="138" t="s">
        <v>1182</v>
      </c>
      <c r="E19" s="55" t="s">
        <v>193</v>
      </c>
      <c r="F19" s="55" t="s">
        <v>555</v>
      </c>
      <c r="G19" s="55" t="s">
        <v>561</v>
      </c>
      <c r="H19" s="55" t="s">
        <v>1235</v>
      </c>
      <c r="I19" s="139" t="s">
        <v>134</v>
      </c>
      <c r="J19" s="159" t="s">
        <v>1236</v>
      </c>
      <c r="K19" s="55">
        <v>20038918</v>
      </c>
      <c r="L19" t="s">
        <v>1234</v>
      </c>
      <c r="M19" s="141" t="s">
        <v>1186</v>
      </c>
      <c r="N19" s="142" t="str">
        <f>LOOKUP(M19,'[2]Doc Set'!E:E,'[2]Doc Set'!F:F)</f>
        <v>_</v>
      </c>
      <c r="O19" s="141" t="s">
        <v>1186</v>
      </c>
      <c r="P19" s="142">
        <f>+LOOKUP(O19,'[2]Doc Set'!E:E,'[2]Doc Set'!G:G)</f>
        <v>43451</v>
      </c>
      <c r="Q19" s="55" t="str">
        <f t="shared" si="0"/>
        <v>MSP-F_A</v>
      </c>
      <c r="R19" s="142">
        <f>+LOOKUP(Q19,'[2]Doc Set'!E:E,'[2]Doc Set'!H:H)</f>
        <v>43479</v>
      </c>
      <c r="S19" s="143" t="s">
        <v>200</v>
      </c>
    </row>
    <row r="20" spans="1:19" x14ac:dyDescent="0.3">
      <c r="A20" s="55" t="s">
        <v>40</v>
      </c>
      <c r="B20" s="55" t="s">
        <v>190</v>
      </c>
      <c r="C20" s="55" t="s">
        <v>191</v>
      </c>
      <c r="D20" s="138" t="s">
        <v>1182</v>
      </c>
      <c r="E20" s="55" t="s">
        <v>193</v>
      </c>
      <c r="F20" s="55" t="s">
        <v>555</v>
      </c>
      <c r="G20" s="55" t="s">
        <v>564</v>
      </c>
      <c r="H20" s="55" t="s">
        <v>1237</v>
      </c>
      <c r="I20" s="139" t="s">
        <v>134</v>
      </c>
      <c r="J20" s="159" t="s">
        <v>1238</v>
      </c>
      <c r="K20" s="55">
        <v>20038918</v>
      </c>
      <c r="L20" t="s">
        <v>1234</v>
      </c>
      <c r="M20" s="141" t="s">
        <v>1186</v>
      </c>
      <c r="N20" s="142" t="str">
        <f>LOOKUP(M20,'[2]Doc Set'!E:E,'[2]Doc Set'!F:F)</f>
        <v>_</v>
      </c>
      <c r="O20" s="141" t="s">
        <v>1186</v>
      </c>
      <c r="P20" s="142">
        <f>+LOOKUP(O20,'[2]Doc Set'!E:E,'[2]Doc Set'!G:G)</f>
        <v>43451</v>
      </c>
      <c r="Q20" s="55" t="str">
        <f t="shared" si="0"/>
        <v>MSP-F_A</v>
      </c>
      <c r="R20" s="142">
        <f>+LOOKUP(Q20,'[2]Doc Set'!E:E,'[2]Doc Set'!H:H)</f>
        <v>43479</v>
      </c>
      <c r="S20" s="143" t="s">
        <v>200</v>
      </c>
    </row>
    <row r="21" spans="1:19" x14ac:dyDescent="0.3">
      <c r="A21" s="55" t="s">
        <v>40</v>
      </c>
      <c r="B21" s="55" t="s">
        <v>190</v>
      </c>
      <c r="C21" s="55" t="s">
        <v>191</v>
      </c>
      <c r="D21" s="138" t="s">
        <v>1182</v>
      </c>
      <c r="E21" s="55" t="s">
        <v>193</v>
      </c>
      <c r="F21" s="55" t="s">
        <v>555</v>
      </c>
      <c r="G21" s="55" t="s">
        <v>567</v>
      </c>
      <c r="H21" s="55" t="s">
        <v>1239</v>
      </c>
      <c r="I21" s="139" t="s">
        <v>134</v>
      </c>
      <c r="J21" s="159" t="s">
        <v>1240</v>
      </c>
      <c r="K21" s="55">
        <v>20038918</v>
      </c>
      <c r="L21" t="s">
        <v>1234</v>
      </c>
      <c r="M21" s="141" t="s">
        <v>1186</v>
      </c>
      <c r="N21" s="142" t="str">
        <f>LOOKUP(M21,'[2]Doc Set'!E:E,'[2]Doc Set'!F:F)</f>
        <v>_</v>
      </c>
      <c r="O21" s="141" t="s">
        <v>1186</v>
      </c>
      <c r="P21" s="142">
        <f>+LOOKUP(O21,'[2]Doc Set'!E:E,'[2]Doc Set'!G:G)</f>
        <v>43451</v>
      </c>
      <c r="Q21" s="55" t="str">
        <f t="shared" si="0"/>
        <v>MSP-F_A</v>
      </c>
      <c r="R21" s="142">
        <f>+LOOKUP(Q21,'[2]Doc Set'!E:E,'[2]Doc Set'!H:H)</f>
        <v>43479</v>
      </c>
      <c r="S21" s="143" t="s">
        <v>200</v>
      </c>
    </row>
    <row r="22" spans="1:19" x14ac:dyDescent="0.3">
      <c r="A22" s="55" t="s">
        <v>40</v>
      </c>
      <c r="B22" s="55" t="s">
        <v>190</v>
      </c>
      <c r="C22" s="55" t="s">
        <v>191</v>
      </c>
      <c r="D22" s="138" t="s">
        <v>1182</v>
      </c>
      <c r="E22" s="55" t="s">
        <v>193</v>
      </c>
      <c r="F22" s="55" t="s">
        <v>555</v>
      </c>
      <c r="G22" s="55" t="s">
        <v>570</v>
      </c>
      <c r="H22" s="55" t="s">
        <v>1241</v>
      </c>
      <c r="I22" s="139" t="s">
        <v>134</v>
      </c>
      <c r="J22" s="159" t="s">
        <v>1242</v>
      </c>
      <c r="K22" s="55">
        <v>20038918</v>
      </c>
      <c r="L22" t="s">
        <v>1234</v>
      </c>
      <c r="M22" s="141" t="s">
        <v>1186</v>
      </c>
      <c r="N22" s="142" t="str">
        <f>LOOKUP(M22,'[2]Doc Set'!E:E,'[2]Doc Set'!F:F)</f>
        <v>_</v>
      </c>
      <c r="O22" s="141" t="s">
        <v>1186</v>
      </c>
      <c r="P22" s="142">
        <f>+LOOKUP(O22,'[2]Doc Set'!E:E,'[2]Doc Set'!G:G)</f>
        <v>43451</v>
      </c>
      <c r="Q22" s="55" t="str">
        <f t="shared" si="0"/>
        <v>MSP-F_A</v>
      </c>
      <c r="R22" s="142">
        <f>+LOOKUP(Q22,'[2]Doc Set'!E:E,'[2]Doc Set'!H:H)</f>
        <v>43479</v>
      </c>
      <c r="S22" s="143" t="s">
        <v>200</v>
      </c>
    </row>
    <row r="23" spans="1:19" x14ac:dyDescent="0.3">
      <c r="A23" s="55" t="s">
        <v>40</v>
      </c>
      <c r="B23" s="55" t="s">
        <v>190</v>
      </c>
      <c r="C23" s="55" t="s">
        <v>191</v>
      </c>
      <c r="D23" s="138" t="s">
        <v>1182</v>
      </c>
      <c r="E23" s="55" t="s">
        <v>193</v>
      </c>
      <c r="F23" s="55" t="s">
        <v>555</v>
      </c>
      <c r="G23" s="55" t="s">
        <v>573</v>
      </c>
      <c r="H23" s="55" t="s">
        <v>1243</v>
      </c>
      <c r="I23" s="139" t="s">
        <v>134</v>
      </c>
      <c r="J23" s="159" t="s">
        <v>1244</v>
      </c>
      <c r="K23" s="55">
        <v>20038918</v>
      </c>
      <c r="L23" t="s">
        <v>1234</v>
      </c>
      <c r="M23" s="141" t="s">
        <v>1186</v>
      </c>
      <c r="N23" s="142" t="str">
        <f>LOOKUP(M23,'[2]Doc Set'!E:E,'[2]Doc Set'!F:F)</f>
        <v>_</v>
      </c>
      <c r="O23" s="141" t="s">
        <v>1186</v>
      </c>
      <c r="P23" s="142">
        <f>+LOOKUP(O23,'[2]Doc Set'!E:E,'[2]Doc Set'!G:G)</f>
        <v>43451</v>
      </c>
      <c r="Q23" s="55" t="str">
        <f t="shared" si="0"/>
        <v>MSP-F_A</v>
      </c>
      <c r="R23" s="142">
        <f>+LOOKUP(Q23,'[2]Doc Set'!E:E,'[2]Doc Set'!H:H)</f>
        <v>43479</v>
      </c>
      <c r="S23" s="143" t="s">
        <v>200</v>
      </c>
    </row>
    <row r="24" spans="1:19" x14ac:dyDescent="0.3">
      <c r="A24" s="55" t="s">
        <v>40</v>
      </c>
      <c r="B24" s="55" t="s">
        <v>190</v>
      </c>
      <c r="C24" s="55" t="s">
        <v>191</v>
      </c>
      <c r="D24" s="138" t="s">
        <v>1182</v>
      </c>
      <c r="E24" s="55" t="s">
        <v>193</v>
      </c>
      <c r="F24" s="55" t="s">
        <v>555</v>
      </c>
      <c r="G24" s="55" t="s">
        <v>576</v>
      </c>
      <c r="H24" s="55" t="s">
        <v>1245</v>
      </c>
      <c r="I24" s="139" t="s">
        <v>134</v>
      </c>
      <c r="J24" s="159" t="s">
        <v>1246</v>
      </c>
      <c r="K24" s="55">
        <v>20038918</v>
      </c>
      <c r="L24" t="s">
        <v>1234</v>
      </c>
      <c r="M24" s="141" t="s">
        <v>1186</v>
      </c>
      <c r="N24" s="142" t="str">
        <f>LOOKUP(M24,'[2]Doc Set'!E:E,'[2]Doc Set'!F:F)</f>
        <v>_</v>
      </c>
      <c r="O24" s="141" t="s">
        <v>1186</v>
      </c>
      <c r="P24" s="142">
        <f>+LOOKUP(O24,'[2]Doc Set'!E:E,'[2]Doc Set'!G:G)</f>
        <v>43451</v>
      </c>
      <c r="Q24" s="55" t="str">
        <f t="shared" si="0"/>
        <v>MSP-F_A</v>
      </c>
      <c r="R24" s="142">
        <f>+LOOKUP(Q24,'[2]Doc Set'!E:E,'[2]Doc Set'!H:H)</f>
        <v>43479</v>
      </c>
      <c r="S24" s="143" t="s">
        <v>200</v>
      </c>
    </row>
    <row r="25" spans="1:19" x14ac:dyDescent="0.3">
      <c r="A25" s="55" t="s">
        <v>40</v>
      </c>
      <c r="B25" s="55" t="s">
        <v>190</v>
      </c>
      <c r="C25" s="55" t="s">
        <v>191</v>
      </c>
      <c r="D25" s="138" t="s">
        <v>1182</v>
      </c>
      <c r="E25" s="55" t="s">
        <v>193</v>
      </c>
      <c r="F25" s="55" t="s">
        <v>521</v>
      </c>
      <c r="G25" s="55" t="s">
        <v>1247</v>
      </c>
      <c r="H25" s="55" t="s">
        <v>1248</v>
      </c>
      <c r="I25" s="139" t="s">
        <v>134</v>
      </c>
      <c r="J25" s="159" t="s">
        <v>1249</v>
      </c>
      <c r="K25" s="55">
        <v>20038918</v>
      </c>
      <c r="L25" t="s">
        <v>1234</v>
      </c>
      <c r="M25" s="141" t="s">
        <v>1186</v>
      </c>
      <c r="N25" s="142" t="str">
        <f>LOOKUP(M25,'[2]Doc Set'!E:E,'[2]Doc Set'!F:F)</f>
        <v>_</v>
      </c>
      <c r="O25" s="141" t="s">
        <v>1186</v>
      </c>
      <c r="P25" s="142">
        <f>+LOOKUP(O25,'[2]Doc Set'!E:E,'[2]Doc Set'!G:G)</f>
        <v>43451</v>
      </c>
      <c r="Q25" s="55" t="str">
        <f t="shared" si="0"/>
        <v>MSP-F_A</v>
      </c>
      <c r="R25" s="142">
        <f>+LOOKUP(Q25,'[2]Doc Set'!E:E,'[2]Doc Set'!H:H)</f>
        <v>43479</v>
      </c>
      <c r="S25" s="143" t="s">
        <v>200</v>
      </c>
    </row>
    <row r="26" spans="1:19" x14ac:dyDescent="0.3">
      <c r="A26" s="55" t="s">
        <v>40</v>
      </c>
      <c r="B26" s="55" t="s">
        <v>190</v>
      </c>
      <c r="C26" s="55" t="s">
        <v>191</v>
      </c>
      <c r="D26" s="138" t="s">
        <v>1182</v>
      </c>
      <c r="E26" s="55" t="s">
        <v>193</v>
      </c>
      <c r="F26" s="55" t="s">
        <v>1250</v>
      </c>
      <c r="G26" s="55" t="s">
        <v>1251</v>
      </c>
      <c r="H26" s="55" t="s">
        <v>1252</v>
      </c>
      <c r="I26" s="139" t="s">
        <v>134</v>
      </c>
      <c r="J26" s="159" t="s">
        <v>1253</v>
      </c>
      <c r="K26" s="55">
        <v>20038918</v>
      </c>
      <c r="L26" t="s">
        <v>1234</v>
      </c>
      <c r="M26" s="141" t="s">
        <v>1186</v>
      </c>
      <c r="N26" s="142" t="str">
        <f>LOOKUP(M26,'[2]Doc Set'!E:E,'[2]Doc Set'!F:F)</f>
        <v>_</v>
      </c>
      <c r="O26" s="141" t="s">
        <v>1186</v>
      </c>
      <c r="P26" s="142">
        <f>+LOOKUP(O26,'[2]Doc Set'!E:E,'[2]Doc Set'!G:G)</f>
        <v>43451</v>
      </c>
      <c r="Q26" s="55" t="str">
        <f t="shared" si="0"/>
        <v>MSP-F_A</v>
      </c>
      <c r="R26" s="142">
        <f>+LOOKUP(Q26,'[2]Doc Set'!E:E,'[2]Doc Set'!H:H)</f>
        <v>43479</v>
      </c>
      <c r="S26" s="143" t="s">
        <v>200</v>
      </c>
    </row>
    <row r="27" spans="1:19" x14ac:dyDescent="0.3">
      <c r="A27" s="55" t="s">
        <v>40</v>
      </c>
      <c r="B27" s="55" t="s">
        <v>190</v>
      </c>
      <c r="C27" s="55" t="s">
        <v>191</v>
      </c>
      <c r="D27" s="138" t="s">
        <v>1182</v>
      </c>
      <c r="E27" s="55" t="s">
        <v>193</v>
      </c>
      <c r="F27" s="55" t="s">
        <v>194</v>
      </c>
      <c r="G27" s="55" t="s">
        <v>1254</v>
      </c>
      <c r="H27" s="55" t="s">
        <v>1255</v>
      </c>
      <c r="I27" s="139" t="s">
        <v>51</v>
      </c>
      <c r="J27" s="159" t="s">
        <v>1256</v>
      </c>
      <c r="K27" s="55">
        <v>20038918</v>
      </c>
      <c r="L27" s="55" t="s">
        <v>198</v>
      </c>
      <c r="M27" s="141" t="s">
        <v>1186</v>
      </c>
      <c r="N27" s="142" t="str">
        <f>LOOKUP(M27,'[2]Doc Set'!E:E,'[2]Doc Set'!F:F)</f>
        <v>_</v>
      </c>
      <c r="O27" s="141" t="s">
        <v>1186</v>
      </c>
      <c r="P27" s="142">
        <f>+LOOKUP(O27,'[2]Doc Set'!E:E,'[2]Doc Set'!G:G)</f>
        <v>43451</v>
      </c>
      <c r="Q27" s="55" t="str">
        <f t="shared" si="0"/>
        <v>MSP-F_A</v>
      </c>
      <c r="R27" s="142">
        <f>+LOOKUP(Q27,'[2]Doc Set'!E:E,'[2]Doc Set'!H:H)</f>
        <v>43479</v>
      </c>
      <c r="S27" s="143" t="s">
        <v>200</v>
      </c>
    </row>
    <row r="28" spans="1:19" x14ac:dyDescent="0.3">
      <c r="A28" s="55" t="s">
        <v>40</v>
      </c>
      <c r="B28" s="55" t="s">
        <v>190</v>
      </c>
      <c r="C28" s="55" t="s">
        <v>191</v>
      </c>
      <c r="D28" s="138" t="s">
        <v>1182</v>
      </c>
      <c r="E28" s="55" t="s">
        <v>193</v>
      </c>
      <c r="F28" s="55" t="s">
        <v>194</v>
      </c>
      <c r="G28" s="55" t="s">
        <v>1257</v>
      </c>
      <c r="H28" s="55" t="s">
        <v>1258</v>
      </c>
      <c r="I28" s="139" t="s">
        <v>51</v>
      </c>
      <c r="J28" s="159" t="s">
        <v>1259</v>
      </c>
      <c r="K28" s="55">
        <v>20038918</v>
      </c>
      <c r="L28" s="55" t="s">
        <v>198</v>
      </c>
      <c r="M28" s="141" t="s">
        <v>1186</v>
      </c>
      <c r="N28" s="142" t="str">
        <f>LOOKUP(M28,'[2]Doc Set'!E:E,'[2]Doc Set'!F:F)</f>
        <v>_</v>
      </c>
      <c r="O28" s="141" t="s">
        <v>1186</v>
      </c>
      <c r="P28" s="142">
        <f>+LOOKUP(O28,'[2]Doc Set'!E:E,'[2]Doc Set'!G:G)</f>
        <v>43451</v>
      </c>
      <c r="Q28" s="55" t="str">
        <f t="shared" si="0"/>
        <v>MSP-F_A</v>
      </c>
      <c r="R28" s="142">
        <f>+LOOKUP(Q28,'[2]Doc Set'!E:E,'[2]Doc Set'!H:H)</f>
        <v>43479</v>
      </c>
      <c r="S28" s="143" t="s">
        <v>200</v>
      </c>
    </row>
    <row r="29" spans="1:19" x14ac:dyDescent="0.3">
      <c r="A29" s="55" t="s">
        <v>40</v>
      </c>
      <c r="B29" s="55" t="s">
        <v>190</v>
      </c>
      <c r="C29" s="55" t="s">
        <v>191</v>
      </c>
      <c r="D29" s="138" t="s">
        <v>1182</v>
      </c>
      <c r="E29" s="55" t="s">
        <v>193</v>
      </c>
      <c r="F29" s="55" t="s">
        <v>194</v>
      </c>
      <c r="G29" s="55" t="s">
        <v>1260</v>
      </c>
      <c r="H29" s="55" t="s">
        <v>1261</v>
      </c>
      <c r="I29" s="139" t="s">
        <v>128</v>
      </c>
      <c r="J29" s="159" t="s">
        <v>1262</v>
      </c>
      <c r="K29" s="55">
        <v>20038918</v>
      </c>
      <c r="L29" s="55" t="s">
        <v>198</v>
      </c>
      <c r="M29" s="141" t="s">
        <v>1186</v>
      </c>
      <c r="N29" s="142" t="str">
        <f>LOOKUP(M29,'[2]Doc Set'!E:E,'[2]Doc Set'!F:F)</f>
        <v>_</v>
      </c>
      <c r="O29" s="141" t="s">
        <v>1186</v>
      </c>
      <c r="P29" s="142">
        <f>+LOOKUP(O29,'[2]Doc Set'!E:E,'[2]Doc Set'!G:G)</f>
        <v>43451</v>
      </c>
      <c r="Q29" s="55" t="str">
        <f t="shared" si="0"/>
        <v>MSP-F_A</v>
      </c>
      <c r="R29" s="142">
        <f>+LOOKUP(Q29,'[2]Doc Set'!E:E,'[2]Doc Set'!H:H)</f>
        <v>43479</v>
      </c>
      <c r="S29" s="143" t="s">
        <v>200</v>
      </c>
    </row>
    <row r="30" spans="1:19" x14ac:dyDescent="0.3">
      <c r="A30" s="55" t="s">
        <v>40</v>
      </c>
      <c r="B30" s="55" t="s">
        <v>190</v>
      </c>
      <c r="C30" s="55" t="s">
        <v>191</v>
      </c>
      <c r="D30" s="138" t="s">
        <v>1182</v>
      </c>
      <c r="E30" s="55" t="s">
        <v>193</v>
      </c>
      <c r="F30" s="55" t="s">
        <v>194</v>
      </c>
      <c r="G30" s="55" t="s">
        <v>1263</v>
      </c>
      <c r="H30" s="55" t="s">
        <v>1264</v>
      </c>
      <c r="I30" s="139" t="s">
        <v>128</v>
      </c>
      <c r="J30" s="159" t="s">
        <v>1265</v>
      </c>
      <c r="K30" s="55">
        <v>20038918</v>
      </c>
      <c r="L30" s="55" t="s">
        <v>198</v>
      </c>
      <c r="M30" s="141" t="s">
        <v>1186</v>
      </c>
      <c r="N30" s="142" t="str">
        <f>LOOKUP(M30,'[2]Doc Set'!E:E,'[2]Doc Set'!F:F)</f>
        <v>_</v>
      </c>
      <c r="O30" s="141" t="s">
        <v>1186</v>
      </c>
      <c r="P30" s="142">
        <f>+LOOKUP(O30,'[2]Doc Set'!E:E,'[2]Doc Set'!G:G)</f>
        <v>43451</v>
      </c>
      <c r="Q30" s="55" t="str">
        <f t="shared" si="0"/>
        <v>MSP-F_A</v>
      </c>
      <c r="R30" s="142">
        <f>+LOOKUP(Q30,'[2]Doc Set'!E:E,'[2]Doc Set'!H:H)</f>
        <v>43479</v>
      </c>
      <c r="S30" s="143" t="s">
        <v>200</v>
      </c>
    </row>
    <row r="31" spans="1:19" x14ac:dyDescent="0.3">
      <c r="A31" s="55" t="s">
        <v>40</v>
      </c>
      <c r="B31" s="55" t="s">
        <v>190</v>
      </c>
      <c r="C31" s="55" t="s">
        <v>191</v>
      </c>
      <c r="D31" s="138" t="s">
        <v>1182</v>
      </c>
      <c r="E31" s="55" t="s">
        <v>193</v>
      </c>
      <c r="F31" s="55" t="s">
        <v>194</v>
      </c>
      <c r="G31" s="55" t="s">
        <v>1266</v>
      </c>
      <c r="H31" s="55" t="s">
        <v>1267</v>
      </c>
      <c r="I31" s="139" t="s">
        <v>128</v>
      </c>
      <c r="J31" s="159" t="s">
        <v>1268</v>
      </c>
      <c r="K31" s="55">
        <v>20038918</v>
      </c>
      <c r="L31" s="55" t="s">
        <v>198</v>
      </c>
      <c r="M31" s="141" t="s">
        <v>1186</v>
      </c>
      <c r="N31" s="142" t="str">
        <f>LOOKUP(M31,'[2]Doc Set'!E:E,'[2]Doc Set'!F:F)</f>
        <v>_</v>
      </c>
      <c r="O31" s="141" t="s">
        <v>1186</v>
      </c>
      <c r="P31" s="142">
        <f>+LOOKUP(O31,'[2]Doc Set'!E:E,'[2]Doc Set'!G:G)</f>
        <v>43451</v>
      </c>
      <c r="Q31" s="55" t="str">
        <f t="shared" si="0"/>
        <v>MSP-F_A</v>
      </c>
      <c r="R31" s="142">
        <f>+LOOKUP(Q31,'[2]Doc Set'!E:E,'[2]Doc Set'!H:H)</f>
        <v>43479</v>
      </c>
      <c r="S31" s="143" t="s">
        <v>200</v>
      </c>
    </row>
  </sheetData>
  <autoFilter ref="A1:S26"/>
  <conditionalFormatting sqref="G1:G1048576">
    <cfRule type="duplicateValues" dxfId="123" priority="2"/>
    <cfRule type="duplicateValues" dxfId="122" priority="3"/>
  </conditionalFormatting>
  <conditionalFormatting sqref="H1:H1048576">
    <cfRule type="duplicateValues" dxfId="121" priority="1"/>
  </conditionalFormatting>
  <dataValidations count="1">
    <dataValidation type="list" allowBlank="1" showInputMessage="1" showErrorMessage="1" sqref="O2:O31 M2:M31">
      <formula1>Document_Set_Name</formula1>
    </dataValidation>
  </dataValidations>
  <pageMargins left="0.7" right="0.7" top="0.75" bottom="0.75" header="0.3" footer="0.3"/>
  <pageSetup orientation="portrait" r:id="rId1"/>
  <headerFooter>
    <oddFooter>&amp;L&amp;1#&amp;"Calibri"&amp;8 Sensitivity: LNT Construction Internal Use</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S13"/>
  <sheetViews>
    <sheetView topLeftCell="H1" zoomScaleNormal="100" workbookViewId="0">
      <selection activeCell="H86" sqref="H86:H98"/>
    </sheetView>
  </sheetViews>
  <sheetFormatPr defaultRowHeight="14.4" x14ac:dyDescent="0.3"/>
  <cols>
    <col min="1" max="1" width="11.44140625" bestFit="1" customWidth="1"/>
    <col min="3" max="3" width="11.109375" bestFit="1" customWidth="1"/>
    <col min="4" max="4" width="11.33203125" style="155" bestFit="1" customWidth="1"/>
    <col min="5" max="5" width="10.5546875" bestFit="1" customWidth="1"/>
    <col min="6" max="6" width="8.5546875" bestFit="1" customWidth="1"/>
    <col min="8" max="8" width="22.5546875" bestFit="1" customWidth="1"/>
    <col min="10" max="10" width="38.88671875" bestFit="1" customWidth="1"/>
    <col min="11" max="11" width="11.6640625" customWidth="1"/>
    <col min="12" max="12" width="11.88671875" customWidth="1"/>
    <col min="14" max="14" width="11.5546875" bestFit="1" customWidth="1"/>
    <col min="16" max="16" width="12.5546875" bestFit="1" customWidth="1"/>
    <col min="18" max="18" width="9.6640625" bestFit="1" customWidth="1"/>
    <col min="19" max="19" width="13.88671875" bestFit="1" customWidth="1"/>
  </cols>
  <sheetData>
    <row r="1" spans="1:19" s="136" customFormat="1" x14ac:dyDescent="0.3">
      <c r="A1" s="136" t="s">
        <v>174</v>
      </c>
      <c r="B1" s="136" t="s">
        <v>175</v>
      </c>
      <c r="C1" s="136" t="s">
        <v>176</v>
      </c>
      <c r="D1" s="137" t="s">
        <v>177</v>
      </c>
      <c r="E1" s="136" t="s">
        <v>178</v>
      </c>
      <c r="F1" s="136" t="s">
        <v>179</v>
      </c>
      <c r="G1" s="136" t="s">
        <v>180</v>
      </c>
      <c r="H1" s="136" t="s">
        <v>181</v>
      </c>
      <c r="I1" s="136" t="s">
        <v>182</v>
      </c>
      <c r="J1" s="136" t="s">
        <v>183</v>
      </c>
      <c r="K1" s="136" t="s">
        <v>184</v>
      </c>
      <c r="L1" s="136" t="s">
        <v>185</v>
      </c>
      <c r="M1" s="136" t="s">
        <v>34</v>
      </c>
      <c r="N1" s="136" t="s">
        <v>186</v>
      </c>
      <c r="O1" s="136" t="s">
        <v>67</v>
      </c>
      <c r="P1" s="136" t="s">
        <v>187</v>
      </c>
      <c r="Q1" s="136" t="s">
        <v>133</v>
      </c>
      <c r="R1" s="136" t="s">
        <v>188</v>
      </c>
      <c r="S1" s="136" t="s">
        <v>189</v>
      </c>
    </row>
    <row r="2" spans="1:19" x14ac:dyDescent="0.3">
      <c r="A2" t="s">
        <v>40</v>
      </c>
      <c r="B2" t="s">
        <v>190</v>
      </c>
      <c r="C2" t="s">
        <v>191</v>
      </c>
      <c r="D2" s="165" t="s">
        <v>1156</v>
      </c>
      <c r="E2" t="s">
        <v>193</v>
      </c>
      <c r="F2" t="s">
        <v>194</v>
      </c>
      <c r="G2" t="s">
        <v>303</v>
      </c>
      <c r="H2" t="s">
        <v>1157</v>
      </c>
      <c r="I2" s="139" t="s">
        <v>51</v>
      </c>
      <c r="J2" s="159" t="s">
        <v>1158</v>
      </c>
      <c r="K2">
        <v>20038918</v>
      </c>
      <c r="L2" s="55" t="s">
        <v>198</v>
      </c>
      <c r="M2" s="141" t="str">
        <f t="shared" ref="M2:M7" si="0">+O2</f>
        <v>CCP-SS_B</v>
      </c>
      <c r="N2" s="142" t="str">
        <f>LOOKUP(M2,'[2]Doc Set'!E:E,'[2]Doc Set'!F:F)</f>
        <v>_</v>
      </c>
      <c r="O2" s="141" t="s">
        <v>1159</v>
      </c>
      <c r="P2" s="142">
        <f>+LOOKUP(O2,'[2]Doc Set'!E:E,'[2]Doc Set'!G:G)</f>
        <v>43260</v>
      </c>
      <c r="Q2" s="55" t="str">
        <f>+O2</f>
        <v>CCP-SS_B</v>
      </c>
      <c r="R2" s="142">
        <f>+LOOKUP(Q2,'[2]Doc Set'!E:E,'[2]Doc Set'!H:H)</f>
        <v>43299</v>
      </c>
      <c r="S2" s="143" t="s">
        <v>200</v>
      </c>
    </row>
    <row r="3" spans="1:19" x14ac:dyDescent="0.3">
      <c r="A3" t="s">
        <v>40</v>
      </c>
      <c r="B3" t="s">
        <v>190</v>
      </c>
      <c r="C3" t="s">
        <v>191</v>
      </c>
      <c r="D3" s="165" t="s">
        <v>1156</v>
      </c>
      <c r="E3" t="s">
        <v>193</v>
      </c>
      <c r="F3" t="s">
        <v>194</v>
      </c>
      <c r="G3" t="s">
        <v>307</v>
      </c>
      <c r="H3" t="s">
        <v>1160</v>
      </c>
      <c r="I3" s="139" t="s">
        <v>51</v>
      </c>
      <c r="J3" s="159" t="s">
        <v>1161</v>
      </c>
      <c r="K3">
        <v>20038918</v>
      </c>
      <c r="L3" s="55" t="s">
        <v>198</v>
      </c>
      <c r="M3" s="141" t="str">
        <f t="shared" si="0"/>
        <v>CCP-SS_B</v>
      </c>
      <c r="N3" s="142" t="str">
        <f>LOOKUP(M3,'[2]Doc Set'!E:E,'[2]Doc Set'!F:F)</f>
        <v>_</v>
      </c>
      <c r="O3" s="141" t="s">
        <v>1159</v>
      </c>
      <c r="P3" s="142">
        <f>+LOOKUP(O3,'[2]Doc Set'!E:E,'[2]Doc Set'!G:G)</f>
        <v>43260</v>
      </c>
      <c r="Q3" s="55" t="str">
        <f t="shared" ref="Q3:Q13" si="1">+O3</f>
        <v>CCP-SS_B</v>
      </c>
      <c r="R3" s="142">
        <f>+LOOKUP(Q3,'[2]Doc Set'!E:E,'[2]Doc Set'!H:H)</f>
        <v>43299</v>
      </c>
      <c r="S3" s="143" t="s">
        <v>200</v>
      </c>
    </row>
    <row r="4" spans="1:19" x14ac:dyDescent="0.3">
      <c r="A4" t="s">
        <v>40</v>
      </c>
      <c r="B4" t="s">
        <v>190</v>
      </c>
      <c r="C4" t="s">
        <v>191</v>
      </c>
      <c r="D4" s="165" t="s">
        <v>1156</v>
      </c>
      <c r="E4" t="s">
        <v>193</v>
      </c>
      <c r="F4" t="s">
        <v>194</v>
      </c>
      <c r="G4" t="s">
        <v>282</v>
      </c>
      <c r="H4" t="s">
        <v>1162</v>
      </c>
      <c r="I4" s="139" t="s">
        <v>51</v>
      </c>
      <c r="J4" s="159" t="s">
        <v>1163</v>
      </c>
      <c r="K4">
        <v>20038918</v>
      </c>
      <c r="L4" s="55" t="s">
        <v>198</v>
      </c>
      <c r="M4" s="141" t="str">
        <f t="shared" si="0"/>
        <v>CCP-SS_B</v>
      </c>
      <c r="N4" s="142" t="str">
        <f>LOOKUP(M4,'[2]Doc Set'!E:E,'[2]Doc Set'!F:F)</f>
        <v>_</v>
      </c>
      <c r="O4" s="141" t="s">
        <v>1159</v>
      </c>
      <c r="P4" s="142">
        <f>+LOOKUP(O4,'[2]Doc Set'!E:E,'[2]Doc Set'!G:G)</f>
        <v>43260</v>
      </c>
      <c r="Q4" s="55" t="str">
        <f t="shared" si="1"/>
        <v>CCP-SS_B</v>
      </c>
      <c r="R4" s="142">
        <f>+LOOKUP(Q4,'[2]Doc Set'!E:E,'[2]Doc Set'!H:H)</f>
        <v>43299</v>
      </c>
      <c r="S4" s="143" t="s">
        <v>200</v>
      </c>
    </row>
    <row r="5" spans="1:19" x14ac:dyDescent="0.3">
      <c r="A5" t="s">
        <v>40</v>
      </c>
      <c r="B5" t="s">
        <v>190</v>
      </c>
      <c r="C5" t="s">
        <v>191</v>
      </c>
      <c r="D5" s="165" t="s">
        <v>1156</v>
      </c>
      <c r="E5" t="s">
        <v>193</v>
      </c>
      <c r="F5" t="s">
        <v>194</v>
      </c>
      <c r="G5" t="s">
        <v>285</v>
      </c>
      <c r="H5" t="s">
        <v>1164</v>
      </c>
      <c r="I5" s="139" t="s">
        <v>51</v>
      </c>
      <c r="J5" s="159" t="s">
        <v>1165</v>
      </c>
      <c r="K5">
        <v>20038918</v>
      </c>
      <c r="L5" s="55" t="s">
        <v>198</v>
      </c>
      <c r="M5" s="141" t="str">
        <f t="shared" si="0"/>
        <v>CCP-SS_B</v>
      </c>
      <c r="N5" s="142" t="str">
        <f>LOOKUP(M5,'[2]Doc Set'!E:E,'[2]Doc Set'!F:F)</f>
        <v>_</v>
      </c>
      <c r="O5" s="141" t="s">
        <v>1159</v>
      </c>
      <c r="P5" s="142">
        <f>+LOOKUP(O5,'[2]Doc Set'!E:E,'[2]Doc Set'!G:G)</f>
        <v>43260</v>
      </c>
      <c r="Q5" s="55" t="str">
        <f t="shared" si="1"/>
        <v>CCP-SS_B</v>
      </c>
      <c r="R5" s="142">
        <f>+LOOKUP(Q5,'[2]Doc Set'!E:E,'[2]Doc Set'!H:H)</f>
        <v>43299</v>
      </c>
      <c r="S5" s="143" t="s">
        <v>200</v>
      </c>
    </row>
    <row r="6" spans="1:19" x14ac:dyDescent="0.3">
      <c r="A6" t="s">
        <v>40</v>
      </c>
      <c r="B6" t="s">
        <v>190</v>
      </c>
      <c r="C6" t="s">
        <v>191</v>
      </c>
      <c r="D6" s="165" t="s">
        <v>1156</v>
      </c>
      <c r="E6" t="s">
        <v>193</v>
      </c>
      <c r="F6" t="s">
        <v>194</v>
      </c>
      <c r="G6" t="s">
        <v>261</v>
      </c>
      <c r="H6" t="s">
        <v>1166</v>
      </c>
      <c r="I6" s="139" t="s">
        <v>51</v>
      </c>
      <c r="J6" s="159" t="s">
        <v>1167</v>
      </c>
      <c r="K6">
        <v>20038918</v>
      </c>
      <c r="L6" s="55" t="s">
        <v>198</v>
      </c>
      <c r="M6" s="141" t="str">
        <f t="shared" si="0"/>
        <v>CCP-SS_B</v>
      </c>
      <c r="N6" s="142" t="str">
        <f>LOOKUP(M6,'[2]Doc Set'!E:E,'[2]Doc Set'!F:F)</f>
        <v>_</v>
      </c>
      <c r="O6" s="141" t="s">
        <v>1159</v>
      </c>
      <c r="P6" s="142">
        <f>+LOOKUP(O6,'[2]Doc Set'!E:E,'[2]Doc Set'!G:G)</f>
        <v>43260</v>
      </c>
      <c r="Q6" s="55" t="str">
        <f t="shared" si="1"/>
        <v>CCP-SS_B</v>
      </c>
      <c r="R6" s="142">
        <f>+LOOKUP(Q6,'[2]Doc Set'!E:E,'[2]Doc Set'!H:H)</f>
        <v>43299</v>
      </c>
      <c r="S6" s="143" t="s">
        <v>200</v>
      </c>
    </row>
    <row r="7" spans="1:19" x14ac:dyDescent="0.3">
      <c r="A7" t="s">
        <v>40</v>
      </c>
      <c r="B7" t="s">
        <v>190</v>
      </c>
      <c r="C7" t="s">
        <v>191</v>
      </c>
      <c r="D7" s="165" t="s">
        <v>1156</v>
      </c>
      <c r="E7" t="s">
        <v>193</v>
      </c>
      <c r="F7" t="s">
        <v>194</v>
      </c>
      <c r="G7" t="s">
        <v>264</v>
      </c>
      <c r="H7" t="s">
        <v>1168</v>
      </c>
      <c r="I7" s="139" t="s">
        <v>51</v>
      </c>
      <c r="J7" s="159" t="s">
        <v>1169</v>
      </c>
      <c r="K7">
        <v>20038918</v>
      </c>
      <c r="L7" s="55" t="s">
        <v>198</v>
      </c>
      <c r="M7" s="141" t="str">
        <f t="shared" si="0"/>
        <v>CCP-SS_B</v>
      </c>
      <c r="N7" s="142" t="str">
        <f>LOOKUP(M7,'[2]Doc Set'!E:E,'[2]Doc Set'!F:F)</f>
        <v>_</v>
      </c>
      <c r="O7" s="141" t="s">
        <v>1159</v>
      </c>
      <c r="P7" s="142">
        <f>+LOOKUP(O7,'[2]Doc Set'!E:E,'[2]Doc Set'!G:G)</f>
        <v>43260</v>
      </c>
      <c r="Q7" s="55" t="str">
        <f t="shared" si="1"/>
        <v>CCP-SS_B</v>
      </c>
      <c r="R7" s="142">
        <f>+LOOKUP(Q7,'[2]Doc Set'!E:E,'[2]Doc Set'!H:H)</f>
        <v>43299</v>
      </c>
      <c r="S7" s="143" t="s">
        <v>200</v>
      </c>
    </row>
    <row r="8" spans="1:19" x14ac:dyDescent="0.3">
      <c r="A8" t="s">
        <v>40</v>
      </c>
      <c r="B8" t="s">
        <v>190</v>
      </c>
      <c r="C8" t="s">
        <v>191</v>
      </c>
      <c r="D8" s="165" t="s">
        <v>1156</v>
      </c>
      <c r="E8" t="s">
        <v>193</v>
      </c>
      <c r="F8" t="s">
        <v>194</v>
      </c>
      <c r="G8" t="s">
        <v>500</v>
      </c>
      <c r="H8" t="s">
        <v>1170</v>
      </c>
      <c r="I8" s="139" t="s">
        <v>51</v>
      </c>
      <c r="J8" s="159" t="s">
        <v>1171</v>
      </c>
      <c r="K8">
        <v>20038918</v>
      </c>
      <c r="L8" s="55" t="s">
        <v>198</v>
      </c>
      <c r="M8" s="141" t="s">
        <v>1159</v>
      </c>
      <c r="N8" s="142" t="str">
        <f>LOOKUP(M8,'[2]Doc Set'!E:E,'[2]Doc Set'!F:F)</f>
        <v>_</v>
      </c>
      <c r="O8" s="141" t="s">
        <v>1159</v>
      </c>
      <c r="P8" s="142">
        <f>+LOOKUP(O8,'[2]Doc Set'!E:E,'[2]Doc Set'!G:G)</f>
        <v>43260</v>
      </c>
      <c r="Q8" s="55" t="str">
        <f t="shared" si="1"/>
        <v>CCP-SS_B</v>
      </c>
      <c r="R8" s="142">
        <f>+LOOKUP(Q8,'[2]Doc Set'!E:E,'[2]Doc Set'!H:H)</f>
        <v>43299</v>
      </c>
      <c r="S8" s="143" t="s">
        <v>200</v>
      </c>
    </row>
    <row r="9" spans="1:19" x14ac:dyDescent="0.3">
      <c r="A9" t="s">
        <v>40</v>
      </c>
      <c r="B9" t="s">
        <v>190</v>
      </c>
      <c r="C9" t="s">
        <v>191</v>
      </c>
      <c r="D9" s="165" t="s">
        <v>1156</v>
      </c>
      <c r="E9" t="s">
        <v>193</v>
      </c>
      <c r="F9" t="s">
        <v>194</v>
      </c>
      <c r="G9" t="s">
        <v>497</v>
      </c>
      <c r="H9" t="s">
        <v>1172</v>
      </c>
      <c r="I9" s="139" t="s">
        <v>51</v>
      </c>
      <c r="J9" s="159" t="s">
        <v>1173</v>
      </c>
      <c r="K9">
        <v>20038918</v>
      </c>
      <c r="L9" s="55" t="s">
        <v>198</v>
      </c>
      <c r="M9" s="141" t="str">
        <f>+O9</f>
        <v>CCP-SS_B</v>
      </c>
      <c r="N9" s="142" t="str">
        <f>LOOKUP(M9,'[2]Doc Set'!E:E,'[2]Doc Set'!F:F)</f>
        <v>_</v>
      </c>
      <c r="O9" s="141" t="s">
        <v>1159</v>
      </c>
      <c r="P9" s="142">
        <f>+LOOKUP(O9,'[2]Doc Set'!E:E,'[2]Doc Set'!G:G)</f>
        <v>43260</v>
      </c>
      <c r="Q9" s="55" t="str">
        <f t="shared" si="1"/>
        <v>CCP-SS_B</v>
      </c>
      <c r="R9" s="142">
        <f>+LOOKUP(Q9,'[2]Doc Set'!E:E,'[2]Doc Set'!H:H)</f>
        <v>43299</v>
      </c>
      <c r="S9" s="143" t="s">
        <v>200</v>
      </c>
    </row>
    <row r="10" spans="1:19" x14ac:dyDescent="0.3">
      <c r="A10" t="s">
        <v>40</v>
      </c>
      <c r="B10" t="s">
        <v>190</v>
      </c>
      <c r="C10" t="s">
        <v>191</v>
      </c>
      <c r="D10" s="165" t="s">
        <v>1156</v>
      </c>
      <c r="E10" t="s">
        <v>193</v>
      </c>
      <c r="F10" t="s">
        <v>194</v>
      </c>
      <c r="G10" t="s">
        <v>494</v>
      </c>
      <c r="H10" t="s">
        <v>1174</v>
      </c>
      <c r="I10" s="139" t="s">
        <v>51</v>
      </c>
      <c r="J10" s="159" t="s">
        <v>1175</v>
      </c>
      <c r="K10">
        <v>20038918</v>
      </c>
      <c r="L10" s="55" t="s">
        <v>198</v>
      </c>
      <c r="M10" s="141" t="str">
        <f>+O10</f>
        <v>CCP-SS_B</v>
      </c>
      <c r="N10" s="142" t="str">
        <f>LOOKUP(M10,'[2]Doc Set'!E:E,'[2]Doc Set'!F:F)</f>
        <v>_</v>
      </c>
      <c r="O10" s="141" t="s">
        <v>1159</v>
      </c>
      <c r="P10" s="142">
        <f>+LOOKUP(O10,'[2]Doc Set'!E:E,'[2]Doc Set'!G:G)</f>
        <v>43260</v>
      </c>
      <c r="Q10" s="55" t="str">
        <f t="shared" si="1"/>
        <v>CCP-SS_B</v>
      </c>
      <c r="R10" s="142">
        <f>+LOOKUP(Q10,'[2]Doc Set'!E:E,'[2]Doc Set'!H:H)</f>
        <v>43299</v>
      </c>
      <c r="S10" s="143" t="s">
        <v>200</v>
      </c>
    </row>
    <row r="11" spans="1:19" x14ac:dyDescent="0.3">
      <c r="A11" t="s">
        <v>40</v>
      </c>
      <c r="B11" t="s">
        <v>190</v>
      </c>
      <c r="C11" t="s">
        <v>191</v>
      </c>
      <c r="D11" s="165" t="s">
        <v>1156</v>
      </c>
      <c r="E11" t="s">
        <v>193</v>
      </c>
      <c r="F11" t="s">
        <v>663</v>
      </c>
      <c r="G11" t="s">
        <v>673</v>
      </c>
      <c r="H11" t="s">
        <v>1176</v>
      </c>
      <c r="I11" s="139" t="s">
        <v>134</v>
      </c>
      <c r="J11" s="159" t="s">
        <v>1177</v>
      </c>
      <c r="K11">
        <v>20038918</v>
      </c>
      <c r="L11" s="55" t="s">
        <v>198</v>
      </c>
      <c r="M11" s="141" t="str">
        <f>+O11</f>
        <v>CCP-SS_B</v>
      </c>
      <c r="N11" s="142" t="str">
        <f>LOOKUP(M11,'[2]Doc Set'!E:E,'[2]Doc Set'!F:F)</f>
        <v>_</v>
      </c>
      <c r="O11" s="141" t="s">
        <v>1159</v>
      </c>
      <c r="P11" s="142">
        <f>+LOOKUP(O11,'[2]Doc Set'!E:E,'[2]Doc Set'!G:G)</f>
        <v>43260</v>
      </c>
      <c r="Q11" s="55" t="str">
        <f t="shared" si="1"/>
        <v>CCP-SS_B</v>
      </c>
      <c r="R11" s="142">
        <f>+LOOKUP(Q11,'[2]Doc Set'!E:E,'[2]Doc Set'!H:H)</f>
        <v>43299</v>
      </c>
      <c r="S11" s="143" t="s">
        <v>200</v>
      </c>
    </row>
    <row r="12" spans="1:19" x14ac:dyDescent="0.3">
      <c r="A12" t="s">
        <v>40</v>
      </c>
      <c r="B12" t="s">
        <v>190</v>
      </c>
      <c r="C12" t="s">
        <v>191</v>
      </c>
      <c r="D12" s="165" t="s">
        <v>1156</v>
      </c>
      <c r="E12" t="s">
        <v>193</v>
      </c>
      <c r="F12" t="s">
        <v>663</v>
      </c>
      <c r="G12" t="s">
        <v>679</v>
      </c>
      <c r="H12" t="s">
        <v>1178</v>
      </c>
      <c r="I12" s="139" t="s">
        <v>134</v>
      </c>
      <c r="J12" s="159" t="s">
        <v>1179</v>
      </c>
      <c r="K12">
        <v>20038918</v>
      </c>
      <c r="L12" s="55" t="s">
        <v>198</v>
      </c>
      <c r="M12" s="141" t="str">
        <f>+O12</f>
        <v>CCP-SS_B</v>
      </c>
      <c r="N12" s="142" t="str">
        <f>LOOKUP(M12,'[2]Doc Set'!E:E,'[2]Doc Set'!F:F)</f>
        <v>_</v>
      </c>
      <c r="O12" s="141" t="s">
        <v>1159</v>
      </c>
      <c r="P12" s="142">
        <f>+LOOKUP(O12,'[2]Doc Set'!E:E,'[2]Doc Set'!G:G)</f>
        <v>43260</v>
      </c>
      <c r="Q12" s="55" t="str">
        <f t="shared" si="1"/>
        <v>CCP-SS_B</v>
      </c>
      <c r="R12" s="142">
        <f>+LOOKUP(Q12,'[2]Doc Set'!E:E,'[2]Doc Set'!H:H)</f>
        <v>43299</v>
      </c>
      <c r="S12" s="143" t="s">
        <v>200</v>
      </c>
    </row>
    <row r="13" spans="1:19" x14ac:dyDescent="0.3">
      <c r="A13" t="s">
        <v>40</v>
      </c>
      <c r="B13" t="s">
        <v>190</v>
      </c>
      <c r="C13" t="s">
        <v>191</v>
      </c>
      <c r="D13" s="165" t="s">
        <v>1156</v>
      </c>
      <c r="E13" t="s">
        <v>193</v>
      </c>
      <c r="F13" t="s">
        <v>663</v>
      </c>
      <c r="G13" t="s">
        <v>682</v>
      </c>
      <c r="H13" t="s">
        <v>1180</v>
      </c>
      <c r="I13" s="139" t="s">
        <v>134</v>
      </c>
      <c r="J13" s="159" t="s">
        <v>1181</v>
      </c>
      <c r="K13">
        <v>20038918</v>
      </c>
      <c r="L13" s="55" t="s">
        <v>198</v>
      </c>
      <c r="M13" s="141" t="str">
        <f>+O13</f>
        <v>CCP-SS_B</v>
      </c>
      <c r="N13" s="142" t="str">
        <f>LOOKUP(M13,'[2]Doc Set'!E:E,'[2]Doc Set'!F:F)</f>
        <v>_</v>
      </c>
      <c r="O13" s="141" t="s">
        <v>1159</v>
      </c>
      <c r="P13" s="142">
        <f>+LOOKUP(O13,'[2]Doc Set'!E:E,'[2]Doc Set'!G:G)</f>
        <v>43260</v>
      </c>
      <c r="Q13" s="55" t="str">
        <f t="shared" si="1"/>
        <v>CCP-SS_B</v>
      </c>
      <c r="R13" s="142">
        <f>+LOOKUP(Q13,'[2]Doc Set'!E:E,'[2]Doc Set'!H:H)</f>
        <v>43299</v>
      </c>
      <c r="S13" s="143" t="s">
        <v>200</v>
      </c>
    </row>
  </sheetData>
  <autoFilter ref="A1:S13"/>
  <conditionalFormatting sqref="G2:G13">
    <cfRule type="duplicateValues" dxfId="120" priority="5"/>
  </conditionalFormatting>
  <conditionalFormatting sqref="G2:G13">
    <cfRule type="duplicateValues" dxfId="119" priority="4"/>
  </conditionalFormatting>
  <conditionalFormatting sqref="G1:G1048576">
    <cfRule type="duplicateValues" dxfId="118" priority="2"/>
    <cfRule type="duplicateValues" dxfId="117" priority="3"/>
  </conditionalFormatting>
  <conditionalFormatting sqref="H1:H1048576">
    <cfRule type="duplicateValues" dxfId="116" priority="1"/>
  </conditionalFormatting>
  <dataValidations count="1">
    <dataValidation type="list" allowBlank="1" showInputMessage="1" showErrorMessage="1" sqref="O2:O13 M2:M13">
      <formula1>Document_Set_Name</formula1>
    </dataValidation>
  </dataValidations>
  <pageMargins left="0.7" right="0.7" top="0.75" bottom="0.75" header="0.3" footer="0.3"/>
  <pageSetup orientation="portrait" r:id="rId1"/>
  <headerFooter>
    <oddFooter>&amp;L&amp;1#&amp;"Calibri"&amp;8 Sensitivity: LNT Construction Internal Use</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S19"/>
  <sheetViews>
    <sheetView topLeftCell="D1" zoomScaleNormal="100" workbookViewId="0">
      <selection activeCell="H86" sqref="H86:H98"/>
    </sheetView>
  </sheetViews>
  <sheetFormatPr defaultRowHeight="14.4" x14ac:dyDescent="0.3"/>
  <cols>
    <col min="1" max="1" width="11.44140625" bestFit="1" customWidth="1"/>
    <col min="3" max="3" width="11.109375" bestFit="1" customWidth="1"/>
    <col min="4" max="4" width="11.33203125" style="155" bestFit="1" customWidth="1"/>
    <col min="5" max="5" width="10.5546875" bestFit="1" customWidth="1"/>
    <col min="6" max="6" width="8.5546875" bestFit="1" customWidth="1"/>
    <col min="8" max="8" width="22.5546875" bestFit="1" customWidth="1"/>
    <col min="10" max="10" width="56.5546875" bestFit="1" customWidth="1"/>
    <col min="11" max="11" width="11.6640625" customWidth="1"/>
    <col min="12" max="12" width="20.44140625" customWidth="1"/>
    <col min="15" max="15" width="9.109375" customWidth="1"/>
    <col min="16" max="16" width="12.5546875" bestFit="1" customWidth="1"/>
    <col min="17" max="17" width="0" hidden="1" customWidth="1"/>
    <col min="18" max="18" width="9.6640625" bestFit="1" customWidth="1"/>
    <col min="19" max="19" width="13.88671875" hidden="1" customWidth="1"/>
  </cols>
  <sheetData>
    <row r="1" spans="1:19" s="136" customFormat="1" x14ac:dyDescent="0.3">
      <c r="A1" s="136" t="s">
        <v>174</v>
      </c>
      <c r="B1" s="136" t="s">
        <v>175</v>
      </c>
      <c r="C1" s="136" t="s">
        <v>176</v>
      </c>
      <c r="D1" s="136" t="s">
        <v>177</v>
      </c>
      <c r="E1" s="136" t="s">
        <v>178</v>
      </c>
      <c r="F1" s="136" t="s">
        <v>179</v>
      </c>
      <c r="G1" s="136" t="s">
        <v>180</v>
      </c>
      <c r="H1" s="136" t="s">
        <v>181</v>
      </c>
      <c r="I1" s="136" t="s">
        <v>182</v>
      </c>
      <c r="J1" s="136" t="s">
        <v>183</v>
      </c>
      <c r="K1" s="136" t="s">
        <v>184</v>
      </c>
      <c r="L1" s="136" t="s">
        <v>185</v>
      </c>
      <c r="M1" s="136" t="s">
        <v>34</v>
      </c>
      <c r="N1" s="136" t="s">
        <v>186</v>
      </c>
      <c r="O1" s="160" t="s">
        <v>67</v>
      </c>
      <c r="P1" s="160" t="s">
        <v>187</v>
      </c>
      <c r="Q1" s="136" t="s">
        <v>133</v>
      </c>
      <c r="R1" s="136" t="s">
        <v>188</v>
      </c>
      <c r="S1" s="136" t="s">
        <v>189</v>
      </c>
    </row>
    <row r="2" spans="1:19" x14ac:dyDescent="0.3">
      <c r="A2" t="s">
        <v>40</v>
      </c>
      <c r="B2" t="s">
        <v>190</v>
      </c>
      <c r="C2" t="s">
        <v>191</v>
      </c>
      <c r="D2" s="165" t="s">
        <v>1114</v>
      </c>
      <c r="E2" t="s">
        <v>193</v>
      </c>
      <c r="F2" t="s">
        <v>194</v>
      </c>
      <c r="G2" t="s">
        <v>261</v>
      </c>
      <c r="H2" t="s">
        <v>1115</v>
      </c>
      <c r="I2" s="139" t="s">
        <v>51</v>
      </c>
      <c r="J2" s="159" t="s">
        <v>1116</v>
      </c>
      <c r="K2">
        <v>20038918</v>
      </c>
      <c r="L2" s="55" t="s">
        <v>198</v>
      </c>
      <c r="M2" s="141" t="str">
        <f>+O2</f>
        <v>EH3-SS_B</v>
      </c>
      <c r="N2" s="142" t="str">
        <f>LOOKUP(M2,'[2]Doc Set'!E:E,'[2]Doc Set'!F:F)</f>
        <v>_</v>
      </c>
      <c r="O2" s="141" t="s">
        <v>1117</v>
      </c>
      <c r="P2" s="142">
        <f>+LOOKUP(O2,'[2]Doc Set'!E:E,'[2]Doc Set'!G:G)</f>
        <v>43259</v>
      </c>
      <c r="Q2" s="55" t="str">
        <f>+O2</f>
        <v>EH3-SS_B</v>
      </c>
      <c r="R2" s="142">
        <f>+LOOKUP(Q2,'[2]Doc Set'!E:E,'[2]Doc Set'!H:H)</f>
        <v>43313</v>
      </c>
      <c r="S2" s="143" t="s">
        <v>200</v>
      </c>
    </row>
    <row r="3" spans="1:19" x14ac:dyDescent="0.3">
      <c r="A3" t="s">
        <v>40</v>
      </c>
      <c r="B3" t="s">
        <v>190</v>
      </c>
      <c r="C3" t="s">
        <v>191</v>
      </c>
      <c r="D3" s="165" t="s">
        <v>1114</v>
      </c>
      <c r="E3" t="s">
        <v>193</v>
      </c>
      <c r="F3" t="s">
        <v>194</v>
      </c>
      <c r="G3" t="s">
        <v>264</v>
      </c>
      <c r="H3" t="s">
        <v>1118</v>
      </c>
      <c r="I3" s="139" t="s">
        <v>51</v>
      </c>
      <c r="J3" s="159" t="s">
        <v>1119</v>
      </c>
      <c r="K3">
        <v>20038918</v>
      </c>
      <c r="L3" s="55" t="s">
        <v>198</v>
      </c>
      <c r="M3" s="141" t="str">
        <f t="shared" ref="M3:M19" si="0">+O3</f>
        <v>EH3-SS_B</v>
      </c>
      <c r="N3" s="142" t="str">
        <f>LOOKUP(M3,'[2]Doc Set'!E:E,'[2]Doc Set'!F:F)</f>
        <v>_</v>
      </c>
      <c r="O3" s="141" t="s">
        <v>1117</v>
      </c>
      <c r="P3" s="142">
        <f>+LOOKUP(O3,'[2]Doc Set'!E:E,'[2]Doc Set'!G:G)</f>
        <v>43259</v>
      </c>
      <c r="Q3" s="55" t="str">
        <f t="shared" ref="Q3:Q19" si="1">+O3</f>
        <v>EH3-SS_B</v>
      </c>
      <c r="R3" s="142">
        <f>+LOOKUP(Q3,'[2]Doc Set'!E:E,'[2]Doc Set'!H:H)</f>
        <v>43313</v>
      </c>
      <c r="S3" s="143" t="s">
        <v>200</v>
      </c>
    </row>
    <row r="4" spans="1:19" x14ac:dyDescent="0.3">
      <c r="A4" t="s">
        <v>40</v>
      </c>
      <c r="B4" t="s">
        <v>190</v>
      </c>
      <c r="C4" t="s">
        <v>191</v>
      </c>
      <c r="D4" s="165" t="s">
        <v>1114</v>
      </c>
      <c r="E4" t="s">
        <v>193</v>
      </c>
      <c r="F4" t="s">
        <v>194</v>
      </c>
      <c r="G4" t="s">
        <v>267</v>
      </c>
      <c r="H4" t="s">
        <v>1120</v>
      </c>
      <c r="I4" s="139" t="s">
        <v>51</v>
      </c>
      <c r="J4" s="159" t="s">
        <v>1121</v>
      </c>
      <c r="K4">
        <v>20038918</v>
      </c>
      <c r="L4" s="55" t="s">
        <v>198</v>
      </c>
      <c r="M4" s="141" t="str">
        <f t="shared" si="0"/>
        <v>EH3-SS_B</v>
      </c>
      <c r="N4" s="142" t="str">
        <f>LOOKUP(M4,'[2]Doc Set'!E:E,'[2]Doc Set'!F:F)</f>
        <v>_</v>
      </c>
      <c r="O4" s="141" t="s">
        <v>1117</v>
      </c>
      <c r="P4" s="142">
        <f>+LOOKUP(O4,'[2]Doc Set'!E:E,'[2]Doc Set'!G:G)</f>
        <v>43259</v>
      </c>
      <c r="Q4" s="55" t="str">
        <f t="shared" si="1"/>
        <v>EH3-SS_B</v>
      </c>
      <c r="R4" s="142">
        <f>+LOOKUP(Q4,'[2]Doc Set'!E:E,'[2]Doc Set'!H:H)</f>
        <v>43313</v>
      </c>
      <c r="S4" s="143" t="s">
        <v>200</v>
      </c>
    </row>
    <row r="5" spans="1:19" x14ac:dyDescent="0.3">
      <c r="A5" t="s">
        <v>40</v>
      </c>
      <c r="B5" t="s">
        <v>190</v>
      </c>
      <c r="C5" t="s">
        <v>191</v>
      </c>
      <c r="D5" s="165" t="s">
        <v>1114</v>
      </c>
      <c r="E5" t="s">
        <v>193</v>
      </c>
      <c r="F5" t="s">
        <v>194</v>
      </c>
      <c r="G5" t="s">
        <v>270</v>
      </c>
      <c r="H5" t="s">
        <v>1122</v>
      </c>
      <c r="I5" s="139" t="s">
        <v>51</v>
      </c>
      <c r="J5" s="159" t="s">
        <v>1123</v>
      </c>
      <c r="K5">
        <v>20038918</v>
      </c>
      <c r="L5" s="55" t="s">
        <v>198</v>
      </c>
      <c r="M5" s="141" t="str">
        <f t="shared" si="0"/>
        <v>EH3-SS_B</v>
      </c>
      <c r="N5" s="142" t="str">
        <f>LOOKUP(M5,'[2]Doc Set'!E:E,'[2]Doc Set'!F:F)</f>
        <v>_</v>
      </c>
      <c r="O5" s="141" t="s">
        <v>1117</v>
      </c>
      <c r="P5" s="142">
        <f>+LOOKUP(O5,'[2]Doc Set'!E:E,'[2]Doc Set'!G:G)</f>
        <v>43259</v>
      </c>
      <c r="Q5" s="55" t="str">
        <f t="shared" si="1"/>
        <v>EH3-SS_B</v>
      </c>
      <c r="R5" s="142">
        <f>+LOOKUP(Q5,'[2]Doc Set'!E:E,'[2]Doc Set'!H:H)</f>
        <v>43313</v>
      </c>
      <c r="S5" s="143" t="s">
        <v>200</v>
      </c>
    </row>
    <row r="6" spans="1:19" x14ac:dyDescent="0.3">
      <c r="A6" t="s">
        <v>40</v>
      </c>
      <c r="B6" t="s">
        <v>190</v>
      </c>
      <c r="C6" t="s">
        <v>191</v>
      </c>
      <c r="D6" s="165" t="s">
        <v>1114</v>
      </c>
      <c r="E6" t="s">
        <v>193</v>
      </c>
      <c r="F6" t="s">
        <v>194</v>
      </c>
      <c r="G6" t="s">
        <v>273</v>
      </c>
      <c r="H6" t="s">
        <v>1124</v>
      </c>
      <c r="I6" s="139" t="s">
        <v>51</v>
      </c>
      <c r="J6" s="159" t="s">
        <v>1125</v>
      </c>
      <c r="K6">
        <v>20038918</v>
      </c>
      <c r="L6" s="55" t="s">
        <v>198</v>
      </c>
      <c r="M6" s="141" t="str">
        <f t="shared" si="0"/>
        <v>EH3-SS_B</v>
      </c>
      <c r="N6" s="142" t="str">
        <f>LOOKUP(M6,'[2]Doc Set'!E:E,'[2]Doc Set'!F:F)</f>
        <v>_</v>
      </c>
      <c r="O6" s="141" t="s">
        <v>1117</v>
      </c>
      <c r="P6" s="142">
        <f>+LOOKUP(O6,'[2]Doc Set'!E:E,'[2]Doc Set'!G:G)</f>
        <v>43259</v>
      </c>
      <c r="Q6" s="55" t="str">
        <f t="shared" si="1"/>
        <v>EH3-SS_B</v>
      </c>
      <c r="R6" s="142">
        <f>+LOOKUP(Q6,'[2]Doc Set'!E:E,'[2]Doc Set'!H:H)</f>
        <v>43313</v>
      </c>
      <c r="S6" s="143" t="s">
        <v>200</v>
      </c>
    </row>
    <row r="7" spans="1:19" x14ac:dyDescent="0.3">
      <c r="A7" t="s">
        <v>40</v>
      </c>
      <c r="B7" t="s">
        <v>190</v>
      </c>
      <c r="C7" t="s">
        <v>191</v>
      </c>
      <c r="D7" s="165" t="s">
        <v>1114</v>
      </c>
      <c r="E7" t="s">
        <v>193</v>
      </c>
      <c r="F7" t="s">
        <v>194</v>
      </c>
      <c r="G7" t="s">
        <v>276</v>
      </c>
      <c r="H7" t="s">
        <v>1126</v>
      </c>
      <c r="I7" s="139" t="s">
        <v>51</v>
      </c>
      <c r="J7" s="159" t="s">
        <v>1127</v>
      </c>
      <c r="K7">
        <v>20038918</v>
      </c>
      <c r="L7" s="55" t="s">
        <v>198</v>
      </c>
      <c r="M7" s="141" t="str">
        <f t="shared" si="0"/>
        <v>EH3-SS_B</v>
      </c>
      <c r="N7" s="142" t="str">
        <f>LOOKUP(M7,'[2]Doc Set'!E:E,'[2]Doc Set'!F:F)</f>
        <v>_</v>
      </c>
      <c r="O7" s="141" t="s">
        <v>1117</v>
      </c>
      <c r="P7" s="142">
        <f>+LOOKUP(O7,'[2]Doc Set'!E:E,'[2]Doc Set'!G:G)</f>
        <v>43259</v>
      </c>
      <c r="Q7" s="55" t="str">
        <f t="shared" si="1"/>
        <v>EH3-SS_B</v>
      </c>
      <c r="R7" s="142">
        <f>+LOOKUP(Q7,'[2]Doc Set'!E:E,'[2]Doc Set'!H:H)</f>
        <v>43313</v>
      </c>
      <c r="S7" s="143" t="s">
        <v>200</v>
      </c>
    </row>
    <row r="8" spans="1:19" x14ac:dyDescent="0.3">
      <c r="A8" t="s">
        <v>40</v>
      </c>
      <c r="B8" t="s">
        <v>190</v>
      </c>
      <c r="C8" t="s">
        <v>191</v>
      </c>
      <c r="D8" s="165" t="s">
        <v>1114</v>
      </c>
      <c r="E8" t="s">
        <v>193</v>
      </c>
      <c r="F8" t="s">
        <v>194</v>
      </c>
      <c r="G8" t="s">
        <v>494</v>
      </c>
      <c r="H8" t="s">
        <v>1128</v>
      </c>
      <c r="I8" s="139" t="s">
        <v>51</v>
      </c>
      <c r="J8" s="159" t="s">
        <v>1129</v>
      </c>
      <c r="K8">
        <v>20038918</v>
      </c>
      <c r="L8" s="55" t="s">
        <v>198</v>
      </c>
      <c r="M8" s="141" t="str">
        <f t="shared" si="0"/>
        <v>EH3-SS_B</v>
      </c>
      <c r="N8" s="142" t="str">
        <f>LOOKUP(M8,'[2]Doc Set'!E:E,'[2]Doc Set'!F:F)</f>
        <v>_</v>
      </c>
      <c r="O8" s="141" t="s">
        <v>1117</v>
      </c>
      <c r="P8" s="142">
        <f>+LOOKUP(O8,'[2]Doc Set'!E:E,'[2]Doc Set'!G:G)</f>
        <v>43259</v>
      </c>
      <c r="Q8" s="55" t="str">
        <f t="shared" si="1"/>
        <v>EH3-SS_B</v>
      </c>
      <c r="R8" s="142">
        <f>+LOOKUP(Q8,'[2]Doc Set'!E:E,'[2]Doc Set'!H:H)</f>
        <v>43313</v>
      </c>
      <c r="S8" s="143" t="s">
        <v>200</v>
      </c>
    </row>
    <row r="9" spans="1:19" x14ac:dyDescent="0.3">
      <c r="A9" t="s">
        <v>40</v>
      </c>
      <c r="B9" t="s">
        <v>190</v>
      </c>
      <c r="C9" t="s">
        <v>191</v>
      </c>
      <c r="D9" s="165" t="s">
        <v>1114</v>
      </c>
      <c r="E9" t="s">
        <v>193</v>
      </c>
      <c r="F9" t="s">
        <v>194</v>
      </c>
      <c r="G9" t="s">
        <v>282</v>
      </c>
      <c r="H9" t="s">
        <v>1130</v>
      </c>
      <c r="I9" s="139" t="s">
        <v>51</v>
      </c>
      <c r="J9" s="159" t="s">
        <v>1131</v>
      </c>
      <c r="K9">
        <v>20038918</v>
      </c>
      <c r="L9" s="55" t="s">
        <v>198</v>
      </c>
      <c r="M9" s="141" t="str">
        <f t="shared" si="0"/>
        <v>EH3-SS_B</v>
      </c>
      <c r="N9" s="142" t="str">
        <f>LOOKUP(M9,'[2]Doc Set'!E:E,'[2]Doc Set'!F:F)</f>
        <v>_</v>
      </c>
      <c r="O9" s="141" t="s">
        <v>1117</v>
      </c>
      <c r="P9" s="142">
        <f>+LOOKUP(O9,'[2]Doc Set'!E:E,'[2]Doc Set'!G:G)</f>
        <v>43259</v>
      </c>
      <c r="Q9" s="55" t="str">
        <f t="shared" si="1"/>
        <v>EH3-SS_B</v>
      </c>
      <c r="R9" s="142">
        <f>+LOOKUP(Q9,'[2]Doc Set'!E:E,'[2]Doc Set'!H:H)</f>
        <v>43313</v>
      </c>
      <c r="S9" s="143" t="s">
        <v>200</v>
      </c>
    </row>
    <row r="10" spans="1:19" x14ac:dyDescent="0.3">
      <c r="A10" t="s">
        <v>40</v>
      </c>
      <c r="B10" t="s">
        <v>190</v>
      </c>
      <c r="C10" t="s">
        <v>191</v>
      </c>
      <c r="D10" s="165" t="s">
        <v>1114</v>
      </c>
      <c r="E10" t="s">
        <v>193</v>
      </c>
      <c r="F10" t="s">
        <v>194</v>
      </c>
      <c r="G10" t="s">
        <v>285</v>
      </c>
      <c r="H10" t="s">
        <v>1132</v>
      </c>
      <c r="I10" s="139" t="s">
        <v>51</v>
      </c>
      <c r="J10" s="159" t="s">
        <v>1133</v>
      </c>
      <c r="K10">
        <v>20038918</v>
      </c>
      <c r="L10" s="55" t="s">
        <v>198</v>
      </c>
      <c r="M10" s="141" t="str">
        <f t="shared" si="0"/>
        <v>EH3-SS_B</v>
      </c>
      <c r="N10" s="142" t="str">
        <f>LOOKUP(M10,'[2]Doc Set'!E:E,'[2]Doc Set'!F:F)</f>
        <v>_</v>
      </c>
      <c r="O10" s="141" t="s">
        <v>1117</v>
      </c>
      <c r="P10" s="142">
        <f>+LOOKUP(O10,'[2]Doc Set'!E:E,'[2]Doc Set'!G:G)</f>
        <v>43259</v>
      </c>
      <c r="Q10" s="55" t="str">
        <f t="shared" si="1"/>
        <v>EH3-SS_B</v>
      </c>
      <c r="R10" s="142">
        <f>+LOOKUP(Q10,'[2]Doc Set'!E:E,'[2]Doc Set'!H:H)</f>
        <v>43313</v>
      </c>
      <c r="S10" s="143" t="s">
        <v>200</v>
      </c>
    </row>
    <row r="11" spans="1:19" x14ac:dyDescent="0.3">
      <c r="A11" t="s">
        <v>40</v>
      </c>
      <c r="B11" t="s">
        <v>190</v>
      </c>
      <c r="C11" t="s">
        <v>191</v>
      </c>
      <c r="D11" s="165" t="s">
        <v>1114</v>
      </c>
      <c r="E11" t="s">
        <v>193</v>
      </c>
      <c r="F11" t="s">
        <v>194</v>
      </c>
      <c r="G11" t="s">
        <v>288</v>
      </c>
      <c r="H11" t="s">
        <v>1134</v>
      </c>
      <c r="I11" s="139" t="s">
        <v>51</v>
      </c>
      <c r="J11" s="159" t="s">
        <v>1135</v>
      </c>
      <c r="K11">
        <v>20038918</v>
      </c>
      <c r="L11" s="55" t="s">
        <v>198</v>
      </c>
      <c r="M11" s="141" t="str">
        <f t="shared" si="0"/>
        <v>EH3-SS_B</v>
      </c>
      <c r="N11" s="142" t="str">
        <f>LOOKUP(M11,'[2]Doc Set'!E:E,'[2]Doc Set'!F:F)</f>
        <v>_</v>
      </c>
      <c r="O11" s="141" t="s">
        <v>1117</v>
      </c>
      <c r="P11" s="142">
        <f>+LOOKUP(O11,'[2]Doc Set'!E:E,'[2]Doc Set'!G:G)</f>
        <v>43259</v>
      </c>
      <c r="Q11" s="55" t="str">
        <f t="shared" si="1"/>
        <v>EH3-SS_B</v>
      </c>
      <c r="R11" s="142">
        <f>+LOOKUP(Q11,'[2]Doc Set'!E:E,'[2]Doc Set'!H:H)</f>
        <v>43313</v>
      </c>
      <c r="S11" s="143" t="s">
        <v>200</v>
      </c>
    </row>
    <row r="12" spans="1:19" x14ac:dyDescent="0.3">
      <c r="A12" t="s">
        <v>40</v>
      </c>
      <c r="B12" t="s">
        <v>190</v>
      </c>
      <c r="C12" t="s">
        <v>191</v>
      </c>
      <c r="D12" s="165" t="s">
        <v>1114</v>
      </c>
      <c r="E12" t="s">
        <v>193</v>
      </c>
      <c r="F12" t="s">
        <v>194</v>
      </c>
      <c r="G12" t="s">
        <v>291</v>
      </c>
      <c r="H12" t="s">
        <v>1136</v>
      </c>
      <c r="I12" s="139" t="s">
        <v>51</v>
      </c>
      <c r="J12" s="159" t="s">
        <v>1137</v>
      </c>
      <c r="K12">
        <v>20038918</v>
      </c>
      <c r="L12" s="55" t="s">
        <v>198</v>
      </c>
      <c r="M12" s="141" t="str">
        <f t="shared" si="0"/>
        <v>EH3-SS_B</v>
      </c>
      <c r="N12" s="142" t="str">
        <f>LOOKUP(M12,'[2]Doc Set'!E:E,'[2]Doc Set'!F:F)</f>
        <v>_</v>
      </c>
      <c r="O12" s="141" t="s">
        <v>1117</v>
      </c>
      <c r="P12" s="142">
        <f>+LOOKUP(O12,'[2]Doc Set'!E:E,'[2]Doc Set'!G:G)</f>
        <v>43259</v>
      </c>
      <c r="Q12" s="55" t="str">
        <f t="shared" si="1"/>
        <v>EH3-SS_B</v>
      </c>
      <c r="R12" s="142">
        <f>+LOOKUP(Q12,'[2]Doc Set'!E:E,'[2]Doc Set'!H:H)</f>
        <v>43313</v>
      </c>
      <c r="S12" s="143" t="s">
        <v>200</v>
      </c>
    </row>
    <row r="13" spans="1:19" x14ac:dyDescent="0.3">
      <c r="A13" t="s">
        <v>40</v>
      </c>
      <c r="B13" t="s">
        <v>190</v>
      </c>
      <c r="C13" t="s">
        <v>191</v>
      </c>
      <c r="D13" s="165" t="s">
        <v>1114</v>
      </c>
      <c r="E13" t="s">
        <v>193</v>
      </c>
      <c r="F13" t="s">
        <v>194</v>
      </c>
      <c r="G13" t="s">
        <v>294</v>
      </c>
      <c r="H13" t="s">
        <v>1138</v>
      </c>
      <c r="I13" s="139" t="s">
        <v>51</v>
      </c>
      <c r="J13" s="159" t="s">
        <v>1139</v>
      </c>
      <c r="K13">
        <v>20038918</v>
      </c>
      <c r="L13" s="55" t="s">
        <v>198</v>
      </c>
      <c r="M13" s="141" t="str">
        <f t="shared" si="0"/>
        <v>EH3-SS_B</v>
      </c>
      <c r="N13" s="142" t="str">
        <f>LOOKUP(M13,'[2]Doc Set'!E:E,'[2]Doc Set'!F:F)</f>
        <v>_</v>
      </c>
      <c r="O13" s="141" t="s">
        <v>1117</v>
      </c>
      <c r="P13" s="142">
        <f>+LOOKUP(O13,'[2]Doc Set'!E:E,'[2]Doc Set'!G:G)</f>
        <v>43259</v>
      </c>
      <c r="Q13" s="55" t="str">
        <f t="shared" si="1"/>
        <v>EH3-SS_B</v>
      </c>
      <c r="R13" s="142">
        <f>+LOOKUP(Q13,'[2]Doc Set'!E:E,'[2]Doc Set'!H:H)</f>
        <v>43313</v>
      </c>
      <c r="S13" s="143" t="s">
        <v>200</v>
      </c>
    </row>
    <row r="14" spans="1:19" x14ac:dyDescent="0.3">
      <c r="A14" t="s">
        <v>40</v>
      </c>
      <c r="B14" t="s">
        <v>190</v>
      </c>
      <c r="C14" t="s">
        <v>191</v>
      </c>
      <c r="D14" s="165" t="s">
        <v>1114</v>
      </c>
      <c r="E14" t="s">
        <v>193</v>
      </c>
      <c r="F14" t="s">
        <v>194</v>
      </c>
      <c r="G14" t="s">
        <v>297</v>
      </c>
      <c r="H14" t="s">
        <v>1140</v>
      </c>
      <c r="I14" s="139" t="s">
        <v>51</v>
      </c>
      <c r="J14" s="159" t="s">
        <v>1141</v>
      </c>
      <c r="K14">
        <v>20038918</v>
      </c>
      <c r="L14" s="55" t="s">
        <v>198</v>
      </c>
      <c r="M14" s="141" t="str">
        <f t="shared" si="0"/>
        <v>EH3-SS_B</v>
      </c>
      <c r="N14" s="142" t="str">
        <f>LOOKUP(M14,'[2]Doc Set'!E:E,'[2]Doc Set'!F:F)</f>
        <v>_</v>
      </c>
      <c r="O14" s="141" t="s">
        <v>1117</v>
      </c>
      <c r="P14" s="142">
        <f>+LOOKUP(O14,'[2]Doc Set'!E:E,'[2]Doc Set'!G:G)</f>
        <v>43259</v>
      </c>
      <c r="Q14" s="55" t="str">
        <f t="shared" si="1"/>
        <v>EH3-SS_B</v>
      </c>
      <c r="R14" s="142">
        <f>+LOOKUP(Q14,'[2]Doc Set'!E:E,'[2]Doc Set'!H:H)</f>
        <v>43313</v>
      </c>
      <c r="S14" s="143" t="s">
        <v>200</v>
      </c>
    </row>
    <row r="15" spans="1:19" x14ac:dyDescent="0.3">
      <c r="A15" t="s">
        <v>40</v>
      </c>
      <c r="B15" t="s">
        <v>190</v>
      </c>
      <c r="C15" t="s">
        <v>191</v>
      </c>
      <c r="D15" s="165" t="s">
        <v>1114</v>
      </c>
      <c r="E15" t="s">
        <v>193</v>
      </c>
      <c r="F15" t="s">
        <v>194</v>
      </c>
      <c r="G15" t="s">
        <v>497</v>
      </c>
      <c r="H15" t="s">
        <v>1142</v>
      </c>
      <c r="I15" s="139" t="s">
        <v>51</v>
      </c>
      <c r="J15" s="159" t="s">
        <v>1143</v>
      </c>
      <c r="K15">
        <v>20038918</v>
      </c>
      <c r="L15" s="55" t="s">
        <v>198</v>
      </c>
      <c r="M15" s="141" t="str">
        <f t="shared" si="0"/>
        <v>EH3-SS_B</v>
      </c>
      <c r="N15" s="142" t="str">
        <f>LOOKUP(M15,'[2]Doc Set'!E:E,'[2]Doc Set'!F:F)</f>
        <v>_</v>
      </c>
      <c r="O15" s="141" t="s">
        <v>1117</v>
      </c>
      <c r="P15" s="142">
        <f>+LOOKUP(O15,'[2]Doc Set'!E:E,'[2]Doc Set'!G:G)</f>
        <v>43259</v>
      </c>
      <c r="Q15" s="55" t="str">
        <f t="shared" si="1"/>
        <v>EH3-SS_B</v>
      </c>
      <c r="R15" s="142">
        <f>+LOOKUP(Q15,'[2]Doc Set'!E:E,'[2]Doc Set'!H:H)</f>
        <v>43313</v>
      </c>
      <c r="S15" s="143" t="s">
        <v>200</v>
      </c>
    </row>
    <row r="16" spans="1:19" x14ac:dyDescent="0.3">
      <c r="A16" t="s">
        <v>40</v>
      </c>
      <c r="B16" t="s">
        <v>190</v>
      </c>
      <c r="C16" t="s">
        <v>191</v>
      </c>
      <c r="D16" s="165" t="s">
        <v>1114</v>
      </c>
      <c r="E16" t="s">
        <v>193</v>
      </c>
      <c r="F16" t="s">
        <v>663</v>
      </c>
      <c r="G16" t="s">
        <v>1144</v>
      </c>
      <c r="H16" t="s">
        <v>1145</v>
      </c>
      <c r="I16" s="154" t="s">
        <v>134</v>
      </c>
      <c r="J16" s="159" t="s">
        <v>1146</v>
      </c>
      <c r="K16">
        <v>20038918</v>
      </c>
      <c r="L16" s="55" t="s">
        <v>198</v>
      </c>
      <c r="M16" s="141" t="str">
        <f t="shared" si="0"/>
        <v>EH3-SS_B</v>
      </c>
      <c r="N16" s="142" t="str">
        <f>LOOKUP(M16,'[2]Doc Set'!E:E,'[2]Doc Set'!F:F)</f>
        <v>_</v>
      </c>
      <c r="O16" s="141" t="s">
        <v>1117</v>
      </c>
      <c r="P16" s="142">
        <f>+LOOKUP(O16,'[2]Doc Set'!E:E,'[2]Doc Set'!G:G)</f>
        <v>43259</v>
      </c>
      <c r="Q16" s="55" t="str">
        <f t="shared" si="1"/>
        <v>EH3-SS_B</v>
      </c>
      <c r="R16" s="142">
        <f>+LOOKUP(Q16,'[2]Doc Set'!E:E,'[2]Doc Set'!H:H)</f>
        <v>43313</v>
      </c>
      <c r="S16" s="143" t="s">
        <v>200</v>
      </c>
    </row>
    <row r="17" spans="1:19" x14ac:dyDescent="0.3">
      <c r="A17" t="s">
        <v>40</v>
      </c>
      <c r="B17" t="s">
        <v>190</v>
      </c>
      <c r="C17" t="s">
        <v>191</v>
      </c>
      <c r="D17" s="165" t="s">
        <v>1114</v>
      </c>
      <c r="E17" t="s">
        <v>193</v>
      </c>
      <c r="F17" t="s">
        <v>663</v>
      </c>
      <c r="G17" t="s">
        <v>1147</v>
      </c>
      <c r="H17" t="s">
        <v>1148</v>
      </c>
      <c r="I17" s="154" t="s">
        <v>134</v>
      </c>
      <c r="J17" s="159" t="s">
        <v>1149</v>
      </c>
      <c r="K17">
        <v>20038918</v>
      </c>
      <c r="L17" s="55" t="s">
        <v>198</v>
      </c>
      <c r="M17" s="141" t="str">
        <f t="shared" si="0"/>
        <v>EH3-SS_B</v>
      </c>
      <c r="N17" s="142" t="str">
        <f>LOOKUP(M17,'[2]Doc Set'!E:E,'[2]Doc Set'!F:F)</f>
        <v>_</v>
      </c>
      <c r="O17" s="141" t="s">
        <v>1117</v>
      </c>
      <c r="P17" s="142">
        <f>+LOOKUP(O17,'[2]Doc Set'!E:E,'[2]Doc Set'!G:G)</f>
        <v>43259</v>
      </c>
      <c r="Q17" s="55" t="str">
        <f t="shared" si="1"/>
        <v>EH3-SS_B</v>
      </c>
      <c r="R17" s="142">
        <f>+LOOKUP(Q17,'[2]Doc Set'!E:E,'[2]Doc Set'!H:H)</f>
        <v>43313</v>
      </c>
      <c r="S17" s="143" t="s">
        <v>200</v>
      </c>
    </row>
    <row r="18" spans="1:19" x14ac:dyDescent="0.3">
      <c r="A18" t="s">
        <v>40</v>
      </c>
      <c r="B18" t="s">
        <v>190</v>
      </c>
      <c r="C18" t="s">
        <v>191</v>
      </c>
      <c r="D18" s="165" t="s">
        <v>1114</v>
      </c>
      <c r="E18" t="s">
        <v>193</v>
      </c>
      <c r="F18" t="s">
        <v>663</v>
      </c>
      <c r="G18" t="s">
        <v>1150</v>
      </c>
      <c r="H18" t="s">
        <v>1151</v>
      </c>
      <c r="I18" s="154" t="s">
        <v>134</v>
      </c>
      <c r="J18" s="159" t="s">
        <v>1152</v>
      </c>
      <c r="K18">
        <v>20038918</v>
      </c>
      <c r="L18" s="55" t="s">
        <v>198</v>
      </c>
      <c r="M18" s="141" t="str">
        <f t="shared" si="0"/>
        <v>EH3-SS_B</v>
      </c>
      <c r="N18" s="142" t="str">
        <f>LOOKUP(M18,'[2]Doc Set'!E:E,'[2]Doc Set'!F:F)</f>
        <v>_</v>
      </c>
      <c r="O18" s="141" t="s">
        <v>1117</v>
      </c>
      <c r="P18" s="142">
        <f>+LOOKUP(O18,'[2]Doc Set'!E:E,'[2]Doc Set'!G:G)</f>
        <v>43259</v>
      </c>
      <c r="Q18" s="55" t="str">
        <f t="shared" si="1"/>
        <v>EH3-SS_B</v>
      </c>
      <c r="R18" s="142">
        <f>+LOOKUP(Q18,'[2]Doc Set'!E:E,'[2]Doc Set'!H:H)</f>
        <v>43313</v>
      </c>
      <c r="S18" s="143" t="s">
        <v>200</v>
      </c>
    </row>
    <row r="19" spans="1:19" x14ac:dyDescent="0.3">
      <c r="A19" t="s">
        <v>40</v>
      </c>
      <c r="B19" t="s">
        <v>190</v>
      </c>
      <c r="C19" t="s">
        <v>191</v>
      </c>
      <c r="D19" s="165" t="s">
        <v>1114</v>
      </c>
      <c r="E19" t="s">
        <v>193</v>
      </c>
      <c r="F19" t="s">
        <v>663</v>
      </c>
      <c r="G19" t="s">
        <v>1153</v>
      </c>
      <c r="H19" t="s">
        <v>1154</v>
      </c>
      <c r="I19" s="154" t="s">
        <v>134</v>
      </c>
      <c r="J19" s="159" t="s">
        <v>1155</v>
      </c>
      <c r="K19">
        <v>20038918</v>
      </c>
      <c r="L19" s="55" t="s">
        <v>198</v>
      </c>
      <c r="M19" s="141" t="str">
        <f t="shared" si="0"/>
        <v>EH3-SS_B</v>
      </c>
      <c r="N19" s="142" t="str">
        <f>LOOKUP(M19,'[2]Doc Set'!E:E,'[2]Doc Set'!F:F)</f>
        <v>_</v>
      </c>
      <c r="O19" s="141" t="s">
        <v>1117</v>
      </c>
      <c r="P19" s="142">
        <f>+LOOKUP(O19,'[2]Doc Set'!E:E,'[2]Doc Set'!G:G)</f>
        <v>43259</v>
      </c>
      <c r="Q19" s="55" t="str">
        <f t="shared" si="1"/>
        <v>EH3-SS_B</v>
      </c>
      <c r="R19" s="142">
        <f>+LOOKUP(Q19,'[2]Doc Set'!E:E,'[2]Doc Set'!H:H)</f>
        <v>43313</v>
      </c>
      <c r="S19" s="143" t="s">
        <v>200</v>
      </c>
    </row>
  </sheetData>
  <autoFilter ref="A1:S19"/>
  <conditionalFormatting sqref="G20:G1048576">
    <cfRule type="duplicateValues" dxfId="115" priority="5"/>
  </conditionalFormatting>
  <conditionalFormatting sqref="G2:G19">
    <cfRule type="duplicateValues" dxfId="114" priority="4"/>
  </conditionalFormatting>
  <conditionalFormatting sqref="G2:G19">
    <cfRule type="duplicateValues" dxfId="113" priority="3"/>
  </conditionalFormatting>
  <conditionalFormatting sqref="G2:G1048576">
    <cfRule type="duplicateValues" dxfId="112" priority="2"/>
  </conditionalFormatting>
  <conditionalFormatting sqref="H2:H1048576">
    <cfRule type="duplicateValues" dxfId="111" priority="1"/>
  </conditionalFormatting>
  <dataValidations count="1">
    <dataValidation type="list" allowBlank="1" showInputMessage="1" showErrorMessage="1" sqref="O2:O19 M2:M19">
      <formula1>Document_Set_Name</formula1>
    </dataValidation>
  </dataValidations>
  <pageMargins left="0.7" right="0.7" top="0.75" bottom="0.75" header="0.3" footer="0.3"/>
  <pageSetup orientation="portrait" r:id="rId1"/>
  <headerFooter>
    <oddFooter>&amp;L&amp;1#&amp;"Calibri"&amp;8 Sensitivity: LNT Construction Internal Use</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S95"/>
  <sheetViews>
    <sheetView topLeftCell="H76" zoomScaleNormal="100" workbookViewId="0">
      <selection activeCell="H86" sqref="H86:H98"/>
    </sheetView>
  </sheetViews>
  <sheetFormatPr defaultRowHeight="14.4" x14ac:dyDescent="0.3"/>
  <cols>
    <col min="1" max="1" width="11.44140625" bestFit="1" customWidth="1"/>
    <col min="3" max="3" width="11.109375" bestFit="1" customWidth="1"/>
    <col min="4" max="4" width="11.33203125" style="155" bestFit="1" customWidth="1"/>
    <col min="5" max="5" width="10.5546875" bestFit="1" customWidth="1"/>
    <col min="6" max="6" width="8.5546875" bestFit="1" customWidth="1"/>
    <col min="8" max="8" width="22.5546875" bestFit="1" customWidth="1"/>
    <col min="10" max="10" width="56.5546875" bestFit="1" customWidth="1"/>
    <col min="11" max="11" width="11.6640625" customWidth="1"/>
    <col min="12" max="12" width="20.44140625" customWidth="1"/>
    <col min="14" max="14" width="9.88671875" bestFit="1" customWidth="1"/>
    <col min="15" max="15" width="10.33203125" customWidth="1"/>
    <col min="16" max="16" width="12.5546875" bestFit="1" customWidth="1"/>
    <col min="17" max="17" width="10.33203125" customWidth="1"/>
    <col min="18" max="18" width="9.6640625" bestFit="1" customWidth="1"/>
    <col min="19" max="19" width="9.109375" customWidth="1"/>
  </cols>
  <sheetData>
    <row r="1" spans="1:19" s="136" customFormat="1" x14ac:dyDescent="0.3">
      <c r="A1" s="160" t="s">
        <v>174</v>
      </c>
      <c r="B1" s="160" t="s">
        <v>175</v>
      </c>
      <c r="C1" s="160" t="s">
        <v>176</v>
      </c>
      <c r="D1" s="161" t="s">
        <v>177</v>
      </c>
      <c r="E1" s="160" t="s">
        <v>178</v>
      </c>
      <c r="F1" s="160" t="s">
        <v>179</v>
      </c>
      <c r="G1" s="160" t="s">
        <v>180</v>
      </c>
      <c r="H1" s="160" t="s">
        <v>181</v>
      </c>
      <c r="I1" s="160" t="s">
        <v>182</v>
      </c>
      <c r="J1" s="160" t="s">
        <v>183</v>
      </c>
      <c r="K1" s="160" t="s">
        <v>184</v>
      </c>
      <c r="L1" s="160" t="s">
        <v>185</v>
      </c>
      <c r="M1" s="160" t="s">
        <v>34</v>
      </c>
      <c r="N1" s="160" t="s">
        <v>186</v>
      </c>
      <c r="O1" s="160" t="s">
        <v>67</v>
      </c>
      <c r="P1" s="160" t="s">
        <v>187</v>
      </c>
      <c r="Q1" s="160" t="s">
        <v>133</v>
      </c>
      <c r="R1" s="160" t="s">
        <v>188</v>
      </c>
      <c r="S1" s="160" t="s">
        <v>189</v>
      </c>
    </row>
    <row r="2" spans="1:19" x14ac:dyDescent="0.3">
      <c r="A2" s="55" t="s">
        <v>40</v>
      </c>
      <c r="B2" s="55" t="s">
        <v>190</v>
      </c>
      <c r="C2" s="55" t="s">
        <v>191</v>
      </c>
      <c r="D2" s="162" t="s">
        <v>65</v>
      </c>
      <c r="E2" s="55" t="s">
        <v>193</v>
      </c>
      <c r="F2" s="55" t="s">
        <v>194</v>
      </c>
      <c r="G2" s="55" t="s">
        <v>346</v>
      </c>
      <c r="H2" s="55" t="s">
        <v>929</v>
      </c>
      <c r="I2" s="139" t="s">
        <v>51</v>
      </c>
      <c r="J2" s="159" t="s">
        <v>930</v>
      </c>
      <c r="K2" s="55">
        <v>20038918</v>
      </c>
      <c r="L2" s="55" t="s">
        <v>198</v>
      </c>
      <c r="M2" s="141" t="str">
        <f>+O2</f>
        <v>EH2-INT_D</v>
      </c>
      <c r="N2" s="142" t="str">
        <f>LOOKUP(M2,'[2]Doc Set'!E:E,'[2]Doc Set'!F:F)</f>
        <v>_</v>
      </c>
      <c r="O2" s="141" t="s">
        <v>931</v>
      </c>
      <c r="P2" s="142">
        <f>+LOOKUP(O2,'[2]Doc Set'!E:E,'[2]Doc Set'!G:G)</f>
        <v>43500</v>
      </c>
      <c r="Q2" s="55" t="str">
        <f>+O2</f>
        <v>EH2-INT_D</v>
      </c>
      <c r="R2" s="142">
        <f>+LOOKUP(Q2,'[2]Doc Set'!E:E,'[2]Doc Set'!H:H)</f>
        <v>43528</v>
      </c>
      <c r="S2" s="143" t="s">
        <v>200</v>
      </c>
    </row>
    <row r="3" spans="1:19" x14ac:dyDescent="0.3">
      <c r="A3" s="55" t="s">
        <v>40</v>
      </c>
      <c r="B3" s="55" t="s">
        <v>190</v>
      </c>
      <c r="C3" s="55" t="s">
        <v>191</v>
      </c>
      <c r="D3" s="162" t="s">
        <v>65</v>
      </c>
      <c r="E3" s="55" t="s">
        <v>193</v>
      </c>
      <c r="F3" s="55" t="s">
        <v>194</v>
      </c>
      <c r="G3" s="55" t="s">
        <v>349</v>
      </c>
      <c r="H3" s="55" t="s">
        <v>932</v>
      </c>
      <c r="I3" s="139" t="s">
        <v>51</v>
      </c>
      <c r="J3" s="159" t="s">
        <v>933</v>
      </c>
      <c r="K3" s="55">
        <v>20038918</v>
      </c>
      <c r="L3" s="55" t="s">
        <v>198</v>
      </c>
      <c r="M3" s="141" t="str">
        <f t="shared" ref="M3:M66" si="0">+O3</f>
        <v>EH2-INT_D</v>
      </c>
      <c r="N3" s="142" t="str">
        <f>LOOKUP(M3,'[2]Doc Set'!E:E,'[2]Doc Set'!F:F)</f>
        <v>_</v>
      </c>
      <c r="O3" s="141" t="s">
        <v>931</v>
      </c>
      <c r="P3" s="142">
        <f>+LOOKUP(O3,'[2]Doc Set'!E:E,'[2]Doc Set'!G:G)</f>
        <v>43500</v>
      </c>
      <c r="Q3" s="55" t="str">
        <f t="shared" ref="Q3:Q66" si="1">+O3</f>
        <v>EH2-INT_D</v>
      </c>
      <c r="R3" s="142">
        <f>+LOOKUP(Q3,'[2]Doc Set'!E:E,'[2]Doc Set'!H:H)</f>
        <v>43528</v>
      </c>
      <c r="S3" s="143" t="s">
        <v>200</v>
      </c>
    </row>
    <row r="4" spans="1:19" x14ac:dyDescent="0.3">
      <c r="A4" s="55" t="s">
        <v>40</v>
      </c>
      <c r="B4" s="55" t="s">
        <v>190</v>
      </c>
      <c r="C4" s="55" t="s">
        <v>191</v>
      </c>
      <c r="D4" s="162" t="s">
        <v>65</v>
      </c>
      <c r="E4" s="55" t="s">
        <v>193</v>
      </c>
      <c r="F4" s="55" t="s">
        <v>194</v>
      </c>
      <c r="G4" s="55" t="s">
        <v>352</v>
      </c>
      <c r="H4" s="55" t="s">
        <v>934</v>
      </c>
      <c r="I4" s="139" t="s">
        <v>51</v>
      </c>
      <c r="J4" s="159" t="s">
        <v>935</v>
      </c>
      <c r="K4" s="55">
        <v>20038918</v>
      </c>
      <c r="L4" s="55" t="s">
        <v>198</v>
      </c>
      <c r="M4" s="141" t="str">
        <f t="shared" si="0"/>
        <v>EH2-INT_D</v>
      </c>
      <c r="N4" s="142" t="str">
        <f>LOOKUP(M4,'[2]Doc Set'!E:E,'[2]Doc Set'!F:F)</f>
        <v>_</v>
      </c>
      <c r="O4" s="141" t="s">
        <v>931</v>
      </c>
      <c r="P4" s="142">
        <f>+LOOKUP(O4,'[2]Doc Set'!E:E,'[2]Doc Set'!G:G)</f>
        <v>43500</v>
      </c>
      <c r="Q4" s="55" t="str">
        <f t="shared" si="1"/>
        <v>EH2-INT_D</v>
      </c>
      <c r="R4" s="142">
        <f>+LOOKUP(Q4,'[2]Doc Set'!E:E,'[2]Doc Set'!H:H)</f>
        <v>43528</v>
      </c>
      <c r="S4" s="143" t="s">
        <v>200</v>
      </c>
    </row>
    <row r="5" spans="1:19" x14ac:dyDescent="0.3">
      <c r="A5" s="55" t="s">
        <v>40</v>
      </c>
      <c r="B5" s="55" t="s">
        <v>190</v>
      </c>
      <c r="C5" s="55" t="s">
        <v>191</v>
      </c>
      <c r="D5" s="162" t="s">
        <v>65</v>
      </c>
      <c r="E5" s="55" t="s">
        <v>193</v>
      </c>
      <c r="F5" s="55" t="s">
        <v>194</v>
      </c>
      <c r="G5" s="55" t="s">
        <v>355</v>
      </c>
      <c r="H5" s="55" t="s">
        <v>936</v>
      </c>
      <c r="I5" s="139" t="s">
        <v>51</v>
      </c>
      <c r="J5" s="159" t="s">
        <v>937</v>
      </c>
      <c r="K5" s="55">
        <v>20038918</v>
      </c>
      <c r="L5" s="55" t="s">
        <v>198</v>
      </c>
      <c r="M5" s="141" t="str">
        <f t="shared" si="0"/>
        <v>EH2-INT_D</v>
      </c>
      <c r="N5" s="142" t="str">
        <f>LOOKUP(M5,'[2]Doc Set'!E:E,'[2]Doc Set'!F:F)</f>
        <v>_</v>
      </c>
      <c r="O5" s="141" t="s">
        <v>931</v>
      </c>
      <c r="P5" s="142">
        <f>+LOOKUP(O5,'[2]Doc Set'!E:E,'[2]Doc Set'!G:G)</f>
        <v>43500</v>
      </c>
      <c r="Q5" s="55" t="str">
        <f t="shared" si="1"/>
        <v>EH2-INT_D</v>
      </c>
      <c r="R5" s="142">
        <f>+LOOKUP(Q5,'[2]Doc Set'!E:E,'[2]Doc Set'!H:H)</f>
        <v>43528</v>
      </c>
      <c r="S5" s="143" t="s">
        <v>200</v>
      </c>
    </row>
    <row r="6" spans="1:19" x14ac:dyDescent="0.3">
      <c r="A6" s="55" t="s">
        <v>40</v>
      </c>
      <c r="B6" s="55" t="s">
        <v>190</v>
      </c>
      <c r="C6" s="55" t="s">
        <v>191</v>
      </c>
      <c r="D6" s="162" t="s">
        <v>65</v>
      </c>
      <c r="E6" s="55" t="s">
        <v>193</v>
      </c>
      <c r="F6" s="55" t="s">
        <v>194</v>
      </c>
      <c r="G6" s="55" t="s">
        <v>358</v>
      </c>
      <c r="H6" s="55" t="s">
        <v>938</v>
      </c>
      <c r="I6" s="139" t="s">
        <v>51</v>
      </c>
      <c r="J6" s="159" t="s">
        <v>939</v>
      </c>
      <c r="K6" s="55">
        <v>20038918</v>
      </c>
      <c r="L6" s="55" t="s">
        <v>198</v>
      </c>
      <c r="M6" s="141" t="str">
        <f t="shared" si="0"/>
        <v>EH2-INT_D</v>
      </c>
      <c r="N6" s="142" t="str">
        <f>LOOKUP(M6,'[2]Doc Set'!E:E,'[2]Doc Set'!F:F)</f>
        <v>_</v>
      </c>
      <c r="O6" s="141" t="s">
        <v>931</v>
      </c>
      <c r="P6" s="142">
        <f>+LOOKUP(O6,'[2]Doc Set'!E:E,'[2]Doc Set'!G:G)</f>
        <v>43500</v>
      </c>
      <c r="Q6" s="55" t="str">
        <f t="shared" si="1"/>
        <v>EH2-INT_D</v>
      </c>
      <c r="R6" s="142">
        <f>+LOOKUP(Q6,'[2]Doc Set'!E:E,'[2]Doc Set'!H:H)</f>
        <v>43528</v>
      </c>
      <c r="S6" s="143" t="s">
        <v>200</v>
      </c>
    </row>
    <row r="7" spans="1:19" x14ac:dyDescent="0.3">
      <c r="A7" s="55" t="s">
        <v>40</v>
      </c>
      <c r="B7" s="55" t="s">
        <v>190</v>
      </c>
      <c r="C7" s="55" t="s">
        <v>191</v>
      </c>
      <c r="D7" s="162" t="s">
        <v>65</v>
      </c>
      <c r="E7" s="55" t="s">
        <v>193</v>
      </c>
      <c r="F7" s="55" t="s">
        <v>194</v>
      </c>
      <c r="G7" s="55" t="s">
        <v>361</v>
      </c>
      <c r="H7" s="55" t="s">
        <v>940</v>
      </c>
      <c r="I7" s="139" t="s">
        <v>51</v>
      </c>
      <c r="J7" s="159" t="s">
        <v>941</v>
      </c>
      <c r="K7" s="55">
        <v>20038918</v>
      </c>
      <c r="L7" s="55" t="s">
        <v>198</v>
      </c>
      <c r="M7" s="141" t="str">
        <f t="shared" si="0"/>
        <v>EH2-INT_D</v>
      </c>
      <c r="N7" s="142" t="str">
        <f>LOOKUP(M7,'[2]Doc Set'!E:E,'[2]Doc Set'!F:F)</f>
        <v>_</v>
      </c>
      <c r="O7" s="141" t="s">
        <v>931</v>
      </c>
      <c r="P7" s="142">
        <f>+LOOKUP(O7,'[2]Doc Set'!E:E,'[2]Doc Set'!G:G)</f>
        <v>43500</v>
      </c>
      <c r="Q7" s="55" t="str">
        <f t="shared" si="1"/>
        <v>EH2-INT_D</v>
      </c>
      <c r="R7" s="142">
        <f>+LOOKUP(Q7,'[2]Doc Set'!E:E,'[2]Doc Set'!H:H)</f>
        <v>43528</v>
      </c>
      <c r="S7" s="143" t="s">
        <v>200</v>
      </c>
    </row>
    <row r="8" spans="1:19" x14ac:dyDescent="0.3">
      <c r="A8" s="55" t="s">
        <v>40</v>
      </c>
      <c r="B8" s="55" t="s">
        <v>190</v>
      </c>
      <c r="C8" s="55" t="s">
        <v>191</v>
      </c>
      <c r="D8" s="162" t="s">
        <v>65</v>
      </c>
      <c r="E8" s="55" t="s">
        <v>193</v>
      </c>
      <c r="F8" s="55" t="s">
        <v>194</v>
      </c>
      <c r="G8" s="55" t="s">
        <v>240</v>
      </c>
      <c r="H8" s="55" t="s">
        <v>942</v>
      </c>
      <c r="I8" s="139" t="s">
        <v>51</v>
      </c>
      <c r="J8" s="159" t="s">
        <v>943</v>
      </c>
      <c r="K8" s="55">
        <v>20038918</v>
      </c>
      <c r="L8" s="55" t="s">
        <v>198</v>
      </c>
      <c r="M8" s="141" t="str">
        <f t="shared" si="0"/>
        <v>EH2-INT_D</v>
      </c>
      <c r="N8" s="142" t="str">
        <f>LOOKUP(M8,'[2]Doc Set'!E:E,'[2]Doc Set'!F:F)</f>
        <v>_</v>
      </c>
      <c r="O8" s="141" t="s">
        <v>931</v>
      </c>
      <c r="P8" s="142">
        <f>+LOOKUP(O8,'[2]Doc Set'!E:E,'[2]Doc Set'!G:G)</f>
        <v>43500</v>
      </c>
      <c r="Q8" s="55" t="str">
        <f t="shared" si="1"/>
        <v>EH2-INT_D</v>
      </c>
      <c r="R8" s="142">
        <f>+LOOKUP(Q8,'[2]Doc Set'!E:E,'[2]Doc Set'!H:H)</f>
        <v>43528</v>
      </c>
      <c r="S8" s="143" t="s">
        <v>200</v>
      </c>
    </row>
    <row r="9" spans="1:19" x14ac:dyDescent="0.3">
      <c r="A9" s="55" t="s">
        <v>40</v>
      </c>
      <c r="B9" s="55" t="s">
        <v>190</v>
      </c>
      <c r="C9" s="55" t="s">
        <v>191</v>
      </c>
      <c r="D9" s="162" t="s">
        <v>65</v>
      </c>
      <c r="E9" s="55" t="s">
        <v>193</v>
      </c>
      <c r="F9" s="55" t="s">
        <v>194</v>
      </c>
      <c r="G9" s="55" t="s">
        <v>243</v>
      </c>
      <c r="H9" s="55" t="s">
        <v>944</v>
      </c>
      <c r="I9" s="139" t="s">
        <v>51</v>
      </c>
      <c r="J9" s="159" t="s">
        <v>945</v>
      </c>
      <c r="K9" s="55">
        <v>20038918</v>
      </c>
      <c r="L9" s="55" t="s">
        <v>198</v>
      </c>
      <c r="M9" s="141" t="str">
        <f t="shared" si="0"/>
        <v>EH2-INT_D</v>
      </c>
      <c r="N9" s="142" t="str">
        <f>LOOKUP(M9,'[2]Doc Set'!E:E,'[2]Doc Set'!F:F)</f>
        <v>_</v>
      </c>
      <c r="O9" s="141" t="s">
        <v>931</v>
      </c>
      <c r="P9" s="142">
        <f>+LOOKUP(O9,'[2]Doc Set'!E:E,'[2]Doc Set'!G:G)</f>
        <v>43500</v>
      </c>
      <c r="Q9" s="55" t="str">
        <f t="shared" si="1"/>
        <v>EH2-INT_D</v>
      </c>
      <c r="R9" s="142">
        <f>+LOOKUP(Q9,'[2]Doc Set'!E:E,'[2]Doc Set'!H:H)</f>
        <v>43528</v>
      </c>
      <c r="S9" s="143" t="s">
        <v>200</v>
      </c>
    </row>
    <row r="10" spans="1:19" x14ac:dyDescent="0.3">
      <c r="A10" s="55" t="s">
        <v>40</v>
      </c>
      <c r="B10" s="55" t="s">
        <v>190</v>
      </c>
      <c r="C10" s="55" t="s">
        <v>191</v>
      </c>
      <c r="D10" s="162" t="s">
        <v>65</v>
      </c>
      <c r="E10" s="55" t="s">
        <v>193</v>
      </c>
      <c r="F10" s="55" t="s">
        <v>194</v>
      </c>
      <c r="G10" s="55" t="s">
        <v>246</v>
      </c>
      <c r="H10" s="55" t="s">
        <v>946</v>
      </c>
      <c r="I10" s="139" t="s">
        <v>51</v>
      </c>
      <c r="J10" s="159" t="s">
        <v>947</v>
      </c>
      <c r="K10" s="55">
        <v>20038918</v>
      </c>
      <c r="L10" s="55" t="s">
        <v>198</v>
      </c>
      <c r="M10" s="141" t="str">
        <f t="shared" si="0"/>
        <v>EH2-INT_D</v>
      </c>
      <c r="N10" s="142" t="str">
        <f>LOOKUP(M10,'[2]Doc Set'!E:E,'[2]Doc Set'!F:F)</f>
        <v>_</v>
      </c>
      <c r="O10" s="141" t="s">
        <v>931</v>
      </c>
      <c r="P10" s="142">
        <f>+LOOKUP(O10,'[2]Doc Set'!E:E,'[2]Doc Set'!G:G)</f>
        <v>43500</v>
      </c>
      <c r="Q10" s="55" t="str">
        <f t="shared" si="1"/>
        <v>EH2-INT_D</v>
      </c>
      <c r="R10" s="142">
        <f>+LOOKUP(Q10,'[2]Doc Set'!E:E,'[2]Doc Set'!H:H)</f>
        <v>43528</v>
      </c>
      <c r="S10" s="143" t="s">
        <v>200</v>
      </c>
    </row>
    <row r="11" spans="1:19" x14ac:dyDescent="0.3">
      <c r="A11" s="55" t="s">
        <v>40</v>
      </c>
      <c r="B11" s="55" t="s">
        <v>190</v>
      </c>
      <c r="C11" s="55" t="s">
        <v>191</v>
      </c>
      <c r="D11" s="162" t="s">
        <v>65</v>
      </c>
      <c r="E11" s="55" t="s">
        <v>193</v>
      </c>
      <c r="F11" s="55" t="s">
        <v>194</v>
      </c>
      <c r="G11" s="55" t="s">
        <v>249</v>
      </c>
      <c r="H11" s="55" t="s">
        <v>948</v>
      </c>
      <c r="I11" s="139" t="s">
        <v>51</v>
      </c>
      <c r="J11" s="159" t="s">
        <v>949</v>
      </c>
      <c r="K11" s="55">
        <v>20038918</v>
      </c>
      <c r="L11" s="55" t="s">
        <v>198</v>
      </c>
      <c r="M11" s="141" t="str">
        <f t="shared" si="0"/>
        <v>EH2-INT_D</v>
      </c>
      <c r="N11" s="142" t="str">
        <f>LOOKUP(M11,'[2]Doc Set'!E:E,'[2]Doc Set'!F:F)</f>
        <v>_</v>
      </c>
      <c r="O11" s="141" t="s">
        <v>931</v>
      </c>
      <c r="P11" s="142">
        <f>+LOOKUP(O11,'[2]Doc Set'!E:E,'[2]Doc Set'!G:G)</f>
        <v>43500</v>
      </c>
      <c r="Q11" s="55" t="str">
        <f t="shared" si="1"/>
        <v>EH2-INT_D</v>
      </c>
      <c r="R11" s="142">
        <f>+LOOKUP(Q11,'[2]Doc Set'!E:E,'[2]Doc Set'!H:H)</f>
        <v>43528</v>
      </c>
      <c r="S11" s="143" t="s">
        <v>200</v>
      </c>
    </row>
    <row r="12" spans="1:19" x14ac:dyDescent="0.3">
      <c r="A12" s="55" t="s">
        <v>40</v>
      </c>
      <c r="B12" s="55" t="s">
        <v>190</v>
      </c>
      <c r="C12" s="55" t="s">
        <v>191</v>
      </c>
      <c r="D12" s="162" t="s">
        <v>65</v>
      </c>
      <c r="E12" s="55" t="s">
        <v>193</v>
      </c>
      <c r="F12" s="55" t="s">
        <v>194</v>
      </c>
      <c r="G12" s="55" t="s">
        <v>252</v>
      </c>
      <c r="H12" s="55" t="s">
        <v>950</v>
      </c>
      <c r="I12" s="139" t="s">
        <v>51</v>
      </c>
      <c r="J12" s="159" t="s">
        <v>951</v>
      </c>
      <c r="K12" s="55">
        <v>20038918</v>
      </c>
      <c r="L12" s="55" t="s">
        <v>198</v>
      </c>
      <c r="M12" s="141" t="str">
        <f t="shared" si="0"/>
        <v>EH2-INT_D</v>
      </c>
      <c r="N12" s="142" t="str">
        <f>LOOKUP(M12,'[2]Doc Set'!E:E,'[2]Doc Set'!F:F)</f>
        <v>_</v>
      </c>
      <c r="O12" s="141" t="s">
        <v>931</v>
      </c>
      <c r="P12" s="142">
        <f>+LOOKUP(O12,'[2]Doc Set'!E:E,'[2]Doc Set'!G:G)</f>
        <v>43500</v>
      </c>
      <c r="Q12" s="55" t="str">
        <f t="shared" si="1"/>
        <v>EH2-INT_D</v>
      </c>
      <c r="R12" s="142">
        <f>+LOOKUP(Q12,'[2]Doc Set'!E:E,'[2]Doc Set'!H:H)</f>
        <v>43528</v>
      </c>
      <c r="S12" s="143" t="s">
        <v>200</v>
      </c>
    </row>
    <row r="13" spans="1:19" x14ac:dyDescent="0.3">
      <c r="A13" s="55" t="s">
        <v>40</v>
      </c>
      <c r="B13" s="55" t="s">
        <v>190</v>
      </c>
      <c r="C13" s="55" t="s">
        <v>191</v>
      </c>
      <c r="D13" s="162" t="s">
        <v>65</v>
      </c>
      <c r="E13" s="55" t="s">
        <v>193</v>
      </c>
      <c r="F13" s="55" t="s">
        <v>194</v>
      </c>
      <c r="G13" s="55" t="s">
        <v>255</v>
      </c>
      <c r="H13" s="55" t="s">
        <v>952</v>
      </c>
      <c r="I13" s="139" t="s">
        <v>51</v>
      </c>
      <c r="J13" s="159" t="s">
        <v>953</v>
      </c>
      <c r="K13" s="55">
        <v>20038918</v>
      </c>
      <c r="L13" s="55" t="s">
        <v>198</v>
      </c>
      <c r="M13" s="141" t="str">
        <f t="shared" si="0"/>
        <v>EH2-INT_D</v>
      </c>
      <c r="N13" s="142" t="str">
        <f>LOOKUP(M13,'[2]Doc Set'!E:E,'[2]Doc Set'!F:F)</f>
        <v>_</v>
      </c>
      <c r="O13" s="141" t="s">
        <v>931</v>
      </c>
      <c r="P13" s="142">
        <f>+LOOKUP(O13,'[2]Doc Set'!E:E,'[2]Doc Set'!G:G)</f>
        <v>43500</v>
      </c>
      <c r="Q13" s="55" t="str">
        <f t="shared" si="1"/>
        <v>EH2-INT_D</v>
      </c>
      <c r="R13" s="142">
        <f>+LOOKUP(Q13,'[2]Doc Set'!E:E,'[2]Doc Set'!H:H)</f>
        <v>43528</v>
      </c>
      <c r="S13" s="143" t="s">
        <v>200</v>
      </c>
    </row>
    <row r="14" spans="1:19" x14ac:dyDescent="0.3">
      <c r="A14" s="55" t="s">
        <v>40</v>
      </c>
      <c r="B14" s="55" t="s">
        <v>190</v>
      </c>
      <c r="C14" s="55" t="s">
        <v>191</v>
      </c>
      <c r="D14" s="162" t="s">
        <v>65</v>
      </c>
      <c r="E14" s="55" t="s">
        <v>193</v>
      </c>
      <c r="F14" s="55" t="s">
        <v>194</v>
      </c>
      <c r="G14" s="55" t="s">
        <v>258</v>
      </c>
      <c r="H14" s="55" t="s">
        <v>954</v>
      </c>
      <c r="I14" s="139" t="s">
        <v>51</v>
      </c>
      <c r="J14" s="159" t="s">
        <v>955</v>
      </c>
      <c r="K14" s="55">
        <v>20038918</v>
      </c>
      <c r="L14" s="55" t="s">
        <v>198</v>
      </c>
      <c r="M14" s="141" t="str">
        <f t="shared" si="0"/>
        <v>EH2-INT_D</v>
      </c>
      <c r="N14" s="142" t="str">
        <f>LOOKUP(M14,'[2]Doc Set'!E:E,'[2]Doc Set'!F:F)</f>
        <v>_</v>
      </c>
      <c r="O14" s="141" t="s">
        <v>931</v>
      </c>
      <c r="P14" s="142">
        <f>+LOOKUP(O14,'[2]Doc Set'!E:E,'[2]Doc Set'!G:G)</f>
        <v>43500</v>
      </c>
      <c r="Q14" s="55" t="str">
        <f t="shared" si="1"/>
        <v>EH2-INT_D</v>
      </c>
      <c r="R14" s="142">
        <f>+LOOKUP(Q14,'[2]Doc Set'!E:E,'[2]Doc Set'!H:H)</f>
        <v>43528</v>
      </c>
      <c r="S14" s="143" t="s">
        <v>200</v>
      </c>
    </row>
    <row r="15" spans="1:19" x14ac:dyDescent="0.3">
      <c r="A15" s="55" t="s">
        <v>40</v>
      </c>
      <c r="B15" s="55" t="s">
        <v>190</v>
      </c>
      <c r="C15" s="55" t="s">
        <v>191</v>
      </c>
      <c r="D15" s="162" t="s">
        <v>65</v>
      </c>
      <c r="E15" s="55" t="s">
        <v>193</v>
      </c>
      <c r="F15" s="55" t="s">
        <v>194</v>
      </c>
      <c r="G15" s="55" t="s">
        <v>739</v>
      </c>
      <c r="H15" s="55" t="s">
        <v>956</v>
      </c>
      <c r="I15" s="139" t="s">
        <v>51</v>
      </c>
      <c r="J15" s="159" t="s">
        <v>957</v>
      </c>
      <c r="K15" s="55">
        <v>20038918</v>
      </c>
      <c r="L15" s="55" t="s">
        <v>198</v>
      </c>
      <c r="M15" s="141" t="str">
        <f t="shared" si="0"/>
        <v>EH2-INT_D</v>
      </c>
      <c r="N15" s="142" t="str">
        <f>LOOKUP(M15,'[2]Doc Set'!E:E,'[2]Doc Set'!F:F)</f>
        <v>_</v>
      </c>
      <c r="O15" s="141" t="s">
        <v>931</v>
      </c>
      <c r="P15" s="142">
        <f>+LOOKUP(O15,'[2]Doc Set'!E:E,'[2]Doc Set'!G:G)</f>
        <v>43500</v>
      </c>
      <c r="Q15" s="55" t="str">
        <f t="shared" si="1"/>
        <v>EH2-INT_D</v>
      </c>
      <c r="R15" s="142">
        <f>+LOOKUP(Q15,'[2]Doc Set'!E:E,'[2]Doc Set'!H:H)</f>
        <v>43528</v>
      </c>
      <c r="S15" s="143" t="s">
        <v>200</v>
      </c>
    </row>
    <row r="16" spans="1:19" x14ac:dyDescent="0.3">
      <c r="A16" s="55" t="s">
        <v>40</v>
      </c>
      <c r="B16" s="55" t="s">
        <v>190</v>
      </c>
      <c r="C16" s="55" t="s">
        <v>191</v>
      </c>
      <c r="D16" s="162" t="s">
        <v>65</v>
      </c>
      <c r="E16" s="55" t="s">
        <v>193</v>
      </c>
      <c r="F16" s="55" t="s">
        <v>194</v>
      </c>
      <c r="G16" s="55" t="s">
        <v>742</v>
      </c>
      <c r="H16" s="55" t="s">
        <v>958</v>
      </c>
      <c r="I16" s="139" t="s">
        <v>51</v>
      </c>
      <c r="J16" s="159" t="s">
        <v>959</v>
      </c>
      <c r="K16" s="55">
        <v>20038918</v>
      </c>
      <c r="L16" s="55" t="s">
        <v>198</v>
      </c>
      <c r="M16" s="141" t="str">
        <f t="shared" si="0"/>
        <v>EH2-INT_D</v>
      </c>
      <c r="N16" s="142" t="str">
        <f>LOOKUP(M16,'[2]Doc Set'!E:E,'[2]Doc Set'!F:F)</f>
        <v>_</v>
      </c>
      <c r="O16" s="141" t="s">
        <v>931</v>
      </c>
      <c r="P16" s="142">
        <f>+LOOKUP(O16,'[2]Doc Set'!E:E,'[2]Doc Set'!G:G)</f>
        <v>43500</v>
      </c>
      <c r="Q16" s="55" t="str">
        <f t="shared" si="1"/>
        <v>EH2-INT_D</v>
      </c>
      <c r="R16" s="142">
        <f>+LOOKUP(Q16,'[2]Doc Set'!E:E,'[2]Doc Set'!H:H)</f>
        <v>43528</v>
      </c>
      <c r="S16" s="143" t="s">
        <v>200</v>
      </c>
    </row>
    <row r="17" spans="1:19" x14ac:dyDescent="0.3">
      <c r="A17" s="55" t="s">
        <v>40</v>
      </c>
      <c r="B17" s="55" t="s">
        <v>190</v>
      </c>
      <c r="C17" s="55" t="s">
        <v>191</v>
      </c>
      <c r="D17" s="162" t="s">
        <v>65</v>
      </c>
      <c r="E17" s="55" t="s">
        <v>193</v>
      </c>
      <c r="F17" s="55" t="s">
        <v>194</v>
      </c>
      <c r="G17" s="55" t="s">
        <v>430</v>
      </c>
      <c r="H17" s="55" t="s">
        <v>960</v>
      </c>
      <c r="I17" s="139" t="s">
        <v>51</v>
      </c>
      <c r="J17" s="159" t="s">
        <v>961</v>
      </c>
      <c r="K17" s="55">
        <v>20038918</v>
      </c>
      <c r="L17" s="55" t="s">
        <v>198</v>
      </c>
      <c r="M17" s="141" t="str">
        <f t="shared" si="0"/>
        <v>EH2-INT_D</v>
      </c>
      <c r="N17" s="142" t="str">
        <f>LOOKUP(M17,'[2]Doc Set'!E:E,'[2]Doc Set'!F:F)</f>
        <v>_</v>
      </c>
      <c r="O17" s="141" t="s">
        <v>931</v>
      </c>
      <c r="P17" s="142">
        <f>+LOOKUP(O17,'[2]Doc Set'!E:E,'[2]Doc Set'!G:G)</f>
        <v>43500</v>
      </c>
      <c r="Q17" s="55" t="str">
        <f t="shared" si="1"/>
        <v>EH2-INT_D</v>
      </c>
      <c r="R17" s="142">
        <f>+LOOKUP(Q17,'[2]Doc Set'!E:E,'[2]Doc Set'!H:H)</f>
        <v>43528</v>
      </c>
      <c r="S17" s="143" t="s">
        <v>200</v>
      </c>
    </row>
    <row r="18" spans="1:19" x14ac:dyDescent="0.3">
      <c r="A18" s="55" t="s">
        <v>40</v>
      </c>
      <c r="B18" s="55" t="s">
        <v>190</v>
      </c>
      <c r="C18" s="55" t="s">
        <v>191</v>
      </c>
      <c r="D18" s="162" t="s">
        <v>65</v>
      </c>
      <c r="E18" s="55" t="s">
        <v>193</v>
      </c>
      <c r="F18" s="55" t="s">
        <v>194</v>
      </c>
      <c r="G18" s="55" t="s">
        <v>433</v>
      </c>
      <c r="H18" s="55" t="s">
        <v>962</v>
      </c>
      <c r="I18" s="139" t="s">
        <v>51</v>
      </c>
      <c r="J18" s="159" t="s">
        <v>963</v>
      </c>
      <c r="K18" s="55">
        <v>20038918</v>
      </c>
      <c r="L18" s="55" t="s">
        <v>198</v>
      </c>
      <c r="M18" s="141" t="str">
        <f t="shared" si="0"/>
        <v>EH2-INT_D</v>
      </c>
      <c r="N18" s="142" t="str">
        <f>LOOKUP(M18,'[2]Doc Set'!E:E,'[2]Doc Set'!F:F)</f>
        <v>_</v>
      </c>
      <c r="O18" s="141" t="s">
        <v>931</v>
      </c>
      <c r="P18" s="142">
        <f>+LOOKUP(O18,'[2]Doc Set'!E:E,'[2]Doc Set'!G:G)</f>
        <v>43500</v>
      </c>
      <c r="Q18" s="55" t="str">
        <f t="shared" si="1"/>
        <v>EH2-INT_D</v>
      </c>
      <c r="R18" s="142">
        <f>+LOOKUP(Q18,'[2]Doc Set'!E:E,'[2]Doc Set'!H:H)</f>
        <v>43528</v>
      </c>
      <c r="S18" s="143" t="s">
        <v>200</v>
      </c>
    </row>
    <row r="19" spans="1:19" x14ac:dyDescent="0.3">
      <c r="A19" s="55" t="s">
        <v>40</v>
      </c>
      <c r="B19" s="55" t="s">
        <v>190</v>
      </c>
      <c r="C19" s="55" t="s">
        <v>191</v>
      </c>
      <c r="D19" s="162" t="s">
        <v>65</v>
      </c>
      <c r="E19" s="55" t="s">
        <v>193</v>
      </c>
      <c r="F19" s="55" t="s">
        <v>194</v>
      </c>
      <c r="G19" s="55" t="s">
        <v>261</v>
      </c>
      <c r="H19" s="55" t="s">
        <v>964</v>
      </c>
      <c r="I19" s="139" t="s">
        <v>51</v>
      </c>
      <c r="J19" s="159" t="s">
        <v>965</v>
      </c>
      <c r="K19" s="55">
        <v>20038918</v>
      </c>
      <c r="L19" s="55" t="s">
        <v>198</v>
      </c>
      <c r="M19" s="141" t="str">
        <f t="shared" si="0"/>
        <v>EH2-INT_D</v>
      </c>
      <c r="N19" s="142" t="str">
        <f>LOOKUP(M19,'[2]Doc Set'!E:E,'[2]Doc Set'!F:F)</f>
        <v>_</v>
      </c>
      <c r="O19" s="141" t="s">
        <v>931</v>
      </c>
      <c r="P19" s="142">
        <f>+LOOKUP(O19,'[2]Doc Set'!E:E,'[2]Doc Set'!G:G)</f>
        <v>43500</v>
      </c>
      <c r="Q19" s="55" t="str">
        <f t="shared" si="1"/>
        <v>EH2-INT_D</v>
      </c>
      <c r="R19" s="142">
        <f>+LOOKUP(Q19,'[2]Doc Set'!E:E,'[2]Doc Set'!H:H)</f>
        <v>43528</v>
      </c>
      <c r="S19" s="143" t="s">
        <v>200</v>
      </c>
    </row>
    <row r="20" spans="1:19" x14ac:dyDescent="0.3">
      <c r="A20" s="55" t="s">
        <v>40</v>
      </c>
      <c r="B20" s="55" t="s">
        <v>190</v>
      </c>
      <c r="C20" s="55" t="s">
        <v>191</v>
      </c>
      <c r="D20" s="162" t="s">
        <v>65</v>
      </c>
      <c r="E20" s="55" t="s">
        <v>193</v>
      </c>
      <c r="F20" s="55" t="s">
        <v>194</v>
      </c>
      <c r="G20" s="55" t="s">
        <v>264</v>
      </c>
      <c r="H20" s="55" t="s">
        <v>966</v>
      </c>
      <c r="I20" s="139" t="s">
        <v>51</v>
      </c>
      <c r="J20" s="159" t="s">
        <v>967</v>
      </c>
      <c r="K20" s="55">
        <v>20038918</v>
      </c>
      <c r="L20" s="55" t="s">
        <v>198</v>
      </c>
      <c r="M20" s="141" t="str">
        <f t="shared" si="0"/>
        <v>EH2-INT_D</v>
      </c>
      <c r="N20" s="142" t="str">
        <f>LOOKUP(M20,'[2]Doc Set'!E:E,'[2]Doc Set'!F:F)</f>
        <v>_</v>
      </c>
      <c r="O20" s="141" t="s">
        <v>931</v>
      </c>
      <c r="P20" s="142">
        <f>+LOOKUP(O20,'[2]Doc Set'!E:E,'[2]Doc Set'!G:G)</f>
        <v>43500</v>
      </c>
      <c r="Q20" s="55" t="str">
        <f t="shared" si="1"/>
        <v>EH2-INT_D</v>
      </c>
      <c r="R20" s="142">
        <f>+LOOKUP(Q20,'[2]Doc Set'!E:E,'[2]Doc Set'!H:H)</f>
        <v>43528</v>
      </c>
      <c r="S20" s="143" t="s">
        <v>200</v>
      </c>
    </row>
    <row r="21" spans="1:19" x14ac:dyDescent="0.3">
      <c r="A21" s="55" t="s">
        <v>40</v>
      </c>
      <c r="B21" s="55" t="s">
        <v>190</v>
      </c>
      <c r="C21" s="55" t="s">
        <v>191</v>
      </c>
      <c r="D21" s="162" t="s">
        <v>65</v>
      </c>
      <c r="E21" s="55" t="s">
        <v>193</v>
      </c>
      <c r="F21" s="55" t="s">
        <v>194</v>
      </c>
      <c r="G21" s="55" t="s">
        <v>267</v>
      </c>
      <c r="H21" s="55" t="s">
        <v>968</v>
      </c>
      <c r="I21" s="139" t="s">
        <v>51</v>
      </c>
      <c r="J21" s="159" t="s">
        <v>969</v>
      </c>
      <c r="K21" s="55">
        <v>20038918</v>
      </c>
      <c r="L21" s="55" t="s">
        <v>198</v>
      </c>
      <c r="M21" s="141" t="str">
        <f t="shared" si="0"/>
        <v>EH2-INT_D</v>
      </c>
      <c r="N21" s="142" t="str">
        <f>LOOKUP(M21,'[2]Doc Set'!E:E,'[2]Doc Set'!F:F)</f>
        <v>_</v>
      </c>
      <c r="O21" s="141" t="s">
        <v>931</v>
      </c>
      <c r="P21" s="142">
        <f>+LOOKUP(O21,'[2]Doc Set'!E:E,'[2]Doc Set'!G:G)</f>
        <v>43500</v>
      </c>
      <c r="Q21" s="55" t="str">
        <f t="shared" si="1"/>
        <v>EH2-INT_D</v>
      </c>
      <c r="R21" s="142">
        <f>+LOOKUP(Q21,'[2]Doc Set'!E:E,'[2]Doc Set'!H:H)</f>
        <v>43528</v>
      </c>
      <c r="S21" s="143" t="s">
        <v>200</v>
      </c>
    </row>
    <row r="22" spans="1:19" x14ac:dyDescent="0.3">
      <c r="A22" s="55" t="s">
        <v>40</v>
      </c>
      <c r="B22" s="55" t="s">
        <v>190</v>
      </c>
      <c r="C22" s="55" t="s">
        <v>191</v>
      </c>
      <c r="D22" s="162" t="s">
        <v>65</v>
      </c>
      <c r="E22" s="55" t="s">
        <v>193</v>
      </c>
      <c r="F22" s="55" t="s">
        <v>194</v>
      </c>
      <c r="G22" s="55" t="s">
        <v>270</v>
      </c>
      <c r="H22" s="55" t="s">
        <v>970</v>
      </c>
      <c r="I22" s="139" t="s">
        <v>51</v>
      </c>
      <c r="J22" s="159" t="s">
        <v>971</v>
      </c>
      <c r="K22" s="55">
        <v>20038918</v>
      </c>
      <c r="L22" s="55" t="s">
        <v>198</v>
      </c>
      <c r="M22" s="141" t="str">
        <f t="shared" si="0"/>
        <v>EH2-INT_D</v>
      </c>
      <c r="N22" s="142" t="str">
        <f>LOOKUP(M22,'[2]Doc Set'!E:E,'[2]Doc Set'!F:F)</f>
        <v>_</v>
      </c>
      <c r="O22" s="141" t="s">
        <v>931</v>
      </c>
      <c r="P22" s="142">
        <f>+LOOKUP(O22,'[2]Doc Set'!E:E,'[2]Doc Set'!G:G)</f>
        <v>43500</v>
      </c>
      <c r="Q22" s="55" t="str">
        <f t="shared" si="1"/>
        <v>EH2-INT_D</v>
      </c>
      <c r="R22" s="142">
        <f>+LOOKUP(Q22,'[2]Doc Set'!E:E,'[2]Doc Set'!H:H)</f>
        <v>43528</v>
      </c>
      <c r="S22" s="143" t="s">
        <v>200</v>
      </c>
    </row>
    <row r="23" spans="1:19" x14ac:dyDescent="0.3">
      <c r="A23" s="55" t="s">
        <v>40</v>
      </c>
      <c r="B23" s="55" t="s">
        <v>190</v>
      </c>
      <c r="C23" s="55" t="s">
        <v>191</v>
      </c>
      <c r="D23" s="162" t="s">
        <v>65</v>
      </c>
      <c r="E23" s="55" t="s">
        <v>193</v>
      </c>
      <c r="F23" s="55" t="s">
        <v>194</v>
      </c>
      <c r="G23" s="55" t="s">
        <v>273</v>
      </c>
      <c r="H23" s="55" t="s">
        <v>972</v>
      </c>
      <c r="I23" s="139" t="s">
        <v>51</v>
      </c>
      <c r="J23" s="159" t="s">
        <v>973</v>
      </c>
      <c r="K23" s="55">
        <v>20038918</v>
      </c>
      <c r="L23" s="55" t="s">
        <v>198</v>
      </c>
      <c r="M23" s="141" t="str">
        <f t="shared" si="0"/>
        <v>EH2-INT_D</v>
      </c>
      <c r="N23" s="142" t="str">
        <f>LOOKUP(M23,'[2]Doc Set'!E:E,'[2]Doc Set'!F:F)</f>
        <v>_</v>
      </c>
      <c r="O23" s="141" t="s">
        <v>931</v>
      </c>
      <c r="P23" s="142">
        <f>+LOOKUP(O23,'[2]Doc Set'!E:E,'[2]Doc Set'!G:G)</f>
        <v>43500</v>
      </c>
      <c r="Q23" s="55" t="str">
        <f t="shared" si="1"/>
        <v>EH2-INT_D</v>
      </c>
      <c r="R23" s="142">
        <f>+LOOKUP(Q23,'[2]Doc Set'!E:E,'[2]Doc Set'!H:H)</f>
        <v>43528</v>
      </c>
      <c r="S23" s="143" t="s">
        <v>200</v>
      </c>
    </row>
    <row r="24" spans="1:19" x14ac:dyDescent="0.3">
      <c r="A24" s="55" t="s">
        <v>40</v>
      </c>
      <c r="B24" s="55" t="s">
        <v>190</v>
      </c>
      <c r="C24" s="55" t="s">
        <v>191</v>
      </c>
      <c r="D24" s="162" t="s">
        <v>65</v>
      </c>
      <c r="E24" s="55" t="s">
        <v>193</v>
      </c>
      <c r="F24" s="55" t="s">
        <v>194</v>
      </c>
      <c r="G24" s="55" t="s">
        <v>276</v>
      </c>
      <c r="H24" s="55" t="s">
        <v>974</v>
      </c>
      <c r="I24" s="139" t="s">
        <v>51</v>
      </c>
      <c r="J24" s="159" t="s">
        <v>975</v>
      </c>
      <c r="K24" s="55">
        <v>20038918</v>
      </c>
      <c r="L24" s="55" t="s">
        <v>198</v>
      </c>
      <c r="M24" s="141" t="str">
        <f t="shared" si="0"/>
        <v>EH2-INT_D</v>
      </c>
      <c r="N24" s="142" t="str">
        <f>LOOKUP(M24,'[2]Doc Set'!E:E,'[2]Doc Set'!F:F)</f>
        <v>_</v>
      </c>
      <c r="O24" s="141" t="s">
        <v>931</v>
      </c>
      <c r="P24" s="142">
        <f>+LOOKUP(O24,'[2]Doc Set'!E:E,'[2]Doc Set'!G:G)</f>
        <v>43500</v>
      </c>
      <c r="Q24" s="55" t="str">
        <f t="shared" si="1"/>
        <v>EH2-INT_D</v>
      </c>
      <c r="R24" s="142">
        <f>+LOOKUP(Q24,'[2]Doc Set'!E:E,'[2]Doc Set'!H:H)</f>
        <v>43528</v>
      </c>
      <c r="S24" s="143" t="s">
        <v>200</v>
      </c>
    </row>
    <row r="25" spans="1:19" x14ac:dyDescent="0.3">
      <c r="A25" s="55" t="s">
        <v>40</v>
      </c>
      <c r="B25" s="55" t="s">
        <v>190</v>
      </c>
      <c r="C25" s="55" t="s">
        <v>191</v>
      </c>
      <c r="D25" s="162" t="s">
        <v>65</v>
      </c>
      <c r="E25" s="55" t="s">
        <v>193</v>
      </c>
      <c r="F25" s="55" t="s">
        <v>194</v>
      </c>
      <c r="G25" s="55" t="s">
        <v>282</v>
      </c>
      <c r="H25" s="55" t="s">
        <v>976</v>
      </c>
      <c r="I25" s="139" t="s">
        <v>51</v>
      </c>
      <c r="J25" s="159" t="s">
        <v>977</v>
      </c>
      <c r="K25" s="55">
        <v>20038918</v>
      </c>
      <c r="L25" s="55" t="s">
        <v>198</v>
      </c>
      <c r="M25" s="141" t="str">
        <f t="shared" si="0"/>
        <v>EH2-INT_D</v>
      </c>
      <c r="N25" s="142" t="str">
        <f>LOOKUP(M25,'[2]Doc Set'!E:E,'[2]Doc Set'!F:F)</f>
        <v>_</v>
      </c>
      <c r="O25" s="141" t="s">
        <v>931</v>
      </c>
      <c r="P25" s="142">
        <f>+LOOKUP(O25,'[2]Doc Set'!E:E,'[2]Doc Set'!G:G)</f>
        <v>43500</v>
      </c>
      <c r="Q25" s="55" t="str">
        <f t="shared" si="1"/>
        <v>EH2-INT_D</v>
      </c>
      <c r="R25" s="142">
        <f>+LOOKUP(Q25,'[2]Doc Set'!E:E,'[2]Doc Set'!H:H)</f>
        <v>43528</v>
      </c>
      <c r="S25" s="143" t="s">
        <v>200</v>
      </c>
    </row>
    <row r="26" spans="1:19" x14ac:dyDescent="0.3">
      <c r="A26" s="55" t="s">
        <v>40</v>
      </c>
      <c r="B26" s="55" t="s">
        <v>190</v>
      </c>
      <c r="C26" s="55" t="s">
        <v>191</v>
      </c>
      <c r="D26" s="162" t="s">
        <v>65</v>
      </c>
      <c r="E26" s="55" t="s">
        <v>193</v>
      </c>
      <c r="F26" s="55" t="s">
        <v>194</v>
      </c>
      <c r="G26" s="55" t="s">
        <v>285</v>
      </c>
      <c r="H26" s="55" t="s">
        <v>978</v>
      </c>
      <c r="I26" s="139" t="s">
        <v>51</v>
      </c>
      <c r="J26" s="159" t="s">
        <v>979</v>
      </c>
      <c r="K26" s="55">
        <v>20038918</v>
      </c>
      <c r="L26" s="55" t="s">
        <v>198</v>
      </c>
      <c r="M26" s="141" t="str">
        <f t="shared" si="0"/>
        <v>EH2-INT_D</v>
      </c>
      <c r="N26" s="142" t="str">
        <f>LOOKUP(M26,'[2]Doc Set'!E:E,'[2]Doc Set'!F:F)</f>
        <v>_</v>
      </c>
      <c r="O26" s="141" t="s">
        <v>931</v>
      </c>
      <c r="P26" s="142">
        <f>+LOOKUP(O26,'[2]Doc Set'!E:E,'[2]Doc Set'!G:G)</f>
        <v>43500</v>
      </c>
      <c r="Q26" s="55" t="str">
        <f t="shared" si="1"/>
        <v>EH2-INT_D</v>
      </c>
      <c r="R26" s="142">
        <f>+LOOKUP(Q26,'[2]Doc Set'!E:E,'[2]Doc Set'!H:H)</f>
        <v>43528</v>
      </c>
      <c r="S26" s="143" t="s">
        <v>200</v>
      </c>
    </row>
    <row r="27" spans="1:19" x14ac:dyDescent="0.3">
      <c r="A27" s="55" t="s">
        <v>40</v>
      </c>
      <c r="B27" s="55" t="s">
        <v>190</v>
      </c>
      <c r="C27" s="55" t="s">
        <v>191</v>
      </c>
      <c r="D27" s="162" t="s">
        <v>65</v>
      </c>
      <c r="E27" s="55" t="s">
        <v>193</v>
      </c>
      <c r="F27" s="55" t="s">
        <v>194</v>
      </c>
      <c r="G27" s="55" t="s">
        <v>288</v>
      </c>
      <c r="H27" s="55" t="s">
        <v>980</v>
      </c>
      <c r="I27" s="139" t="s">
        <v>51</v>
      </c>
      <c r="J27" s="159" t="s">
        <v>981</v>
      </c>
      <c r="K27" s="55">
        <v>20038918</v>
      </c>
      <c r="L27" s="55" t="s">
        <v>198</v>
      </c>
      <c r="M27" s="141" t="str">
        <f t="shared" si="0"/>
        <v>EH2-INT_D</v>
      </c>
      <c r="N27" s="142" t="str">
        <f>LOOKUP(M27,'[2]Doc Set'!E:E,'[2]Doc Set'!F:F)</f>
        <v>_</v>
      </c>
      <c r="O27" s="141" t="s">
        <v>931</v>
      </c>
      <c r="P27" s="142">
        <f>+LOOKUP(O27,'[2]Doc Set'!E:E,'[2]Doc Set'!G:G)</f>
        <v>43500</v>
      </c>
      <c r="Q27" s="55" t="str">
        <f t="shared" si="1"/>
        <v>EH2-INT_D</v>
      </c>
      <c r="R27" s="142">
        <f>+LOOKUP(Q27,'[2]Doc Set'!E:E,'[2]Doc Set'!H:H)</f>
        <v>43528</v>
      </c>
      <c r="S27" s="143" t="s">
        <v>200</v>
      </c>
    </row>
    <row r="28" spans="1:19" x14ac:dyDescent="0.3">
      <c r="A28" s="55" t="s">
        <v>40</v>
      </c>
      <c r="B28" s="55" t="s">
        <v>190</v>
      </c>
      <c r="C28" s="55" t="s">
        <v>191</v>
      </c>
      <c r="D28" s="162" t="s">
        <v>65</v>
      </c>
      <c r="E28" s="55" t="s">
        <v>193</v>
      </c>
      <c r="F28" s="55" t="s">
        <v>194</v>
      </c>
      <c r="G28" s="55" t="s">
        <v>291</v>
      </c>
      <c r="H28" s="55" t="s">
        <v>982</v>
      </c>
      <c r="I28" s="139" t="s">
        <v>51</v>
      </c>
      <c r="J28" s="159" t="s">
        <v>983</v>
      </c>
      <c r="K28" s="55">
        <v>20038918</v>
      </c>
      <c r="L28" s="55" t="s">
        <v>198</v>
      </c>
      <c r="M28" s="141" t="str">
        <f t="shared" si="0"/>
        <v>EH2-INT_D</v>
      </c>
      <c r="N28" s="142" t="str">
        <f>LOOKUP(M28,'[2]Doc Set'!E:E,'[2]Doc Set'!F:F)</f>
        <v>_</v>
      </c>
      <c r="O28" s="141" t="s">
        <v>931</v>
      </c>
      <c r="P28" s="142">
        <f>+LOOKUP(O28,'[2]Doc Set'!E:E,'[2]Doc Set'!G:G)</f>
        <v>43500</v>
      </c>
      <c r="Q28" s="55" t="str">
        <f t="shared" si="1"/>
        <v>EH2-INT_D</v>
      </c>
      <c r="R28" s="142">
        <f>+LOOKUP(Q28,'[2]Doc Set'!E:E,'[2]Doc Set'!H:H)</f>
        <v>43528</v>
      </c>
      <c r="S28" s="143" t="s">
        <v>200</v>
      </c>
    </row>
    <row r="29" spans="1:19" x14ac:dyDescent="0.3">
      <c r="A29" s="55" t="s">
        <v>40</v>
      </c>
      <c r="B29" s="55" t="s">
        <v>190</v>
      </c>
      <c r="C29" s="55" t="s">
        <v>191</v>
      </c>
      <c r="D29" s="162" t="s">
        <v>65</v>
      </c>
      <c r="E29" s="55" t="s">
        <v>193</v>
      </c>
      <c r="F29" s="55" t="s">
        <v>194</v>
      </c>
      <c r="G29" s="55" t="s">
        <v>294</v>
      </c>
      <c r="H29" s="55" t="s">
        <v>984</v>
      </c>
      <c r="I29" s="139" t="s">
        <v>51</v>
      </c>
      <c r="J29" s="159" t="s">
        <v>985</v>
      </c>
      <c r="K29" s="55">
        <v>20038918</v>
      </c>
      <c r="L29" s="55" t="s">
        <v>198</v>
      </c>
      <c r="M29" s="141" t="str">
        <f t="shared" si="0"/>
        <v>EH2-INT_D</v>
      </c>
      <c r="N29" s="142" t="str">
        <f>LOOKUP(M29,'[2]Doc Set'!E:E,'[2]Doc Set'!F:F)</f>
        <v>_</v>
      </c>
      <c r="O29" s="141" t="s">
        <v>931</v>
      </c>
      <c r="P29" s="142">
        <f>+LOOKUP(O29,'[2]Doc Set'!E:E,'[2]Doc Set'!G:G)</f>
        <v>43500</v>
      </c>
      <c r="Q29" s="55" t="str">
        <f t="shared" si="1"/>
        <v>EH2-INT_D</v>
      </c>
      <c r="R29" s="142">
        <f>+LOOKUP(Q29,'[2]Doc Set'!E:E,'[2]Doc Set'!H:H)</f>
        <v>43528</v>
      </c>
      <c r="S29" s="143" t="s">
        <v>200</v>
      </c>
    </row>
    <row r="30" spans="1:19" x14ac:dyDescent="0.3">
      <c r="A30" s="55" t="s">
        <v>40</v>
      </c>
      <c r="B30" s="55" t="s">
        <v>190</v>
      </c>
      <c r="C30" s="55" t="s">
        <v>191</v>
      </c>
      <c r="D30" s="162" t="s">
        <v>65</v>
      </c>
      <c r="E30" s="55" t="s">
        <v>193</v>
      </c>
      <c r="F30" s="55" t="s">
        <v>194</v>
      </c>
      <c r="G30" s="55" t="s">
        <v>297</v>
      </c>
      <c r="H30" s="55" t="s">
        <v>986</v>
      </c>
      <c r="I30" s="139" t="s">
        <v>51</v>
      </c>
      <c r="J30" s="159" t="s">
        <v>987</v>
      </c>
      <c r="K30" s="55">
        <v>20038918</v>
      </c>
      <c r="L30" s="55" t="s">
        <v>198</v>
      </c>
      <c r="M30" s="141" t="str">
        <f t="shared" si="0"/>
        <v>EH2-INT_D</v>
      </c>
      <c r="N30" s="142" t="str">
        <f>LOOKUP(M30,'[2]Doc Set'!E:E,'[2]Doc Set'!F:F)</f>
        <v>_</v>
      </c>
      <c r="O30" s="141" t="s">
        <v>931</v>
      </c>
      <c r="P30" s="142">
        <f>+LOOKUP(O30,'[2]Doc Set'!E:E,'[2]Doc Set'!G:G)</f>
        <v>43500</v>
      </c>
      <c r="Q30" s="55" t="str">
        <f t="shared" si="1"/>
        <v>EH2-INT_D</v>
      </c>
      <c r="R30" s="142">
        <f>+LOOKUP(Q30,'[2]Doc Set'!E:E,'[2]Doc Set'!H:H)</f>
        <v>43528</v>
      </c>
      <c r="S30" s="143" t="s">
        <v>200</v>
      </c>
    </row>
    <row r="31" spans="1:19" x14ac:dyDescent="0.3">
      <c r="A31" s="55" t="s">
        <v>40</v>
      </c>
      <c r="B31" s="55" t="s">
        <v>190</v>
      </c>
      <c r="C31" s="55" t="s">
        <v>191</v>
      </c>
      <c r="D31" s="162" t="s">
        <v>65</v>
      </c>
      <c r="E31" s="55" t="s">
        <v>193</v>
      </c>
      <c r="F31" s="55" t="s">
        <v>194</v>
      </c>
      <c r="G31" s="55" t="s">
        <v>303</v>
      </c>
      <c r="H31" s="55" t="s">
        <v>988</v>
      </c>
      <c r="I31" s="139" t="s">
        <v>51</v>
      </c>
      <c r="J31" s="159" t="s">
        <v>989</v>
      </c>
      <c r="K31" s="55">
        <v>20038918</v>
      </c>
      <c r="L31" s="55" t="s">
        <v>198</v>
      </c>
      <c r="M31" s="141" t="str">
        <f t="shared" si="0"/>
        <v>EH2-INT_D</v>
      </c>
      <c r="N31" s="142" t="str">
        <f>LOOKUP(M31,'[2]Doc Set'!E:E,'[2]Doc Set'!F:F)</f>
        <v>_</v>
      </c>
      <c r="O31" s="141" t="s">
        <v>931</v>
      </c>
      <c r="P31" s="142">
        <f>+LOOKUP(O31,'[2]Doc Set'!E:E,'[2]Doc Set'!G:G)</f>
        <v>43500</v>
      </c>
      <c r="Q31" s="55" t="str">
        <f t="shared" si="1"/>
        <v>EH2-INT_D</v>
      </c>
      <c r="R31" s="142">
        <f>+LOOKUP(Q31,'[2]Doc Set'!E:E,'[2]Doc Set'!H:H)</f>
        <v>43528</v>
      </c>
      <c r="S31" s="143" t="s">
        <v>200</v>
      </c>
    </row>
    <row r="32" spans="1:19" x14ac:dyDescent="0.3">
      <c r="A32" s="55" t="s">
        <v>40</v>
      </c>
      <c r="B32" s="55" t="s">
        <v>190</v>
      </c>
      <c r="C32" s="55" t="s">
        <v>191</v>
      </c>
      <c r="D32" s="162" t="s">
        <v>65</v>
      </c>
      <c r="E32" s="55" t="s">
        <v>193</v>
      </c>
      <c r="F32" s="55" t="s">
        <v>194</v>
      </c>
      <c r="G32" s="55" t="s">
        <v>307</v>
      </c>
      <c r="H32" s="55" t="s">
        <v>990</v>
      </c>
      <c r="I32" s="139" t="s">
        <v>51</v>
      </c>
      <c r="J32" s="159" t="s">
        <v>991</v>
      </c>
      <c r="K32" s="55">
        <v>20038918</v>
      </c>
      <c r="L32" s="55" t="s">
        <v>198</v>
      </c>
      <c r="M32" s="141" t="str">
        <f t="shared" si="0"/>
        <v>EH2-INT_D</v>
      </c>
      <c r="N32" s="142" t="str">
        <f>LOOKUP(M32,'[2]Doc Set'!E:E,'[2]Doc Set'!F:F)</f>
        <v>_</v>
      </c>
      <c r="O32" s="141" t="s">
        <v>931</v>
      </c>
      <c r="P32" s="142">
        <f>+LOOKUP(O32,'[2]Doc Set'!E:E,'[2]Doc Set'!G:G)</f>
        <v>43500</v>
      </c>
      <c r="Q32" s="55" t="str">
        <f t="shared" si="1"/>
        <v>EH2-INT_D</v>
      </c>
      <c r="R32" s="142">
        <f>+LOOKUP(Q32,'[2]Doc Set'!E:E,'[2]Doc Set'!H:H)</f>
        <v>43528</v>
      </c>
      <c r="S32" s="143" t="s">
        <v>200</v>
      </c>
    </row>
    <row r="33" spans="1:19" x14ac:dyDescent="0.3">
      <c r="A33" s="55" t="s">
        <v>40</v>
      </c>
      <c r="B33" s="55" t="s">
        <v>190</v>
      </c>
      <c r="C33" s="55" t="s">
        <v>191</v>
      </c>
      <c r="D33" s="162" t="s">
        <v>65</v>
      </c>
      <c r="E33" s="55" t="s">
        <v>193</v>
      </c>
      <c r="F33" s="55" t="s">
        <v>194</v>
      </c>
      <c r="G33" s="55" t="s">
        <v>310</v>
      </c>
      <c r="H33" s="55" t="s">
        <v>992</v>
      </c>
      <c r="I33" s="139" t="s">
        <v>51</v>
      </c>
      <c r="J33" s="159" t="s">
        <v>993</v>
      </c>
      <c r="K33" s="55">
        <v>20038918</v>
      </c>
      <c r="L33" s="55" t="s">
        <v>198</v>
      </c>
      <c r="M33" s="141" t="str">
        <f t="shared" si="0"/>
        <v>EH2-INT_D</v>
      </c>
      <c r="N33" s="142" t="str">
        <f>LOOKUP(M33,'[2]Doc Set'!E:E,'[2]Doc Set'!F:F)</f>
        <v>_</v>
      </c>
      <c r="O33" s="141" t="s">
        <v>931</v>
      </c>
      <c r="P33" s="142">
        <f>+LOOKUP(O33,'[2]Doc Set'!E:E,'[2]Doc Set'!G:G)</f>
        <v>43500</v>
      </c>
      <c r="Q33" s="55" t="str">
        <f t="shared" si="1"/>
        <v>EH2-INT_D</v>
      </c>
      <c r="R33" s="142">
        <f>+LOOKUP(Q33,'[2]Doc Set'!E:E,'[2]Doc Set'!H:H)</f>
        <v>43528</v>
      </c>
      <c r="S33" s="143" t="s">
        <v>200</v>
      </c>
    </row>
    <row r="34" spans="1:19" x14ac:dyDescent="0.3">
      <c r="A34" s="55" t="s">
        <v>40</v>
      </c>
      <c r="B34" s="55" t="s">
        <v>190</v>
      </c>
      <c r="C34" s="55" t="s">
        <v>191</v>
      </c>
      <c r="D34" s="162" t="s">
        <v>65</v>
      </c>
      <c r="E34" s="55" t="s">
        <v>193</v>
      </c>
      <c r="F34" s="55" t="s">
        <v>194</v>
      </c>
      <c r="G34" s="55" t="s">
        <v>313</v>
      </c>
      <c r="H34" s="55" t="s">
        <v>994</v>
      </c>
      <c r="I34" s="139" t="s">
        <v>51</v>
      </c>
      <c r="J34" s="159" t="s">
        <v>995</v>
      </c>
      <c r="K34" s="55">
        <v>20038918</v>
      </c>
      <c r="L34" s="55" t="s">
        <v>198</v>
      </c>
      <c r="M34" s="141" t="str">
        <f t="shared" si="0"/>
        <v>EH2-INT_D</v>
      </c>
      <c r="N34" s="142" t="str">
        <f>LOOKUP(M34,'[2]Doc Set'!E:E,'[2]Doc Set'!F:F)</f>
        <v>_</v>
      </c>
      <c r="O34" s="141" t="s">
        <v>931</v>
      </c>
      <c r="P34" s="142">
        <f>+LOOKUP(O34,'[2]Doc Set'!E:E,'[2]Doc Set'!G:G)</f>
        <v>43500</v>
      </c>
      <c r="Q34" s="55" t="str">
        <f t="shared" si="1"/>
        <v>EH2-INT_D</v>
      </c>
      <c r="R34" s="142">
        <f>+LOOKUP(Q34,'[2]Doc Set'!E:E,'[2]Doc Set'!H:H)</f>
        <v>43528</v>
      </c>
      <c r="S34" s="143" t="s">
        <v>200</v>
      </c>
    </row>
    <row r="35" spans="1:19" x14ac:dyDescent="0.3">
      <c r="A35" s="55" t="s">
        <v>40</v>
      </c>
      <c r="B35" s="55" t="s">
        <v>190</v>
      </c>
      <c r="C35" s="55" t="s">
        <v>191</v>
      </c>
      <c r="D35" s="162" t="s">
        <v>65</v>
      </c>
      <c r="E35" s="55" t="s">
        <v>193</v>
      </c>
      <c r="F35" s="55" t="s">
        <v>194</v>
      </c>
      <c r="G35" s="55" t="s">
        <v>316</v>
      </c>
      <c r="H35" s="55" t="s">
        <v>996</v>
      </c>
      <c r="I35" s="139" t="s">
        <v>51</v>
      </c>
      <c r="J35" s="159" t="s">
        <v>997</v>
      </c>
      <c r="K35" s="55">
        <v>20038918</v>
      </c>
      <c r="L35" s="55" t="s">
        <v>198</v>
      </c>
      <c r="M35" s="141" t="str">
        <f t="shared" si="0"/>
        <v>EH2-INT_D</v>
      </c>
      <c r="N35" s="142" t="str">
        <f>LOOKUP(M35,'[2]Doc Set'!E:E,'[2]Doc Set'!F:F)</f>
        <v>_</v>
      </c>
      <c r="O35" s="141" t="s">
        <v>931</v>
      </c>
      <c r="P35" s="142">
        <f>+LOOKUP(O35,'[2]Doc Set'!E:E,'[2]Doc Set'!G:G)</f>
        <v>43500</v>
      </c>
      <c r="Q35" s="55" t="str">
        <f t="shared" si="1"/>
        <v>EH2-INT_D</v>
      </c>
      <c r="R35" s="142">
        <f>+LOOKUP(Q35,'[2]Doc Set'!E:E,'[2]Doc Set'!H:H)</f>
        <v>43528</v>
      </c>
      <c r="S35" s="143" t="s">
        <v>200</v>
      </c>
    </row>
    <row r="36" spans="1:19" x14ac:dyDescent="0.3">
      <c r="A36" s="55" t="s">
        <v>40</v>
      </c>
      <c r="B36" s="55" t="s">
        <v>190</v>
      </c>
      <c r="C36" s="55" t="s">
        <v>191</v>
      </c>
      <c r="D36" s="162" t="s">
        <v>65</v>
      </c>
      <c r="E36" s="55" t="s">
        <v>193</v>
      </c>
      <c r="F36" s="55" t="s">
        <v>194</v>
      </c>
      <c r="G36" s="55" t="s">
        <v>319</v>
      </c>
      <c r="H36" s="55" t="s">
        <v>998</v>
      </c>
      <c r="I36" s="139" t="s">
        <v>51</v>
      </c>
      <c r="J36" s="159" t="s">
        <v>999</v>
      </c>
      <c r="K36" s="55">
        <v>20038918</v>
      </c>
      <c r="L36" s="55" t="s">
        <v>198</v>
      </c>
      <c r="M36" s="141" t="str">
        <f t="shared" si="0"/>
        <v>EH2-INT_D</v>
      </c>
      <c r="N36" s="142" t="str">
        <f>LOOKUP(M36,'[2]Doc Set'!E:E,'[2]Doc Set'!F:F)</f>
        <v>_</v>
      </c>
      <c r="O36" s="141" t="s">
        <v>931</v>
      </c>
      <c r="P36" s="142">
        <f>+LOOKUP(O36,'[2]Doc Set'!E:E,'[2]Doc Set'!G:G)</f>
        <v>43500</v>
      </c>
      <c r="Q36" s="55" t="str">
        <f t="shared" si="1"/>
        <v>EH2-INT_D</v>
      </c>
      <c r="R36" s="142">
        <f>+LOOKUP(Q36,'[2]Doc Set'!E:E,'[2]Doc Set'!H:H)</f>
        <v>43528</v>
      </c>
      <c r="S36" s="143" t="s">
        <v>200</v>
      </c>
    </row>
    <row r="37" spans="1:19" x14ac:dyDescent="0.3">
      <c r="A37" s="55" t="s">
        <v>40</v>
      </c>
      <c r="B37" s="55" t="s">
        <v>190</v>
      </c>
      <c r="C37" s="55" t="s">
        <v>191</v>
      </c>
      <c r="D37" s="162" t="s">
        <v>65</v>
      </c>
      <c r="E37" s="55" t="s">
        <v>193</v>
      </c>
      <c r="F37" s="55" t="s">
        <v>194</v>
      </c>
      <c r="G37" s="55" t="s">
        <v>325</v>
      </c>
      <c r="H37" s="55" t="s">
        <v>1000</v>
      </c>
      <c r="I37" s="139" t="s">
        <v>51</v>
      </c>
      <c r="J37" s="159" t="s">
        <v>1001</v>
      </c>
      <c r="K37" s="55">
        <v>20038918</v>
      </c>
      <c r="L37" s="55" t="s">
        <v>198</v>
      </c>
      <c r="M37" s="141" t="str">
        <f t="shared" si="0"/>
        <v>EH2-INT_D</v>
      </c>
      <c r="N37" s="142" t="str">
        <f>LOOKUP(M37,'[2]Doc Set'!E:E,'[2]Doc Set'!F:F)</f>
        <v>_</v>
      </c>
      <c r="O37" s="141" t="s">
        <v>931</v>
      </c>
      <c r="P37" s="142">
        <f>+LOOKUP(O37,'[2]Doc Set'!E:E,'[2]Doc Set'!G:G)</f>
        <v>43500</v>
      </c>
      <c r="Q37" s="55" t="str">
        <f t="shared" si="1"/>
        <v>EH2-INT_D</v>
      </c>
      <c r="R37" s="142">
        <f>+LOOKUP(Q37,'[2]Doc Set'!E:E,'[2]Doc Set'!H:H)</f>
        <v>43528</v>
      </c>
      <c r="S37" s="143" t="s">
        <v>200</v>
      </c>
    </row>
    <row r="38" spans="1:19" x14ac:dyDescent="0.3">
      <c r="A38" s="55" t="s">
        <v>40</v>
      </c>
      <c r="B38" s="55" t="s">
        <v>190</v>
      </c>
      <c r="C38" s="55" t="s">
        <v>191</v>
      </c>
      <c r="D38" s="162" t="s">
        <v>65</v>
      </c>
      <c r="E38" s="55" t="s">
        <v>193</v>
      </c>
      <c r="F38" s="55" t="s">
        <v>194</v>
      </c>
      <c r="G38" s="55" t="s">
        <v>328</v>
      </c>
      <c r="H38" s="55" t="s">
        <v>1002</v>
      </c>
      <c r="I38" s="139" t="s">
        <v>51</v>
      </c>
      <c r="J38" s="159" t="s">
        <v>1003</v>
      </c>
      <c r="K38" s="55">
        <v>20038918</v>
      </c>
      <c r="L38" s="55" t="s">
        <v>198</v>
      </c>
      <c r="M38" s="141" t="str">
        <f t="shared" si="0"/>
        <v>EH2-INT_D</v>
      </c>
      <c r="N38" s="142" t="str">
        <f>LOOKUP(M38,'[2]Doc Set'!E:E,'[2]Doc Set'!F:F)</f>
        <v>_</v>
      </c>
      <c r="O38" s="141" t="s">
        <v>931</v>
      </c>
      <c r="P38" s="142">
        <f>+LOOKUP(O38,'[2]Doc Set'!E:E,'[2]Doc Set'!G:G)</f>
        <v>43500</v>
      </c>
      <c r="Q38" s="55" t="str">
        <f t="shared" si="1"/>
        <v>EH2-INT_D</v>
      </c>
      <c r="R38" s="142">
        <f>+LOOKUP(Q38,'[2]Doc Set'!E:E,'[2]Doc Set'!H:H)</f>
        <v>43528</v>
      </c>
      <c r="S38" s="143" t="s">
        <v>200</v>
      </c>
    </row>
    <row r="39" spans="1:19" x14ac:dyDescent="0.3">
      <c r="A39" s="55" t="s">
        <v>40</v>
      </c>
      <c r="B39" s="55" t="s">
        <v>190</v>
      </c>
      <c r="C39" s="55" t="s">
        <v>191</v>
      </c>
      <c r="D39" s="162" t="s">
        <v>65</v>
      </c>
      <c r="E39" s="55" t="s">
        <v>193</v>
      </c>
      <c r="F39" s="55" t="s">
        <v>194</v>
      </c>
      <c r="G39" s="55" t="s">
        <v>331</v>
      </c>
      <c r="H39" s="55" t="s">
        <v>1004</v>
      </c>
      <c r="I39" s="139" t="s">
        <v>51</v>
      </c>
      <c r="J39" s="159" t="s">
        <v>1005</v>
      </c>
      <c r="K39" s="55">
        <v>20038918</v>
      </c>
      <c r="L39" s="55" t="s">
        <v>198</v>
      </c>
      <c r="M39" s="141" t="str">
        <f t="shared" si="0"/>
        <v>EH2-INT_D</v>
      </c>
      <c r="N39" s="142" t="str">
        <f>LOOKUP(M39,'[2]Doc Set'!E:E,'[2]Doc Set'!F:F)</f>
        <v>_</v>
      </c>
      <c r="O39" s="141" t="s">
        <v>931</v>
      </c>
      <c r="P39" s="142">
        <f>+LOOKUP(O39,'[2]Doc Set'!E:E,'[2]Doc Set'!G:G)</f>
        <v>43500</v>
      </c>
      <c r="Q39" s="55" t="str">
        <f t="shared" si="1"/>
        <v>EH2-INT_D</v>
      </c>
      <c r="R39" s="142">
        <f>+LOOKUP(Q39,'[2]Doc Set'!E:E,'[2]Doc Set'!H:H)</f>
        <v>43528</v>
      </c>
      <c r="S39" s="143" t="s">
        <v>200</v>
      </c>
    </row>
    <row r="40" spans="1:19" x14ac:dyDescent="0.3">
      <c r="A40" s="55" t="s">
        <v>40</v>
      </c>
      <c r="B40" s="55" t="s">
        <v>190</v>
      </c>
      <c r="C40" s="55" t="s">
        <v>191</v>
      </c>
      <c r="D40" s="162" t="s">
        <v>65</v>
      </c>
      <c r="E40" s="55" t="s">
        <v>193</v>
      </c>
      <c r="F40" s="55" t="s">
        <v>194</v>
      </c>
      <c r="G40" s="55" t="s">
        <v>334</v>
      </c>
      <c r="H40" s="55" t="s">
        <v>1006</v>
      </c>
      <c r="I40" s="139" t="s">
        <v>51</v>
      </c>
      <c r="J40" s="159" t="s">
        <v>1007</v>
      </c>
      <c r="K40" s="55">
        <v>20038918</v>
      </c>
      <c r="L40" s="55" t="s">
        <v>198</v>
      </c>
      <c r="M40" s="141" t="str">
        <f t="shared" si="0"/>
        <v>EH2-INT_D</v>
      </c>
      <c r="N40" s="142" t="str">
        <f>LOOKUP(M40,'[2]Doc Set'!E:E,'[2]Doc Set'!F:F)</f>
        <v>_</v>
      </c>
      <c r="O40" s="141" t="s">
        <v>931</v>
      </c>
      <c r="P40" s="142">
        <f>+LOOKUP(O40,'[2]Doc Set'!E:E,'[2]Doc Set'!G:G)</f>
        <v>43500</v>
      </c>
      <c r="Q40" s="55" t="str">
        <f t="shared" si="1"/>
        <v>EH2-INT_D</v>
      </c>
      <c r="R40" s="142">
        <f>+LOOKUP(Q40,'[2]Doc Set'!E:E,'[2]Doc Set'!H:H)</f>
        <v>43528</v>
      </c>
      <c r="S40" s="143" t="s">
        <v>200</v>
      </c>
    </row>
    <row r="41" spans="1:19" x14ac:dyDescent="0.3">
      <c r="A41" s="55" t="s">
        <v>40</v>
      </c>
      <c r="B41" s="55" t="s">
        <v>190</v>
      </c>
      <c r="C41" s="55" t="s">
        <v>191</v>
      </c>
      <c r="D41" s="162" t="s">
        <v>65</v>
      </c>
      <c r="E41" s="55" t="s">
        <v>193</v>
      </c>
      <c r="F41" s="55" t="s">
        <v>194</v>
      </c>
      <c r="G41" s="55" t="s">
        <v>337</v>
      </c>
      <c r="H41" s="55" t="s">
        <v>1008</v>
      </c>
      <c r="I41" s="139" t="s">
        <v>51</v>
      </c>
      <c r="J41" s="159" t="s">
        <v>1009</v>
      </c>
      <c r="K41" s="55">
        <v>20038918</v>
      </c>
      <c r="L41" s="55" t="s">
        <v>198</v>
      </c>
      <c r="M41" s="141" t="str">
        <f t="shared" si="0"/>
        <v>EH2-INT_D</v>
      </c>
      <c r="N41" s="142" t="str">
        <f>LOOKUP(M41,'[2]Doc Set'!E:E,'[2]Doc Set'!F:F)</f>
        <v>_</v>
      </c>
      <c r="O41" s="141" t="s">
        <v>931</v>
      </c>
      <c r="P41" s="142">
        <f>+LOOKUP(O41,'[2]Doc Set'!E:E,'[2]Doc Set'!G:G)</f>
        <v>43500</v>
      </c>
      <c r="Q41" s="55" t="str">
        <f t="shared" si="1"/>
        <v>EH2-INT_D</v>
      </c>
      <c r="R41" s="142">
        <f>+LOOKUP(Q41,'[2]Doc Set'!E:E,'[2]Doc Set'!H:H)</f>
        <v>43528</v>
      </c>
      <c r="S41" s="143" t="s">
        <v>200</v>
      </c>
    </row>
    <row r="42" spans="1:19" x14ac:dyDescent="0.3">
      <c r="A42" s="55" t="s">
        <v>40</v>
      </c>
      <c r="B42" s="55" t="s">
        <v>190</v>
      </c>
      <c r="C42" s="55" t="s">
        <v>191</v>
      </c>
      <c r="D42" s="162" t="s">
        <v>65</v>
      </c>
      <c r="E42" s="55" t="s">
        <v>193</v>
      </c>
      <c r="F42" s="55" t="s">
        <v>194</v>
      </c>
      <c r="G42" s="55" t="s">
        <v>340</v>
      </c>
      <c r="H42" s="55" t="s">
        <v>1010</v>
      </c>
      <c r="I42" s="139" t="s">
        <v>51</v>
      </c>
      <c r="J42" s="159" t="s">
        <v>1011</v>
      </c>
      <c r="K42" s="55">
        <v>20038918</v>
      </c>
      <c r="L42" s="55" t="s">
        <v>198</v>
      </c>
      <c r="M42" s="141" t="str">
        <f t="shared" si="0"/>
        <v>EH2-INT_D</v>
      </c>
      <c r="N42" s="142" t="str">
        <f>LOOKUP(M42,'[2]Doc Set'!E:E,'[2]Doc Set'!F:F)</f>
        <v>_</v>
      </c>
      <c r="O42" s="141" t="s">
        <v>931</v>
      </c>
      <c r="P42" s="142">
        <f>+LOOKUP(O42,'[2]Doc Set'!E:E,'[2]Doc Set'!G:G)</f>
        <v>43500</v>
      </c>
      <c r="Q42" s="55" t="str">
        <f t="shared" si="1"/>
        <v>EH2-INT_D</v>
      </c>
      <c r="R42" s="142">
        <f>+LOOKUP(Q42,'[2]Doc Set'!E:E,'[2]Doc Set'!H:H)</f>
        <v>43528</v>
      </c>
      <c r="S42" s="143" t="s">
        <v>200</v>
      </c>
    </row>
    <row r="43" spans="1:19" x14ac:dyDescent="0.3">
      <c r="A43" s="55" t="s">
        <v>40</v>
      </c>
      <c r="B43" s="55" t="s">
        <v>190</v>
      </c>
      <c r="C43" s="55" t="s">
        <v>191</v>
      </c>
      <c r="D43" s="162" t="s">
        <v>65</v>
      </c>
      <c r="E43" s="55" t="s">
        <v>193</v>
      </c>
      <c r="F43" s="55" t="s">
        <v>194</v>
      </c>
      <c r="G43" s="55" t="s">
        <v>799</v>
      </c>
      <c r="H43" s="55" t="s">
        <v>1012</v>
      </c>
      <c r="I43" s="139" t="s">
        <v>51</v>
      </c>
      <c r="J43" s="159" t="s">
        <v>1013</v>
      </c>
      <c r="K43" s="55">
        <v>20038918</v>
      </c>
      <c r="L43" s="55" t="s">
        <v>198</v>
      </c>
      <c r="M43" s="141" t="str">
        <f t="shared" si="0"/>
        <v>EH2-INT_D</v>
      </c>
      <c r="N43" s="142" t="str">
        <f>LOOKUP(M43,'[2]Doc Set'!E:E,'[2]Doc Set'!F:F)</f>
        <v>_</v>
      </c>
      <c r="O43" s="141" t="s">
        <v>931</v>
      </c>
      <c r="P43" s="142">
        <f>+LOOKUP(O43,'[2]Doc Set'!E:E,'[2]Doc Set'!G:G)</f>
        <v>43500</v>
      </c>
      <c r="Q43" s="55" t="str">
        <f t="shared" si="1"/>
        <v>EH2-INT_D</v>
      </c>
      <c r="R43" s="142">
        <f>+LOOKUP(Q43,'[2]Doc Set'!E:E,'[2]Doc Set'!H:H)</f>
        <v>43528</v>
      </c>
      <c r="S43" s="143" t="s">
        <v>200</v>
      </c>
    </row>
    <row r="44" spans="1:19" x14ac:dyDescent="0.3">
      <c r="A44" s="55" t="s">
        <v>40</v>
      </c>
      <c r="B44" s="55" t="s">
        <v>190</v>
      </c>
      <c r="C44" s="55" t="s">
        <v>191</v>
      </c>
      <c r="D44" s="162" t="s">
        <v>65</v>
      </c>
      <c r="E44" s="55" t="s">
        <v>193</v>
      </c>
      <c r="F44" s="55" t="s">
        <v>194</v>
      </c>
      <c r="G44" s="55" t="s">
        <v>491</v>
      </c>
      <c r="H44" s="55" t="s">
        <v>1014</v>
      </c>
      <c r="I44" s="139" t="s">
        <v>51</v>
      </c>
      <c r="J44" s="159" t="s">
        <v>1015</v>
      </c>
      <c r="K44" s="55">
        <v>20038918</v>
      </c>
      <c r="L44" s="55" t="s">
        <v>198</v>
      </c>
      <c r="M44" s="141" t="str">
        <f t="shared" si="0"/>
        <v>EH2-INT_D</v>
      </c>
      <c r="N44" s="142" t="str">
        <f>LOOKUP(M44,'[2]Doc Set'!E:E,'[2]Doc Set'!F:F)</f>
        <v>_</v>
      </c>
      <c r="O44" s="141" t="s">
        <v>931</v>
      </c>
      <c r="P44" s="142">
        <f>+LOOKUP(O44,'[2]Doc Set'!E:E,'[2]Doc Set'!G:G)</f>
        <v>43500</v>
      </c>
      <c r="Q44" s="55" t="str">
        <f t="shared" si="1"/>
        <v>EH2-INT_D</v>
      </c>
      <c r="R44" s="142">
        <f>+LOOKUP(Q44,'[2]Doc Set'!E:E,'[2]Doc Set'!H:H)</f>
        <v>43528</v>
      </c>
      <c r="S44" s="143" t="s">
        <v>200</v>
      </c>
    </row>
    <row r="45" spans="1:19" x14ac:dyDescent="0.3">
      <c r="A45" s="55" t="s">
        <v>40</v>
      </c>
      <c r="B45" s="55" t="s">
        <v>190</v>
      </c>
      <c r="C45" s="55" t="s">
        <v>191</v>
      </c>
      <c r="D45" s="162" t="s">
        <v>65</v>
      </c>
      <c r="E45" s="55" t="s">
        <v>193</v>
      </c>
      <c r="F45" s="55" t="s">
        <v>194</v>
      </c>
      <c r="G45" s="55" t="s">
        <v>518</v>
      </c>
      <c r="H45" s="55" t="s">
        <v>1016</v>
      </c>
      <c r="I45" s="139" t="s">
        <v>51</v>
      </c>
      <c r="J45" s="159" t="s">
        <v>1017</v>
      </c>
      <c r="K45" s="55">
        <v>20038918</v>
      </c>
      <c r="L45" s="55" t="s">
        <v>198</v>
      </c>
      <c r="M45" s="141" t="str">
        <f t="shared" si="0"/>
        <v>EH2-INT_D</v>
      </c>
      <c r="N45" s="142" t="str">
        <f>LOOKUP(M45,'[2]Doc Set'!E:E,'[2]Doc Set'!F:F)</f>
        <v>_</v>
      </c>
      <c r="O45" s="141" t="s">
        <v>931</v>
      </c>
      <c r="P45" s="142">
        <f>+LOOKUP(O45,'[2]Doc Set'!E:E,'[2]Doc Set'!G:G)</f>
        <v>43500</v>
      </c>
      <c r="Q45" s="55" t="str">
        <f t="shared" si="1"/>
        <v>EH2-INT_D</v>
      </c>
      <c r="R45" s="142">
        <f>+LOOKUP(Q45,'[2]Doc Set'!E:E,'[2]Doc Set'!H:H)</f>
        <v>43528</v>
      </c>
      <c r="S45" s="143" t="s">
        <v>200</v>
      </c>
    </row>
    <row r="46" spans="1:19" x14ac:dyDescent="0.3">
      <c r="A46" s="55" t="s">
        <v>40</v>
      </c>
      <c r="B46" s="55" t="s">
        <v>190</v>
      </c>
      <c r="C46" s="55" t="s">
        <v>191</v>
      </c>
      <c r="D46" s="162" t="s">
        <v>65</v>
      </c>
      <c r="E46" s="55" t="s">
        <v>193</v>
      </c>
      <c r="F46" s="55" t="s">
        <v>194</v>
      </c>
      <c r="G46" s="55" t="s">
        <v>494</v>
      </c>
      <c r="H46" s="55" t="s">
        <v>1018</v>
      </c>
      <c r="I46" s="139" t="s">
        <v>51</v>
      </c>
      <c r="J46" s="159" t="s">
        <v>1019</v>
      </c>
      <c r="K46" s="55">
        <v>20038918</v>
      </c>
      <c r="L46" s="55" t="s">
        <v>198</v>
      </c>
      <c r="M46" s="141" t="str">
        <f t="shared" si="0"/>
        <v>EH2-INT_D</v>
      </c>
      <c r="N46" s="142" t="str">
        <f>LOOKUP(M46,'[2]Doc Set'!E:E,'[2]Doc Set'!F:F)</f>
        <v>_</v>
      </c>
      <c r="O46" s="141" t="s">
        <v>931</v>
      </c>
      <c r="P46" s="142">
        <f>+LOOKUP(O46,'[2]Doc Set'!E:E,'[2]Doc Set'!G:G)</f>
        <v>43500</v>
      </c>
      <c r="Q46" s="55" t="str">
        <f t="shared" si="1"/>
        <v>EH2-INT_D</v>
      </c>
      <c r="R46" s="142">
        <f>+LOOKUP(Q46,'[2]Doc Set'!E:E,'[2]Doc Set'!H:H)</f>
        <v>43528</v>
      </c>
      <c r="S46" s="143" t="s">
        <v>200</v>
      </c>
    </row>
    <row r="47" spans="1:19" x14ac:dyDescent="0.3">
      <c r="A47" s="55" t="s">
        <v>40</v>
      </c>
      <c r="B47" s="55" t="s">
        <v>190</v>
      </c>
      <c r="C47" s="55" t="s">
        <v>191</v>
      </c>
      <c r="D47" s="162" t="s">
        <v>65</v>
      </c>
      <c r="E47" s="55" t="s">
        <v>193</v>
      </c>
      <c r="F47" s="55" t="s">
        <v>194</v>
      </c>
      <c r="G47" s="55" t="s">
        <v>497</v>
      </c>
      <c r="H47" s="55" t="s">
        <v>1020</v>
      </c>
      <c r="I47" s="139" t="s">
        <v>51</v>
      </c>
      <c r="J47" s="159" t="s">
        <v>1021</v>
      </c>
      <c r="K47" s="55">
        <v>20038918</v>
      </c>
      <c r="L47" s="55" t="s">
        <v>198</v>
      </c>
      <c r="M47" s="141" t="str">
        <f t="shared" si="0"/>
        <v>EH2-INT_D</v>
      </c>
      <c r="N47" s="142" t="str">
        <f>LOOKUP(M47,'[2]Doc Set'!E:E,'[2]Doc Set'!F:F)</f>
        <v>_</v>
      </c>
      <c r="O47" s="141" t="s">
        <v>931</v>
      </c>
      <c r="P47" s="142">
        <f>+LOOKUP(O47,'[2]Doc Set'!E:E,'[2]Doc Set'!G:G)</f>
        <v>43500</v>
      </c>
      <c r="Q47" s="55" t="str">
        <f t="shared" si="1"/>
        <v>EH2-INT_D</v>
      </c>
      <c r="R47" s="142">
        <f>+LOOKUP(Q47,'[2]Doc Set'!E:E,'[2]Doc Set'!H:H)</f>
        <v>43528</v>
      </c>
      <c r="S47" s="143" t="s">
        <v>200</v>
      </c>
    </row>
    <row r="48" spans="1:19" x14ac:dyDescent="0.3">
      <c r="A48" s="55" t="s">
        <v>40</v>
      </c>
      <c r="B48" s="55" t="s">
        <v>190</v>
      </c>
      <c r="C48" s="55" t="s">
        <v>191</v>
      </c>
      <c r="D48" s="162" t="s">
        <v>65</v>
      </c>
      <c r="E48" s="55" t="s">
        <v>193</v>
      </c>
      <c r="F48" s="55" t="s">
        <v>194</v>
      </c>
      <c r="G48" s="55" t="s">
        <v>500</v>
      </c>
      <c r="H48" s="55" t="s">
        <v>1022</v>
      </c>
      <c r="I48" s="139" t="s">
        <v>51</v>
      </c>
      <c r="J48" s="159" t="s">
        <v>1023</v>
      </c>
      <c r="K48" s="55">
        <v>20038918</v>
      </c>
      <c r="L48" s="55" t="s">
        <v>198</v>
      </c>
      <c r="M48" s="141" t="str">
        <f t="shared" si="0"/>
        <v>EH2-INT_D</v>
      </c>
      <c r="N48" s="142" t="str">
        <f>LOOKUP(M48,'[2]Doc Set'!E:E,'[2]Doc Set'!F:F)</f>
        <v>_</v>
      </c>
      <c r="O48" s="141" t="s">
        <v>931</v>
      </c>
      <c r="P48" s="142">
        <f>+LOOKUP(O48,'[2]Doc Set'!E:E,'[2]Doc Set'!G:G)</f>
        <v>43500</v>
      </c>
      <c r="Q48" s="55" t="str">
        <f t="shared" si="1"/>
        <v>EH2-INT_D</v>
      </c>
      <c r="R48" s="142">
        <f>+LOOKUP(Q48,'[2]Doc Set'!E:E,'[2]Doc Set'!H:H)</f>
        <v>43528</v>
      </c>
      <c r="S48" s="143" t="s">
        <v>200</v>
      </c>
    </row>
    <row r="49" spans="1:19" x14ac:dyDescent="0.3">
      <c r="A49" s="55" t="s">
        <v>40</v>
      </c>
      <c r="B49" s="55" t="s">
        <v>190</v>
      </c>
      <c r="C49" s="55" t="s">
        <v>191</v>
      </c>
      <c r="D49" s="162" t="s">
        <v>65</v>
      </c>
      <c r="E49" s="55" t="s">
        <v>193</v>
      </c>
      <c r="F49" s="55" t="s">
        <v>194</v>
      </c>
      <c r="G49" s="55" t="s">
        <v>503</v>
      </c>
      <c r="H49" s="55" t="s">
        <v>1024</v>
      </c>
      <c r="I49" s="139" t="s">
        <v>51</v>
      </c>
      <c r="J49" s="159" t="s">
        <v>1025</v>
      </c>
      <c r="K49" s="55">
        <v>20038918</v>
      </c>
      <c r="L49" s="55" t="s">
        <v>198</v>
      </c>
      <c r="M49" s="141" t="str">
        <f t="shared" si="0"/>
        <v>EH2-INT_D</v>
      </c>
      <c r="N49" s="142" t="str">
        <f>LOOKUP(M49,'[2]Doc Set'!E:E,'[2]Doc Set'!F:F)</f>
        <v>_</v>
      </c>
      <c r="O49" s="141" t="s">
        <v>931</v>
      </c>
      <c r="P49" s="142">
        <f>+LOOKUP(O49,'[2]Doc Set'!E:E,'[2]Doc Set'!G:G)</f>
        <v>43500</v>
      </c>
      <c r="Q49" s="55" t="str">
        <f t="shared" si="1"/>
        <v>EH2-INT_D</v>
      </c>
      <c r="R49" s="142">
        <f>+LOOKUP(Q49,'[2]Doc Set'!E:E,'[2]Doc Set'!H:H)</f>
        <v>43528</v>
      </c>
      <c r="S49" s="143" t="s">
        <v>200</v>
      </c>
    </row>
    <row r="50" spans="1:19" x14ac:dyDescent="0.3">
      <c r="A50" s="55" t="s">
        <v>40</v>
      </c>
      <c r="B50" s="55" t="s">
        <v>190</v>
      </c>
      <c r="C50" s="55" t="s">
        <v>191</v>
      </c>
      <c r="D50" s="162" t="s">
        <v>65</v>
      </c>
      <c r="E50" s="55" t="s">
        <v>193</v>
      </c>
      <c r="F50" s="55" t="s">
        <v>451</v>
      </c>
      <c r="G50" s="55" t="s">
        <v>458</v>
      </c>
      <c r="H50" s="55" t="s">
        <v>1026</v>
      </c>
      <c r="I50" s="139" t="s">
        <v>134</v>
      </c>
      <c r="J50" s="159" t="s">
        <v>1027</v>
      </c>
      <c r="K50" s="55">
        <v>20038918</v>
      </c>
      <c r="L50" s="55" t="s">
        <v>198</v>
      </c>
      <c r="M50" s="141" t="str">
        <f t="shared" si="0"/>
        <v>EH2-INT_D</v>
      </c>
      <c r="N50" s="142" t="str">
        <f>LOOKUP(M50,'[2]Doc Set'!E:E,'[2]Doc Set'!F:F)</f>
        <v>_</v>
      </c>
      <c r="O50" s="141" t="s">
        <v>931</v>
      </c>
      <c r="P50" s="142">
        <f>+LOOKUP(O50,'[2]Doc Set'!E:E,'[2]Doc Set'!G:G)</f>
        <v>43500</v>
      </c>
      <c r="Q50" s="55" t="str">
        <f t="shared" si="1"/>
        <v>EH2-INT_D</v>
      </c>
      <c r="R50" s="142">
        <f>+LOOKUP(Q50,'[2]Doc Set'!E:E,'[2]Doc Set'!H:H)</f>
        <v>43528</v>
      </c>
      <c r="S50" s="143" t="s">
        <v>200</v>
      </c>
    </row>
    <row r="51" spans="1:19" x14ac:dyDescent="0.3">
      <c r="A51" s="55" t="s">
        <v>40</v>
      </c>
      <c r="B51" s="55" t="s">
        <v>190</v>
      </c>
      <c r="C51" s="55" t="s">
        <v>191</v>
      </c>
      <c r="D51" s="162" t="s">
        <v>65</v>
      </c>
      <c r="E51" s="55" t="s">
        <v>193</v>
      </c>
      <c r="F51" s="55" t="s">
        <v>451</v>
      </c>
      <c r="G51" s="55" t="s">
        <v>828</v>
      </c>
      <c r="H51" s="55" t="s">
        <v>1028</v>
      </c>
      <c r="I51" s="139" t="s">
        <v>134</v>
      </c>
      <c r="J51" s="159" t="s">
        <v>1029</v>
      </c>
      <c r="K51" s="55">
        <v>20038918</v>
      </c>
      <c r="L51" s="55" t="s">
        <v>198</v>
      </c>
      <c r="M51" s="141" t="str">
        <f t="shared" si="0"/>
        <v>EH2-INT_D</v>
      </c>
      <c r="N51" s="142" t="str">
        <f>LOOKUP(M51,'[2]Doc Set'!E:E,'[2]Doc Set'!F:F)</f>
        <v>_</v>
      </c>
      <c r="O51" s="141" t="s">
        <v>931</v>
      </c>
      <c r="P51" s="142">
        <f>+LOOKUP(O51,'[2]Doc Set'!E:E,'[2]Doc Set'!G:G)</f>
        <v>43500</v>
      </c>
      <c r="Q51" s="55" t="str">
        <f t="shared" si="1"/>
        <v>EH2-INT_D</v>
      </c>
      <c r="R51" s="142">
        <f>+LOOKUP(Q51,'[2]Doc Set'!E:E,'[2]Doc Set'!H:H)</f>
        <v>43528</v>
      </c>
      <c r="S51" s="143" t="s">
        <v>200</v>
      </c>
    </row>
    <row r="52" spans="1:19" x14ac:dyDescent="0.3">
      <c r="A52" s="55" t="s">
        <v>40</v>
      </c>
      <c r="B52" s="55" t="s">
        <v>190</v>
      </c>
      <c r="C52" s="55" t="s">
        <v>191</v>
      </c>
      <c r="D52" s="162" t="s">
        <v>65</v>
      </c>
      <c r="E52" s="55" t="s">
        <v>193</v>
      </c>
      <c r="F52" s="55" t="s">
        <v>451</v>
      </c>
      <c r="G52" s="55" t="s">
        <v>461</v>
      </c>
      <c r="H52" s="55" t="s">
        <v>1030</v>
      </c>
      <c r="I52" s="139" t="s">
        <v>134</v>
      </c>
      <c r="J52" s="159" t="s">
        <v>1031</v>
      </c>
      <c r="K52" s="55">
        <v>20038918</v>
      </c>
      <c r="L52" s="55" t="s">
        <v>198</v>
      </c>
      <c r="M52" s="141" t="str">
        <f t="shared" si="0"/>
        <v>EH2-INT_D</v>
      </c>
      <c r="N52" s="142" t="str">
        <f>LOOKUP(M52,'[2]Doc Set'!E:E,'[2]Doc Set'!F:F)</f>
        <v>_</v>
      </c>
      <c r="O52" s="141" t="s">
        <v>931</v>
      </c>
      <c r="P52" s="142">
        <f>+LOOKUP(O52,'[2]Doc Set'!E:E,'[2]Doc Set'!G:G)</f>
        <v>43500</v>
      </c>
      <c r="Q52" s="55" t="str">
        <f t="shared" si="1"/>
        <v>EH2-INT_D</v>
      </c>
      <c r="R52" s="142">
        <f>+LOOKUP(Q52,'[2]Doc Set'!E:E,'[2]Doc Set'!H:H)</f>
        <v>43528</v>
      </c>
      <c r="S52" s="143" t="s">
        <v>200</v>
      </c>
    </row>
    <row r="53" spans="1:19" x14ac:dyDescent="0.3">
      <c r="A53" s="55" t="s">
        <v>40</v>
      </c>
      <c r="B53" s="55" t="s">
        <v>190</v>
      </c>
      <c r="C53" s="55" t="s">
        <v>191</v>
      </c>
      <c r="D53" s="162" t="s">
        <v>65</v>
      </c>
      <c r="E53" s="55" t="s">
        <v>193</v>
      </c>
      <c r="F53" s="55" t="s">
        <v>451</v>
      </c>
      <c r="G53" s="55" t="s">
        <v>464</v>
      </c>
      <c r="H53" s="55" t="s">
        <v>1032</v>
      </c>
      <c r="I53" s="139" t="s">
        <v>134</v>
      </c>
      <c r="J53" s="159" t="s">
        <v>1033</v>
      </c>
      <c r="K53" s="55">
        <v>20038918</v>
      </c>
      <c r="L53" s="55" t="s">
        <v>198</v>
      </c>
      <c r="M53" s="141" t="str">
        <f t="shared" si="0"/>
        <v>EH2-INT_D</v>
      </c>
      <c r="N53" s="142" t="str">
        <f>LOOKUP(M53,'[2]Doc Set'!E:E,'[2]Doc Set'!F:F)</f>
        <v>_</v>
      </c>
      <c r="O53" s="141" t="s">
        <v>931</v>
      </c>
      <c r="P53" s="142">
        <f>+LOOKUP(O53,'[2]Doc Set'!E:E,'[2]Doc Set'!G:G)</f>
        <v>43500</v>
      </c>
      <c r="Q53" s="55" t="str">
        <f t="shared" si="1"/>
        <v>EH2-INT_D</v>
      </c>
      <c r="R53" s="142">
        <f>+LOOKUP(Q53,'[2]Doc Set'!E:E,'[2]Doc Set'!H:H)</f>
        <v>43528</v>
      </c>
      <c r="S53" s="143" t="s">
        <v>200</v>
      </c>
    </row>
    <row r="54" spans="1:19" x14ac:dyDescent="0.3">
      <c r="A54" s="55" t="s">
        <v>40</v>
      </c>
      <c r="B54" s="55" t="s">
        <v>190</v>
      </c>
      <c r="C54" s="55" t="s">
        <v>191</v>
      </c>
      <c r="D54" s="162" t="s">
        <v>65</v>
      </c>
      <c r="E54" s="55" t="s">
        <v>193</v>
      </c>
      <c r="F54" s="55" t="s">
        <v>451</v>
      </c>
      <c r="G54" s="55" t="s">
        <v>467</v>
      </c>
      <c r="H54" s="55" t="s">
        <v>1034</v>
      </c>
      <c r="I54" s="139" t="s">
        <v>134</v>
      </c>
      <c r="J54" s="159" t="s">
        <v>1035</v>
      </c>
      <c r="K54" s="55">
        <v>20038918</v>
      </c>
      <c r="L54" s="55" t="s">
        <v>198</v>
      </c>
      <c r="M54" s="141" t="str">
        <f t="shared" si="0"/>
        <v>EH2-INT_D</v>
      </c>
      <c r="N54" s="142" t="str">
        <f>LOOKUP(M54,'[2]Doc Set'!E:E,'[2]Doc Set'!F:F)</f>
        <v>_</v>
      </c>
      <c r="O54" s="141" t="s">
        <v>931</v>
      </c>
      <c r="P54" s="142">
        <f>+LOOKUP(O54,'[2]Doc Set'!E:E,'[2]Doc Set'!G:G)</f>
        <v>43500</v>
      </c>
      <c r="Q54" s="55" t="str">
        <f t="shared" si="1"/>
        <v>EH2-INT_D</v>
      </c>
      <c r="R54" s="142">
        <f>+LOOKUP(Q54,'[2]Doc Set'!E:E,'[2]Doc Set'!H:H)</f>
        <v>43528</v>
      </c>
      <c r="S54" s="143" t="s">
        <v>200</v>
      </c>
    </row>
    <row r="55" spans="1:19" x14ac:dyDescent="0.3">
      <c r="A55" s="55" t="s">
        <v>40</v>
      </c>
      <c r="B55" s="55" t="s">
        <v>190</v>
      </c>
      <c r="C55" s="55" t="s">
        <v>191</v>
      </c>
      <c r="D55" s="162" t="s">
        <v>65</v>
      </c>
      <c r="E55" s="55" t="s">
        <v>193</v>
      </c>
      <c r="F55" s="55" t="s">
        <v>609</v>
      </c>
      <c r="G55" s="55" t="s">
        <v>635</v>
      </c>
      <c r="H55" s="55" t="s">
        <v>1036</v>
      </c>
      <c r="I55" s="139" t="s">
        <v>128</v>
      </c>
      <c r="J55" s="159" t="s">
        <v>1037</v>
      </c>
      <c r="K55" s="55">
        <v>20038918</v>
      </c>
      <c r="L55" s="55" t="s">
        <v>198</v>
      </c>
      <c r="M55" s="141" t="str">
        <f t="shared" si="0"/>
        <v>EH2-INT_D</v>
      </c>
      <c r="N55" s="142" t="str">
        <f>LOOKUP(M55,'[2]Doc Set'!E:E,'[2]Doc Set'!F:F)</f>
        <v>_</v>
      </c>
      <c r="O55" s="141" t="s">
        <v>931</v>
      </c>
      <c r="P55" s="142">
        <f>+LOOKUP(O55,'[2]Doc Set'!E:E,'[2]Doc Set'!G:G)</f>
        <v>43500</v>
      </c>
      <c r="Q55" s="55" t="str">
        <f t="shared" si="1"/>
        <v>EH2-INT_D</v>
      </c>
      <c r="R55" s="142">
        <f>+LOOKUP(Q55,'[2]Doc Set'!E:E,'[2]Doc Set'!H:H)</f>
        <v>43528</v>
      </c>
      <c r="S55" s="143" t="s">
        <v>200</v>
      </c>
    </row>
    <row r="56" spans="1:19" x14ac:dyDescent="0.3">
      <c r="A56" s="55" t="s">
        <v>40</v>
      </c>
      <c r="B56" s="55" t="s">
        <v>190</v>
      </c>
      <c r="C56" s="55" t="s">
        <v>191</v>
      </c>
      <c r="D56" s="162" t="s">
        <v>65</v>
      </c>
      <c r="E56" s="55" t="s">
        <v>193</v>
      </c>
      <c r="F56" s="55" t="s">
        <v>609</v>
      </c>
      <c r="G56" s="55" t="s">
        <v>839</v>
      </c>
      <c r="H56" s="55" t="s">
        <v>1038</v>
      </c>
      <c r="I56" s="139" t="s">
        <v>128</v>
      </c>
      <c r="J56" s="159" t="s">
        <v>1039</v>
      </c>
      <c r="K56" s="55">
        <v>20038918</v>
      </c>
      <c r="L56" s="55" t="s">
        <v>198</v>
      </c>
      <c r="M56" s="141" t="str">
        <f t="shared" si="0"/>
        <v>EH2-INT_D</v>
      </c>
      <c r="N56" s="142" t="str">
        <f>LOOKUP(M56,'[2]Doc Set'!E:E,'[2]Doc Set'!F:F)</f>
        <v>_</v>
      </c>
      <c r="O56" s="141" t="s">
        <v>931</v>
      </c>
      <c r="P56" s="142">
        <f>+LOOKUP(O56,'[2]Doc Set'!E:E,'[2]Doc Set'!G:G)</f>
        <v>43500</v>
      </c>
      <c r="Q56" s="55" t="str">
        <f t="shared" si="1"/>
        <v>EH2-INT_D</v>
      </c>
      <c r="R56" s="142">
        <f>+LOOKUP(Q56,'[2]Doc Set'!E:E,'[2]Doc Set'!H:H)</f>
        <v>43528</v>
      </c>
      <c r="S56" s="143" t="s">
        <v>200</v>
      </c>
    </row>
    <row r="57" spans="1:19" s="153" customFormat="1" x14ac:dyDescent="0.3">
      <c r="A57" s="144" t="s">
        <v>40</v>
      </c>
      <c r="B57" s="144" t="s">
        <v>190</v>
      </c>
      <c r="C57" s="144" t="s">
        <v>191</v>
      </c>
      <c r="D57" s="163" t="s">
        <v>65</v>
      </c>
      <c r="E57" s="144" t="s">
        <v>193</v>
      </c>
      <c r="F57" s="144" t="s">
        <v>609</v>
      </c>
      <c r="G57" s="144" t="s">
        <v>638</v>
      </c>
      <c r="H57" s="144" t="s">
        <v>1040</v>
      </c>
      <c r="I57" s="146" t="s">
        <v>128</v>
      </c>
      <c r="J57" s="147" t="s">
        <v>1041</v>
      </c>
      <c r="K57" s="144">
        <v>20038918</v>
      </c>
      <c r="L57" s="144" t="s">
        <v>198</v>
      </c>
      <c r="M57" s="151" t="str">
        <f t="shared" si="0"/>
        <v>EH2-SS_B</v>
      </c>
      <c r="N57" s="150" t="str">
        <f>LOOKUP(M57,'[2]Doc Set'!E:E,'[2]Doc Set'!F:F)</f>
        <v>_</v>
      </c>
      <c r="O57" s="151" t="s">
        <v>1042</v>
      </c>
      <c r="P57" s="150">
        <f>+LOOKUP(O57,'[2]Doc Set'!E:E,'[2]Doc Set'!G:G)</f>
        <v>43305</v>
      </c>
      <c r="Q57" s="144" t="str">
        <f t="shared" si="1"/>
        <v>EH2-SS_B</v>
      </c>
      <c r="R57" s="150">
        <f>+LOOKUP(Q57,'[2]Doc Set'!E:E,'[2]Doc Set'!H:H)</f>
        <v>43350</v>
      </c>
      <c r="S57" s="152" t="s">
        <v>200</v>
      </c>
    </row>
    <row r="58" spans="1:19" s="153" customFormat="1" x14ac:dyDescent="0.3">
      <c r="A58" s="144" t="s">
        <v>40</v>
      </c>
      <c r="B58" s="144" t="s">
        <v>190</v>
      </c>
      <c r="C58" s="144" t="s">
        <v>191</v>
      </c>
      <c r="D58" s="163" t="s">
        <v>65</v>
      </c>
      <c r="E58" s="144" t="s">
        <v>193</v>
      </c>
      <c r="F58" s="144" t="s">
        <v>609</v>
      </c>
      <c r="G58" s="144" t="s">
        <v>641</v>
      </c>
      <c r="H58" s="144" t="s">
        <v>1043</v>
      </c>
      <c r="I58" s="146" t="s">
        <v>128</v>
      </c>
      <c r="J58" s="147" t="s">
        <v>1044</v>
      </c>
      <c r="K58" s="144">
        <v>20038918</v>
      </c>
      <c r="L58" s="144" t="s">
        <v>198</v>
      </c>
      <c r="M58" s="151" t="str">
        <f t="shared" si="0"/>
        <v>EH2-SS_B</v>
      </c>
      <c r="N58" s="150" t="str">
        <f>LOOKUP(M58,'[2]Doc Set'!E:E,'[2]Doc Set'!F:F)</f>
        <v>_</v>
      </c>
      <c r="O58" s="151" t="s">
        <v>1042</v>
      </c>
      <c r="P58" s="150">
        <f>+LOOKUP(O58,'[2]Doc Set'!E:E,'[2]Doc Set'!G:G)</f>
        <v>43305</v>
      </c>
      <c r="Q58" s="144" t="str">
        <f t="shared" si="1"/>
        <v>EH2-SS_B</v>
      </c>
      <c r="R58" s="150">
        <f>+LOOKUP(Q58,'[2]Doc Set'!E:E,'[2]Doc Set'!H:H)</f>
        <v>43350</v>
      </c>
      <c r="S58" s="152" t="s">
        <v>200</v>
      </c>
    </row>
    <row r="59" spans="1:19" s="153" customFormat="1" x14ac:dyDescent="0.3">
      <c r="A59" s="144" t="s">
        <v>40</v>
      </c>
      <c r="B59" s="144" t="s">
        <v>190</v>
      </c>
      <c r="C59" s="144" t="s">
        <v>191</v>
      </c>
      <c r="D59" s="163" t="s">
        <v>65</v>
      </c>
      <c r="E59" s="144" t="s">
        <v>193</v>
      </c>
      <c r="F59" s="144" t="s">
        <v>609</v>
      </c>
      <c r="G59" s="144" t="s">
        <v>644</v>
      </c>
      <c r="H59" s="144" t="s">
        <v>1045</v>
      </c>
      <c r="I59" s="146" t="s">
        <v>128</v>
      </c>
      <c r="J59" s="147" t="s">
        <v>1046</v>
      </c>
      <c r="K59" s="144">
        <v>20038918</v>
      </c>
      <c r="L59" s="144" t="s">
        <v>198</v>
      </c>
      <c r="M59" s="151" t="str">
        <f t="shared" si="0"/>
        <v>EH2-SS_B</v>
      </c>
      <c r="N59" s="150" t="str">
        <f>LOOKUP(M59,'[2]Doc Set'!E:E,'[2]Doc Set'!F:F)</f>
        <v>_</v>
      </c>
      <c r="O59" s="151" t="s">
        <v>1042</v>
      </c>
      <c r="P59" s="150">
        <f>+LOOKUP(O59,'[2]Doc Set'!E:E,'[2]Doc Set'!G:G)</f>
        <v>43305</v>
      </c>
      <c r="Q59" s="144" t="str">
        <f t="shared" si="1"/>
        <v>EH2-SS_B</v>
      </c>
      <c r="R59" s="150">
        <f>+LOOKUP(Q59,'[2]Doc Set'!E:E,'[2]Doc Set'!H:H)</f>
        <v>43350</v>
      </c>
      <c r="S59" s="152" t="s">
        <v>200</v>
      </c>
    </row>
    <row r="60" spans="1:19" s="153" customFormat="1" x14ac:dyDescent="0.3">
      <c r="A60" s="144" t="s">
        <v>40</v>
      </c>
      <c r="B60" s="144" t="s">
        <v>190</v>
      </c>
      <c r="C60" s="144" t="s">
        <v>191</v>
      </c>
      <c r="D60" s="163" t="s">
        <v>65</v>
      </c>
      <c r="E60" s="144" t="s">
        <v>193</v>
      </c>
      <c r="F60" s="144" t="s">
        <v>609</v>
      </c>
      <c r="G60" s="144" t="s">
        <v>849</v>
      </c>
      <c r="H60" s="144" t="s">
        <v>1047</v>
      </c>
      <c r="I60" s="146" t="s">
        <v>128</v>
      </c>
      <c r="J60" s="147" t="s">
        <v>1048</v>
      </c>
      <c r="K60" s="144">
        <v>20038918</v>
      </c>
      <c r="L60" s="144" t="s">
        <v>198</v>
      </c>
      <c r="M60" s="151" t="str">
        <f t="shared" si="0"/>
        <v>EH2-SS_B</v>
      </c>
      <c r="N60" s="150" t="str">
        <f>LOOKUP(M60,'[2]Doc Set'!E:E,'[2]Doc Set'!F:F)</f>
        <v>_</v>
      </c>
      <c r="O60" s="151" t="s">
        <v>1042</v>
      </c>
      <c r="P60" s="150">
        <f>+LOOKUP(O60,'[2]Doc Set'!E:E,'[2]Doc Set'!G:G)</f>
        <v>43305</v>
      </c>
      <c r="Q60" s="144" t="str">
        <f t="shared" si="1"/>
        <v>EH2-SS_B</v>
      </c>
      <c r="R60" s="150">
        <f>+LOOKUP(Q60,'[2]Doc Set'!E:E,'[2]Doc Set'!H:H)</f>
        <v>43350</v>
      </c>
      <c r="S60" s="152" t="s">
        <v>200</v>
      </c>
    </row>
    <row r="61" spans="1:19" s="153" customFormat="1" x14ac:dyDescent="0.3">
      <c r="A61" s="144" t="s">
        <v>40</v>
      </c>
      <c r="B61" s="144" t="s">
        <v>190</v>
      </c>
      <c r="C61" s="144" t="s">
        <v>191</v>
      </c>
      <c r="D61" s="163" t="s">
        <v>65</v>
      </c>
      <c r="E61" s="144" t="s">
        <v>193</v>
      </c>
      <c r="F61" s="144" t="s">
        <v>609</v>
      </c>
      <c r="G61" s="144" t="s">
        <v>852</v>
      </c>
      <c r="H61" s="144" t="s">
        <v>1049</v>
      </c>
      <c r="I61" s="146" t="s">
        <v>51</v>
      </c>
      <c r="J61" s="147" t="s">
        <v>1050</v>
      </c>
      <c r="K61" s="144">
        <v>20038918</v>
      </c>
      <c r="L61" s="144" t="s">
        <v>198</v>
      </c>
      <c r="M61" s="151" t="str">
        <f t="shared" si="0"/>
        <v>EH2-SS_B</v>
      </c>
      <c r="N61" s="150" t="str">
        <f>LOOKUP(M61,'[2]Doc Set'!E:E,'[2]Doc Set'!F:F)</f>
        <v>_</v>
      </c>
      <c r="O61" s="151" t="s">
        <v>1042</v>
      </c>
      <c r="P61" s="150">
        <f>+LOOKUP(O61,'[2]Doc Set'!E:E,'[2]Doc Set'!G:G)</f>
        <v>43305</v>
      </c>
      <c r="Q61" s="144" t="str">
        <f t="shared" si="1"/>
        <v>EH2-SS_B</v>
      </c>
      <c r="R61" s="150">
        <f>+LOOKUP(Q61,'[2]Doc Set'!E:E,'[2]Doc Set'!H:H)</f>
        <v>43350</v>
      </c>
      <c r="S61" s="152" t="s">
        <v>200</v>
      </c>
    </row>
    <row r="62" spans="1:19" s="153" customFormat="1" x14ac:dyDescent="0.3">
      <c r="A62" s="144" t="s">
        <v>40</v>
      </c>
      <c r="B62" s="144" t="s">
        <v>190</v>
      </c>
      <c r="C62" s="144" t="s">
        <v>191</v>
      </c>
      <c r="D62" s="163" t="s">
        <v>65</v>
      </c>
      <c r="E62" s="144" t="s">
        <v>193</v>
      </c>
      <c r="F62" s="144" t="s">
        <v>613</v>
      </c>
      <c r="G62" s="144" t="s">
        <v>1051</v>
      </c>
      <c r="H62" s="144" t="s">
        <v>1052</v>
      </c>
      <c r="I62" s="146" t="s">
        <v>134</v>
      </c>
      <c r="J62" s="147" t="s">
        <v>1053</v>
      </c>
      <c r="K62" s="144">
        <v>20038918</v>
      </c>
      <c r="L62" s="144" t="s">
        <v>198</v>
      </c>
      <c r="M62" s="151" t="str">
        <f t="shared" si="0"/>
        <v>EH2-SS_B</v>
      </c>
      <c r="N62" s="150" t="str">
        <f>LOOKUP(M62,'[2]Doc Set'!E:E,'[2]Doc Set'!F:F)</f>
        <v>_</v>
      </c>
      <c r="O62" s="151" t="s">
        <v>1042</v>
      </c>
      <c r="P62" s="150">
        <f>+LOOKUP(O62,'[2]Doc Set'!E:E,'[2]Doc Set'!G:G)</f>
        <v>43305</v>
      </c>
      <c r="Q62" s="144" t="str">
        <f t="shared" si="1"/>
        <v>EH2-SS_B</v>
      </c>
      <c r="R62" s="150">
        <f>+LOOKUP(Q62,'[2]Doc Set'!E:E,'[2]Doc Set'!H:H)</f>
        <v>43350</v>
      </c>
      <c r="S62" s="152" t="s">
        <v>200</v>
      </c>
    </row>
    <row r="63" spans="1:19" s="153" customFormat="1" x14ac:dyDescent="0.3">
      <c r="A63" s="144" t="s">
        <v>40</v>
      </c>
      <c r="B63" s="144" t="s">
        <v>190</v>
      </c>
      <c r="C63" s="144" t="s">
        <v>191</v>
      </c>
      <c r="D63" s="163" t="s">
        <v>65</v>
      </c>
      <c r="E63" s="144" t="s">
        <v>193</v>
      </c>
      <c r="F63" s="144" t="s">
        <v>609</v>
      </c>
      <c r="G63" s="144" t="s">
        <v>617</v>
      </c>
      <c r="H63" s="144" t="s">
        <v>1054</v>
      </c>
      <c r="I63" s="146" t="s">
        <v>51</v>
      </c>
      <c r="J63" s="147" t="s">
        <v>1055</v>
      </c>
      <c r="K63" s="144">
        <v>20038918</v>
      </c>
      <c r="L63" s="144" t="s">
        <v>198</v>
      </c>
      <c r="M63" s="151" t="str">
        <f t="shared" si="0"/>
        <v>EH2-SS_B</v>
      </c>
      <c r="N63" s="150" t="str">
        <f>LOOKUP(M63,'[2]Doc Set'!E:E,'[2]Doc Set'!F:F)</f>
        <v>_</v>
      </c>
      <c r="O63" s="151" t="s">
        <v>1042</v>
      </c>
      <c r="P63" s="150">
        <f>+LOOKUP(O63,'[2]Doc Set'!E:E,'[2]Doc Set'!G:G)</f>
        <v>43305</v>
      </c>
      <c r="Q63" s="144" t="str">
        <f t="shared" si="1"/>
        <v>EH2-SS_B</v>
      </c>
      <c r="R63" s="150">
        <f>+LOOKUP(Q63,'[2]Doc Set'!E:E,'[2]Doc Set'!H:H)</f>
        <v>43350</v>
      </c>
      <c r="S63" s="152" t="s">
        <v>200</v>
      </c>
    </row>
    <row r="64" spans="1:19" s="153" customFormat="1" x14ac:dyDescent="0.3">
      <c r="A64" s="144" t="s">
        <v>40</v>
      </c>
      <c r="B64" s="144" t="s">
        <v>190</v>
      </c>
      <c r="C64" s="144" t="s">
        <v>191</v>
      </c>
      <c r="D64" s="163" t="s">
        <v>65</v>
      </c>
      <c r="E64" s="144" t="s">
        <v>193</v>
      </c>
      <c r="F64" s="144" t="s">
        <v>609</v>
      </c>
      <c r="G64" s="144" t="s">
        <v>620</v>
      </c>
      <c r="H64" s="144" t="s">
        <v>1056</v>
      </c>
      <c r="I64" s="146" t="s">
        <v>128</v>
      </c>
      <c r="J64" s="147" t="s">
        <v>1057</v>
      </c>
      <c r="K64" s="144">
        <v>20038918</v>
      </c>
      <c r="L64" s="144" t="s">
        <v>198</v>
      </c>
      <c r="M64" s="151" t="str">
        <f t="shared" si="0"/>
        <v>EH2-SS_B</v>
      </c>
      <c r="N64" s="150" t="str">
        <f>LOOKUP(M64,'[2]Doc Set'!E:E,'[2]Doc Set'!F:F)</f>
        <v>_</v>
      </c>
      <c r="O64" s="151" t="s">
        <v>1042</v>
      </c>
      <c r="P64" s="150">
        <f>+LOOKUP(O64,'[2]Doc Set'!E:E,'[2]Doc Set'!G:G)</f>
        <v>43305</v>
      </c>
      <c r="Q64" s="144" t="str">
        <f t="shared" si="1"/>
        <v>EH2-SS_B</v>
      </c>
      <c r="R64" s="150">
        <f>+LOOKUP(Q64,'[2]Doc Set'!E:E,'[2]Doc Set'!H:H)</f>
        <v>43350</v>
      </c>
      <c r="S64" s="152" t="s">
        <v>200</v>
      </c>
    </row>
    <row r="65" spans="1:19" s="153" customFormat="1" x14ac:dyDescent="0.3">
      <c r="A65" s="144" t="s">
        <v>40</v>
      </c>
      <c r="B65" s="144" t="s">
        <v>190</v>
      </c>
      <c r="C65" s="144" t="s">
        <v>191</v>
      </c>
      <c r="D65" s="163" t="s">
        <v>65</v>
      </c>
      <c r="E65" s="144" t="s">
        <v>193</v>
      </c>
      <c r="F65" s="144" t="s">
        <v>609</v>
      </c>
      <c r="G65" s="144" t="s">
        <v>623</v>
      </c>
      <c r="H65" s="144" t="s">
        <v>1058</v>
      </c>
      <c r="I65" s="146" t="s">
        <v>128</v>
      </c>
      <c r="J65" s="147" t="s">
        <v>1059</v>
      </c>
      <c r="K65" s="144">
        <v>20038918</v>
      </c>
      <c r="L65" s="144" t="s">
        <v>198</v>
      </c>
      <c r="M65" s="151" t="str">
        <f t="shared" si="0"/>
        <v>EH2-SS_B</v>
      </c>
      <c r="N65" s="150" t="str">
        <f>LOOKUP(M65,'[2]Doc Set'!E:E,'[2]Doc Set'!F:F)</f>
        <v>_</v>
      </c>
      <c r="O65" s="151" t="s">
        <v>1042</v>
      </c>
      <c r="P65" s="150">
        <f>+LOOKUP(O65,'[2]Doc Set'!E:E,'[2]Doc Set'!G:G)</f>
        <v>43305</v>
      </c>
      <c r="Q65" s="144" t="str">
        <f t="shared" si="1"/>
        <v>EH2-SS_B</v>
      </c>
      <c r="R65" s="150">
        <f>+LOOKUP(Q65,'[2]Doc Set'!E:E,'[2]Doc Set'!H:H)</f>
        <v>43350</v>
      </c>
      <c r="S65" s="152" t="s">
        <v>200</v>
      </c>
    </row>
    <row r="66" spans="1:19" s="153" customFormat="1" x14ac:dyDescent="0.3">
      <c r="A66" s="144" t="s">
        <v>40</v>
      </c>
      <c r="B66" s="144" t="s">
        <v>190</v>
      </c>
      <c r="C66" s="144" t="s">
        <v>191</v>
      </c>
      <c r="D66" s="163" t="s">
        <v>65</v>
      </c>
      <c r="E66" s="144" t="s">
        <v>193</v>
      </c>
      <c r="F66" s="144" t="s">
        <v>609</v>
      </c>
      <c r="G66" s="144" t="s">
        <v>626</v>
      </c>
      <c r="H66" s="144" t="s">
        <v>1060</v>
      </c>
      <c r="I66" s="146" t="s">
        <v>128</v>
      </c>
      <c r="J66" s="147" t="s">
        <v>1061</v>
      </c>
      <c r="K66" s="144">
        <v>20038918</v>
      </c>
      <c r="L66" s="144" t="s">
        <v>198</v>
      </c>
      <c r="M66" s="151" t="str">
        <f t="shared" si="0"/>
        <v>EH2-SS_B</v>
      </c>
      <c r="N66" s="150" t="str">
        <f>LOOKUP(M66,'[2]Doc Set'!E:E,'[2]Doc Set'!F:F)</f>
        <v>_</v>
      </c>
      <c r="O66" s="151" t="s">
        <v>1042</v>
      </c>
      <c r="P66" s="150">
        <f>+LOOKUP(O66,'[2]Doc Set'!E:E,'[2]Doc Set'!G:G)</f>
        <v>43305</v>
      </c>
      <c r="Q66" s="144" t="str">
        <f t="shared" si="1"/>
        <v>EH2-SS_B</v>
      </c>
      <c r="R66" s="150">
        <f>+LOOKUP(Q66,'[2]Doc Set'!E:E,'[2]Doc Set'!H:H)</f>
        <v>43350</v>
      </c>
      <c r="S66" s="152" t="s">
        <v>200</v>
      </c>
    </row>
    <row r="67" spans="1:19" s="153" customFormat="1" ht="28.8" x14ac:dyDescent="0.3">
      <c r="A67" s="144" t="s">
        <v>40</v>
      </c>
      <c r="B67" s="144" t="s">
        <v>190</v>
      </c>
      <c r="C67" s="144" t="s">
        <v>191</v>
      </c>
      <c r="D67" s="163" t="s">
        <v>65</v>
      </c>
      <c r="E67" s="144" t="s">
        <v>193</v>
      </c>
      <c r="F67" s="144" t="s">
        <v>555</v>
      </c>
      <c r="G67" s="144" t="s">
        <v>53</v>
      </c>
      <c r="H67" s="144" t="s">
        <v>1062</v>
      </c>
      <c r="I67" s="164" t="s">
        <v>51</v>
      </c>
      <c r="J67" s="147" t="s">
        <v>1063</v>
      </c>
      <c r="K67" s="144">
        <v>20038918</v>
      </c>
      <c r="L67" s="144" t="s">
        <v>859</v>
      </c>
      <c r="M67" s="151" t="s">
        <v>1064</v>
      </c>
      <c r="N67" s="150">
        <f>LOOKUP(M67,'[2]Doc Set'!E:E,'[2]Doc Set'!F:F)</f>
        <v>43160</v>
      </c>
      <c r="O67" s="151" t="s">
        <v>1042</v>
      </c>
      <c r="P67" s="150">
        <f>+LOOKUP(O67,'[2]Doc Set'!E:E,'[2]Doc Set'!G:G)</f>
        <v>43305</v>
      </c>
      <c r="Q67" s="144" t="str">
        <f t="shared" ref="Q67:Q95" si="2">+O67</f>
        <v>EH2-SS_B</v>
      </c>
      <c r="R67" s="150">
        <f>+LOOKUP(Q67,'[2]Doc Set'!E:E,'[2]Doc Set'!H:H)</f>
        <v>43350</v>
      </c>
      <c r="S67" s="152" t="s">
        <v>200</v>
      </c>
    </row>
    <row r="68" spans="1:19" s="153" customFormat="1" ht="28.8" x14ac:dyDescent="0.3">
      <c r="A68" s="144" t="s">
        <v>40</v>
      </c>
      <c r="B68" s="144" t="s">
        <v>190</v>
      </c>
      <c r="C68" s="144" t="s">
        <v>191</v>
      </c>
      <c r="D68" s="163" t="s">
        <v>65</v>
      </c>
      <c r="E68" s="144" t="s">
        <v>193</v>
      </c>
      <c r="F68" s="144" t="s">
        <v>555</v>
      </c>
      <c r="G68" s="144" t="s">
        <v>561</v>
      </c>
      <c r="H68" s="144" t="s">
        <v>1065</v>
      </c>
      <c r="I68" s="164" t="s">
        <v>51</v>
      </c>
      <c r="J68" s="147" t="s">
        <v>1066</v>
      </c>
      <c r="K68" s="144">
        <v>20038918</v>
      </c>
      <c r="L68" s="144" t="s">
        <v>859</v>
      </c>
      <c r="M68" s="151" t="str">
        <f t="shared" ref="M68:M69" si="3">+O68</f>
        <v>EH2-SS_B</v>
      </c>
      <c r="N68" s="150" t="str">
        <f>LOOKUP(M68,'[2]Doc Set'!E:E,'[2]Doc Set'!F:F)</f>
        <v>_</v>
      </c>
      <c r="O68" s="151" t="s">
        <v>1042</v>
      </c>
      <c r="P68" s="150">
        <f>+LOOKUP(O68,'[2]Doc Set'!E:E,'[2]Doc Set'!G:G)</f>
        <v>43305</v>
      </c>
      <c r="Q68" s="144" t="str">
        <f t="shared" si="2"/>
        <v>EH2-SS_B</v>
      </c>
      <c r="R68" s="150">
        <f>+LOOKUP(Q68,'[2]Doc Set'!E:E,'[2]Doc Set'!H:H)</f>
        <v>43350</v>
      </c>
      <c r="S68" s="152" t="s">
        <v>200</v>
      </c>
    </row>
    <row r="69" spans="1:19" s="153" customFormat="1" x14ac:dyDescent="0.3">
      <c r="A69" s="144" t="s">
        <v>40</v>
      </c>
      <c r="B69" s="144" t="s">
        <v>190</v>
      </c>
      <c r="C69" s="144" t="s">
        <v>191</v>
      </c>
      <c r="D69" s="163" t="s">
        <v>65</v>
      </c>
      <c r="E69" s="144" t="s">
        <v>193</v>
      </c>
      <c r="F69" s="144" t="s">
        <v>555</v>
      </c>
      <c r="G69" s="144" t="s">
        <v>564</v>
      </c>
      <c r="H69" s="144" t="s">
        <v>1067</v>
      </c>
      <c r="I69" s="164" t="s">
        <v>51</v>
      </c>
      <c r="J69" s="147" t="s">
        <v>1068</v>
      </c>
      <c r="K69" s="144">
        <v>20038918</v>
      </c>
      <c r="L69" s="144" t="s">
        <v>859</v>
      </c>
      <c r="M69" s="151" t="str">
        <f t="shared" si="3"/>
        <v>EH2-SS_B</v>
      </c>
      <c r="N69" s="150" t="str">
        <f>LOOKUP(M69,'[2]Doc Set'!E:E,'[2]Doc Set'!F:F)</f>
        <v>_</v>
      </c>
      <c r="O69" s="151" t="s">
        <v>1042</v>
      </c>
      <c r="P69" s="150">
        <f>+LOOKUP(O69,'[2]Doc Set'!E:E,'[2]Doc Set'!G:G)</f>
        <v>43305</v>
      </c>
      <c r="Q69" s="144" t="str">
        <f t="shared" si="2"/>
        <v>EH2-SS_B</v>
      </c>
      <c r="R69" s="150">
        <f>+LOOKUP(Q69,'[2]Doc Set'!E:E,'[2]Doc Set'!H:H)</f>
        <v>43350</v>
      </c>
      <c r="S69" s="152" t="s">
        <v>200</v>
      </c>
    </row>
    <row r="70" spans="1:19" s="153" customFormat="1" x14ac:dyDescent="0.3">
      <c r="A70" s="144" t="s">
        <v>40</v>
      </c>
      <c r="B70" s="144" t="s">
        <v>190</v>
      </c>
      <c r="C70" s="144" t="s">
        <v>191</v>
      </c>
      <c r="D70" s="163" t="s">
        <v>65</v>
      </c>
      <c r="E70" s="144" t="s">
        <v>193</v>
      </c>
      <c r="F70" s="144" t="s">
        <v>555</v>
      </c>
      <c r="G70" s="144" t="s">
        <v>567</v>
      </c>
      <c r="H70" s="144" t="s">
        <v>1069</v>
      </c>
      <c r="I70" s="164" t="s">
        <v>51</v>
      </c>
      <c r="J70" s="147" t="s">
        <v>1070</v>
      </c>
      <c r="K70" s="144">
        <v>20038918</v>
      </c>
      <c r="L70" s="144" t="s">
        <v>859</v>
      </c>
      <c r="M70" s="151" t="s">
        <v>1064</v>
      </c>
      <c r="N70" s="150">
        <f>LOOKUP(M70,'[2]Doc Set'!E:E,'[2]Doc Set'!F:F)</f>
        <v>43160</v>
      </c>
      <c r="O70" s="151" t="s">
        <v>1042</v>
      </c>
      <c r="P70" s="150">
        <f>+LOOKUP(O70,'[2]Doc Set'!E:E,'[2]Doc Set'!G:G)</f>
        <v>43305</v>
      </c>
      <c r="Q70" s="144" t="str">
        <f t="shared" si="2"/>
        <v>EH2-SS_B</v>
      </c>
      <c r="R70" s="150">
        <f>+LOOKUP(Q70,'[2]Doc Set'!E:E,'[2]Doc Set'!H:H)</f>
        <v>43350</v>
      </c>
      <c r="S70" s="152" t="s">
        <v>200</v>
      </c>
    </row>
    <row r="71" spans="1:19" s="153" customFormat="1" x14ac:dyDescent="0.3">
      <c r="A71" s="144" t="s">
        <v>40</v>
      </c>
      <c r="B71" s="144" t="s">
        <v>190</v>
      </c>
      <c r="C71" s="144" t="s">
        <v>191</v>
      </c>
      <c r="D71" s="163" t="s">
        <v>65</v>
      </c>
      <c r="E71" s="144" t="s">
        <v>193</v>
      </c>
      <c r="F71" s="144" t="s">
        <v>555</v>
      </c>
      <c r="G71" s="144" t="s">
        <v>570</v>
      </c>
      <c r="H71" s="144" t="s">
        <v>1071</v>
      </c>
      <c r="I71" s="164" t="s">
        <v>51</v>
      </c>
      <c r="J71" s="147" t="s">
        <v>1072</v>
      </c>
      <c r="K71" s="144">
        <v>20038918</v>
      </c>
      <c r="L71" s="144" t="s">
        <v>859</v>
      </c>
      <c r="M71" s="151" t="s">
        <v>1064</v>
      </c>
      <c r="N71" s="150">
        <f>LOOKUP(M71,'[2]Doc Set'!E:E,'[2]Doc Set'!F:F)</f>
        <v>43160</v>
      </c>
      <c r="O71" s="151" t="s">
        <v>1042</v>
      </c>
      <c r="P71" s="150">
        <f>+LOOKUP(O71,'[2]Doc Set'!E:E,'[2]Doc Set'!G:G)</f>
        <v>43305</v>
      </c>
      <c r="Q71" s="144" t="str">
        <f t="shared" si="2"/>
        <v>EH2-SS_B</v>
      </c>
      <c r="R71" s="150">
        <f>+LOOKUP(Q71,'[2]Doc Set'!E:E,'[2]Doc Set'!H:H)</f>
        <v>43350</v>
      </c>
      <c r="S71" s="152" t="s">
        <v>200</v>
      </c>
    </row>
    <row r="72" spans="1:19" s="153" customFormat="1" x14ac:dyDescent="0.3">
      <c r="A72" s="144" t="s">
        <v>40</v>
      </c>
      <c r="B72" s="144" t="s">
        <v>190</v>
      </c>
      <c r="C72" s="144" t="s">
        <v>191</v>
      </c>
      <c r="D72" s="163" t="s">
        <v>65</v>
      </c>
      <c r="E72" s="144" t="s">
        <v>193</v>
      </c>
      <c r="F72" s="144" t="s">
        <v>555</v>
      </c>
      <c r="G72" s="144" t="s">
        <v>573</v>
      </c>
      <c r="H72" s="144" t="s">
        <v>1073</v>
      </c>
      <c r="I72" s="164" t="s">
        <v>51</v>
      </c>
      <c r="J72" s="147" t="s">
        <v>1074</v>
      </c>
      <c r="K72" s="144">
        <v>20038918</v>
      </c>
      <c r="L72" s="144" t="s">
        <v>859</v>
      </c>
      <c r="M72" s="151" t="str">
        <f t="shared" ref="M72:M95" si="4">+O72</f>
        <v>EH2-SS_B</v>
      </c>
      <c r="N72" s="150" t="str">
        <f>LOOKUP(M72,'[2]Doc Set'!E:E,'[2]Doc Set'!F:F)</f>
        <v>_</v>
      </c>
      <c r="O72" s="151" t="s">
        <v>1042</v>
      </c>
      <c r="P72" s="150">
        <f>+LOOKUP(O72,'[2]Doc Set'!E:E,'[2]Doc Set'!G:G)</f>
        <v>43305</v>
      </c>
      <c r="Q72" s="144" t="str">
        <f t="shared" si="2"/>
        <v>EH2-SS_B</v>
      </c>
      <c r="R72" s="150">
        <f>+LOOKUP(Q72,'[2]Doc Set'!E:E,'[2]Doc Set'!H:H)</f>
        <v>43350</v>
      </c>
      <c r="S72" s="152" t="s">
        <v>200</v>
      </c>
    </row>
    <row r="73" spans="1:19" s="153" customFormat="1" x14ac:dyDescent="0.3">
      <c r="A73" s="144" t="s">
        <v>40</v>
      </c>
      <c r="B73" s="144" t="s">
        <v>190</v>
      </c>
      <c r="C73" s="144" t="s">
        <v>191</v>
      </c>
      <c r="D73" s="163" t="s">
        <v>65</v>
      </c>
      <c r="E73" s="144" t="s">
        <v>193</v>
      </c>
      <c r="F73" s="144" t="s">
        <v>555</v>
      </c>
      <c r="G73" s="144" t="s">
        <v>576</v>
      </c>
      <c r="H73" s="144" t="s">
        <v>1075</v>
      </c>
      <c r="I73" s="164" t="s">
        <v>51</v>
      </c>
      <c r="J73" s="147" t="s">
        <v>1076</v>
      </c>
      <c r="K73" s="144">
        <v>20038918</v>
      </c>
      <c r="L73" s="144" t="s">
        <v>859</v>
      </c>
      <c r="M73" s="151" t="str">
        <f t="shared" si="4"/>
        <v>EH2-SS_B</v>
      </c>
      <c r="N73" s="150" t="str">
        <f>LOOKUP(M73,'[2]Doc Set'!E:E,'[2]Doc Set'!F:F)</f>
        <v>_</v>
      </c>
      <c r="O73" s="151" t="s">
        <v>1042</v>
      </c>
      <c r="P73" s="150">
        <f>+LOOKUP(O73,'[2]Doc Set'!E:E,'[2]Doc Set'!G:G)</f>
        <v>43305</v>
      </c>
      <c r="Q73" s="144" t="str">
        <f t="shared" si="2"/>
        <v>EH2-SS_B</v>
      </c>
      <c r="R73" s="150">
        <f>+LOOKUP(Q73,'[2]Doc Set'!E:E,'[2]Doc Set'!H:H)</f>
        <v>43350</v>
      </c>
      <c r="S73" s="152" t="s">
        <v>200</v>
      </c>
    </row>
    <row r="74" spans="1:19" x14ac:dyDescent="0.3">
      <c r="A74" s="55" t="s">
        <v>40</v>
      </c>
      <c r="B74" s="55" t="s">
        <v>190</v>
      </c>
      <c r="C74" s="55" t="s">
        <v>191</v>
      </c>
      <c r="D74" s="162" t="s">
        <v>65</v>
      </c>
      <c r="E74" s="55" t="s">
        <v>193</v>
      </c>
      <c r="F74" s="55" t="s">
        <v>663</v>
      </c>
      <c r="G74" s="55" t="s">
        <v>1077</v>
      </c>
      <c r="H74" s="55" t="s">
        <v>1078</v>
      </c>
      <c r="I74" s="154" t="s">
        <v>134</v>
      </c>
      <c r="J74" s="147" t="s">
        <v>879</v>
      </c>
      <c r="K74" s="55">
        <v>20038918</v>
      </c>
      <c r="L74" s="55" t="s">
        <v>198</v>
      </c>
      <c r="M74" s="141" t="str">
        <f t="shared" si="4"/>
        <v>EH2-INT_D</v>
      </c>
      <c r="N74" s="142" t="str">
        <f>LOOKUP(M74,'[2]Doc Set'!E:E,'[2]Doc Set'!F:F)</f>
        <v>_</v>
      </c>
      <c r="O74" s="141" t="s">
        <v>931</v>
      </c>
      <c r="P74" s="142">
        <f>+LOOKUP(O74,'[2]Doc Set'!E:E,'[2]Doc Set'!G:G)</f>
        <v>43500</v>
      </c>
      <c r="Q74" s="55" t="str">
        <f t="shared" si="2"/>
        <v>EH2-INT_D</v>
      </c>
      <c r="R74" s="142">
        <f>+LOOKUP(Q74,'[2]Doc Set'!E:E,'[2]Doc Set'!H:H)</f>
        <v>43528</v>
      </c>
      <c r="S74" s="143" t="s">
        <v>200</v>
      </c>
    </row>
    <row r="75" spans="1:19" x14ac:dyDescent="0.3">
      <c r="A75" s="55" t="s">
        <v>40</v>
      </c>
      <c r="B75" s="55" t="s">
        <v>190</v>
      </c>
      <c r="C75" s="55" t="s">
        <v>191</v>
      </c>
      <c r="D75" s="162" t="s">
        <v>65</v>
      </c>
      <c r="E75" s="55" t="s">
        <v>193</v>
      </c>
      <c r="F75" s="55" t="s">
        <v>663</v>
      </c>
      <c r="G75" s="55" t="s">
        <v>1079</v>
      </c>
      <c r="H75" s="55" t="s">
        <v>1080</v>
      </c>
      <c r="I75" s="154" t="s">
        <v>134</v>
      </c>
      <c r="J75" s="159" t="s">
        <v>881</v>
      </c>
      <c r="K75" s="55">
        <v>20038918</v>
      </c>
      <c r="L75" s="55" t="s">
        <v>198</v>
      </c>
      <c r="M75" s="141" t="str">
        <f t="shared" si="4"/>
        <v>EH2-INT_D</v>
      </c>
      <c r="N75" s="142" t="str">
        <f>LOOKUP(M75,'[2]Doc Set'!E:E,'[2]Doc Set'!F:F)</f>
        <v>_</v>
      </c>
      <c r="O75" s="141" t="s">
        <v>931</v>
      </c>
      <c r="P75" s="142">
        <f>+LOOKUP(O75,'[2]Doc Set'!E:E,'[2]Doc Set'!G:G)</f>
        <v>43500</v>
      </c>
      <c r="Q75" s="55" t="str">
        <f t="shared" si="2"/>
        <v>EH2-INT_D</v>
      </c>
      <c r="R75" s="142">
        <f>+LOOKUP(Q75,'[2]Doc Set'!E:E,'[2]Doc Set'!H:H)</f>
        <v>43528</v>
      </c>
      <c r="S75" s="143" t="s">
        <v>200</v>
      </c>
    </row>
    <row r="76" spans="1:19" x14ac:dyDescent="0.3">
      <c r="A76" s="55" t="s">
        <v>40</v>
      </c>
      <c r="B76" s="55" t="s">
        <v>190</v>
      </c>
      <c r="C76" s="55" t="s">
        <v>191</v>
      </c>
      <c r="D76" s="162" t="s">
        <v>65</v>
      </c>
      <c r="E76" s="55" t="s">
        <v>193</v>
      </c>
      <c r="F76" s="55" t="s">
        <v>663</v>
      </c>
      <c r="G76" s="55" t="s">
        <v>1081</v>
      </c>
      <c r="H76" s="55" t="s">
        <v>1082</v>
      </c>
      <c r="I76" s="154" t="s">
        <v>134</v>
      </c>
      <c r="J76" s="159" t="s">
        <v>883</v>
      </c>
      <c r="K76" s="55">
        <v>20038918</v>
      </c>
      <c r="L76" s="55" t="s">
        <v>198</v>
      </c>
      <c r="M76" s="141" t="str">
        <f t="shared" si="4"/>
        <v>EH2-INT_D</v>
      </c>
      <c r="N76" s="142" t="str">
        <f>LOOKUP(M76,'[2]Doc Set'!E:E,'[2]Doc Set'!F:F)</f>
        <v>_</v>
      </c>
      <c r="O76" s="141" t="s">
        <v>931</v>
      </c>
      <c r="P76" s="142">
        <f>+LOOKUP(O76,'[2]Doc Set'!E:E,'[2]Doc Set'!G:G)</f>
        <v>43500</v>
      </c>
      <c r="Q76" s="55" t="str">
        <f t="shared" si="2"/>
        <v>EH2-INT_D</v>
      </c>
      <c r="R76" s="142">
        <f>+LOOKUP(Q76,'[2]Doc Set'!E:E,'[2]Doc Set'!H:H)</f>
        <v>43528</v>
      </c>
      <c r="S76" s="143" t="s">
        <v>200</v>
      </c>
    </row>
    <row r="77" spans="1:19" x14ac:dyDescent="0.3">
      <c r="A77" s="55" t="s">
        <v>40</v>
      </c>
      <c r="B77" s="55" t="s">
        <v>190</v>
      </c>
      <c r="C77" s="55" t="s">
        <v>191</v>
      </c>
      <c r="D77" s="162" t="s">
        <v>65</v>
      </c>
      <c r="E77" s="55" t="s">
        <v>193</v>
      </c>
      <c r="F77" s="55" t="s">
        <v>663</v>
      </c>
      <c r="G77" s="55" t="s">
        <v>676</v>
      </c>
      <c r="H77" s="55" t="s">
        <v>1083</v>
      </c>
      <c r="I77" s="154" t="s">
        <v>134</v>
      </c>
      <c r="J77" s="159" t="s">
        <v>885</v>
      </c>
      <c r="K77" s="55">
        <v>20038918</v>
      </c>
      <c r="L77" s="55" t="s">
        <v>198</v>
      </c>
      <c r="M77" s="141" t="str">
        <f t="shared" si="4"/>
        <v>EH2-INT_D</v>
      </c>
      <c r="N77" s="142" t="str">
        <f>LOOKUP(M77,'[2]Doc Set'!E:E,'[2]Doc Set'!F:F)</f>
        <v>_</v>
      </c>
      <c r="O77" s="141" t="s">
        <v>931</v>
      </c>
      <c r="P77" s="142">
        <f>+LOOKUP(O77,'[2]Doc Set'!E:E,'[2]Doc Set'!G:G)</f>
        <v>43500</v>
      </c>
      <c r="Q77" s="55" t="str">
        <f t="shared" si="2"/>
        <v>EH2-INT_D</v>
      </c>
      <c r="R77" s="142">
        <f>+LOOKUP(Q77,'[2]Doc Set'!E:E,'[2]Doc Set'!H:H)</f>
        <v>43528</v>
      </c>
      <c r="S77" s="143" t="s">
        <v>200</v>
      </c>
    </row>
    <row r="78" spans="1:19" x14ac:dyDescent="0.3">
      <c r="A78" s="55" t="s">
        <v>40</v>
      </c>
      <c r="B78" s="55" t="s">
        <v>190</v>
      </c>
      <c r="C78" s="55" t="s">
        <v>191</v>
      </c>
      <c r="D78" s="162" t="s">
        <v>65</v>
      </c>
      <c r="E78" s="55" t="s">
        <v>193</v>
      </c>
      <c r="F78" s="55" t="s">
        <v>663</v>
      </c>
      <c r="G78" s="55" t="s">
        <v>679</v>
      </c>
      <c r="H78" s="55" t="s">
        <v>1084</v>
      </c>
      <c r="I78" s="154" t="s">
        <v>134</v>
      </c>
      <c r="J78" s="159" t="s">
        <v>887</v>
      </c>
      <c r="K78" s="55">
        <v>20038918</v>
      </c>
      <c r="L78" s="55" t="s">
        <v>198</v>
      </c>
      <c r="M78" s="141" t="str">
        <f t="shared" si="4"/>
        <v>EH2-INT_D</v>
      </c>
      <c r="N78" s="142" t="str">
        <f>LOOKUP(M78,'[2]Doc Set'!E:E,'[2]Doc Set'!F:F)</f>
        <v>_</v>
      </c>
      <c r="O78" s="141" t="s">
        <v>931</v>
      </c>
      <c r="P78" s="142">
        <f>+LOOKUP(O78,'[2]Doc Set'!E:E,'[2]Doc Set'!G:G)</f>
        <v>43500</v>
      </c>
      <c r="Q78" s="55" t="str">
        <f t="shared" si="2"/>
        <v>EH2-INT_D</v>
      </c>
      <c r="R78" s="142">
        <f>+LOOKUP(Q78,'[2]Doc Set'!E:E,'[2]Doc Set'!H:H)</f>
        <v>43528</v>
      </c>
      <c r="S78" s="143" t="s">
        <v>200</v>
      </c>
    </row>
    <row r="79" spans="1:19" x14ac:dyDescent="0.3">
      <c r="A79" s="55" t="s">
        <v>40</v>
      </c>
      <c r="B79" s="55" t="s">
        <v>190</v>
      </c>
      <c r="C79" s="55" t="s">
        <v>191</v>
      </c>
      <c r="D79" s="162" t="s">
        <v>65</v>
      </c>
      <c r="E79" s="55" t="s">
        <v>193</v>
      </c>
      <c r="F79" s="55" t="s">
        <v>663</v>
      </c>
      <c r="G79" s="55" t="s">
        <v>682</v>
      </c>
      <c r="H79" s="55" t="s">
        <v>1085</v>
      </c>
      <c r="I79" s="154" t="s">
        <v>134</v>
      </c>
      <c r="J79" s="159" t="s">
        <v>889</v>
      </c>
      <c r="K79" s="55">
        <v>20038918</v>
      </c>
      <c r="L79" s="55" t="s">
        <v>198</v>
      </c>
      <c r="M79" s="141" t="str">
        <f t="shared" si="4"/>
        <v>EH2-INT_D</v>
      </c>
      <c r="N79" s="142" t="str">
        <f>LOOKUP(M79,'[2]Doc Set'!E:E,'[2]Doc Set'!F:F)</f>
        <v>_</v>
      </c>
      <c r="O79" s="141" t="s">
        <v>931</v>
      </c>
      <c r="P79" s="142">
        <f>+LOOKUP(O79,'[2]Doc Set'!E:E,'[2]Doc Set'!G:G)</f>
        <v>43500</v>
      </c>
      <c r="Q79" s="55" t="str">
        <f t="shared" si="2"/>
        <v>EH2-INT_D</v>
      </c>
      <c r="R79" s="142">
        <f>+LOOKUP(Q79,'[2]Doc Set'!E:E,'[2]Doc Set'!H:H)</f>
        <v>43528</v>
      </c>
      <c r="S79" s="143" t="s">
        <v>200</v>
      </c>
    </row>
    <row r="80" spans="1:19" x14ac:dyDescent="0.3">
      <c r="A80" s="55" t="s">
        <v>40</v>
      </c>
      <c r="B80" s="55" t="s">
        <v>190</v>
      </c>
      <c r="C80" s="55" t="s">
        <v>191</v>
      </c>
      <c r="D80" s="162" t="s">
        <v>65</v>
      </c>
      <c r="E80" s="55" t="s">
        <v>193</v>
      </c>
      <c r="F80" s="55" t="s">
        <v>194</v>
      </c>
      <c r="G80" s="55" t="s">
        <v>364</v>
      </c>
      <c r="H80" s="55" t="s">
        <v>1086</v>
      </c>
      <c r="I80" s="139" t="s">
        <v>51</v>
      </c>
      <c r="J80" s="159" t="s">
        <v>1087</v>
      </c>
      <c r="K80" s="55">
        <v>20038918</v>
      </c>
      <c r="L80" s="55" t="s">
        <v>198</v>
      </c>
      <c r="M80" s="141" t="str">
        <f t="shared" si="4"/>
        <v>EH2-INT_D</v>
      </c>
      <c r="N80" s="142" t="str">
        <f>LOOKUP(M80,'[2]Doc Set'!E:E,'[2]Doc Set'!F:F)</f>
        <v>_</v>
      </c>
      <c r="O80" s="141" t="s">
        <v>931</v>
      </c>
      <c r="P80" s="142">
        <f>+LOOKUP(O80,'[2]Doc Set'!E:E,'[2]Doc Set'!G:G)</f>
        <v>43500</v>
      </c>
      <c r="Q80" s="55" t="str">
        <f t="shared" si="2"/>
        <v>EH2-INT_D</v>
      </c>
      <c r="R80" s="142">
        <f>+LOOKUP(Q80,'[2]Doc Set'!E:E,'[2]Doc Set'!H:H)</f>
        <v>43528</v>
      </c>
      <c r="S80" s="143" t="s">
        <v>200</v>
      </c>
    </row>
    <row r="81" spans="1:19" x14ac:dyDescent="0.3">
      <c r="A81" s="55" t="s">
        <v>40</v>
      </c>
      <c r="B81" s="55" t="s">
        <v>190</v>
      </c>
      <c r="C81" s="55" t="s">
        <v>191</v>
      </c>
      <c r="D81" s="162" t="s">
        <v>65</v>
      </c>
      <c r="E81" s="55" t="s">
        <v>193</v>
      </c>
      <c r="F81" s="55" t="s">
        <v>194</v>
      </c>
      <c r="G81" s="55" t="s">
        <v>892</v>
      </c>
      <c r="H81" s="55" t="s">
        <v>1088</v>
      </c>
      <c r="I81" s="139" t="s">
        <v>51</v>
      </c>
      <c r="J81" s="159" t="s">
        <v>1089</v>
      </c>
      <c r="K81" s="55">
        <v>20038918</v>
      </c>
      <c r="L81" s="55" t="s">
        <v>198</v>
      </c>
      <c r="M81" s="141" t="str">
        <f t="shared" si="4"/>
        <v>EH2-INT_D</v>
      </c>
      <c r="N81" s="142" t="str">
        <f>LOOKUP(M81,'[2]Doc Set'!E:E,'[2]Doc Set'!F:F)</f>
        <v>_</v>
      </c>
      <c r="O81" s="141" t="s">
        <v>931</v>
      </c>
      <c r="P81" s="142">
        <f>+LOOKUP(O81,'[2]Doc Set'!E:E,'[2]Doc Set'!G:G)</f>
        <v>43500</v>
      </c>
      <c r="Q81" s="55" t="str">
        <f t="shared" si="2"/>
        <v>EH2-INT_D</v>
      </c>
      <c r="R81" s="142">
        <f>+LOOKUP(Q81,'[2]Doc Set'!E:E,'[2]Doc Set'!H:H)</f>
        <v>43528</v>
      </c>
      <c r="S81" s="143" t="s">
        <v>200</v>
      </c>
    </row>
    <row r="82" spans="1:19" x14ac:dyDescent="0.3">
      <c r="A82" s="55" t="s">
        <v>40</v>
      </c>
      <c r="B82" s="55" t="s">
        <v>190</v>
      </c>
      <c r="C82" s="55" t="s">
        <v>191</v>
      </c>
      <c r="D82" s="162" t="s">
        <v>65</v>
      </c>
      <c r="E82" s="55" t="s">
        <v>193</v>
      </c>
      <c r="F82" s="55" t="s">
        <v>194</v>
      </c>
      <c r="G82" s="55" t="s">
        <v>895</v>
      </c>
      <c r="H82" s="55" t="s">
        <v>1090</v>
      </c>
      <c r="I82" s="139" t="s">
        <v>51</v>
      </c>
      <c r="J82" s="159" t="s">
        <v>1091</v>
      </c>
      <c r="K82" s="55">
        <v>20038918</v>
      </c>
      <c r="L82" s="55" t="s">
        <v>198</v>
      </c>
      <c r="M82" s="141" t="str">
        <f t="shared" si="4"/>
        <v>EH2-INT_D</v>
      </c>
      <c r="N82" s="142" t="str">
        <f>LOOKUP(M82,'[2]Doc Set'!E:E,'[2]Doc Set'!F:F)</f>
        <v>_</v>
      </c>
      <c r="O82" s="141" t="s">
        <v>931</v>
      </c>
      <c r="P82" s="142">
        <f>+LOOKUP(O82,'[2]Doc Set'!E:E,'[2]Doc Set'!G:G)</f>
        <v>43500</v>
      </c>
      <c r="Q82" s="55" t="str">
        <f t="shared" si="2"/>
        <v>EH2-INT_D</v>
      </c>
      <c r="R82" s="142">
        <f>+LOOKUP(Q82,'[2]Doc Set'!E:E,'[2]Doc Set'!H:H)</f>
        <v>43528</v>
      </c>
      <c r="S82" s="143" t="s">
        <v>200</v>
      </c>
    </row>
    <row r="83" spans="1:19" x14ac:dyDescent="0.3">
      <c r="A83" s="55" t="s">
        <v>40</v>
      </c>
      <c r="B83" s="55" t="s">
        <v>190</v>
      </c>
      <c r="C83" s="55" t="s">
        <v>191</v>
      </c>
      <c r="D83" s="162" t="s">
        <v>65</v>
      </c>
      <c r="E83" s="55" t="s">
        <v>193</v>
      </c>
      <c r="F83" s="55" t="s">
        <v>194</v>
      </c>
      <c r="G83" s="55" t="s">
        <v>385</v>
      </c>
      <c r="H83" s="55" t="s">
        <v>1092</v>
      </c>
      <c r="I83" s="139" t="s">
        <v>51</v>
      </c>
      <c r="J83" s="159" t="s">
        <v>1093</v>
      </c>
      <c r="K83" s="55">
        <v>20038918</v>
      </c>
      <c r="L83" s="55" t="s">
        <v>198</v>
      </c>
      <c r="M83" s="141" t="str">
        <f t="shared" si="4"/>
        <v>EH2-INT_D</v>
      </c>
      <c r="N83" s="142" t="str">
        <f>LOOKUP(M83,'[2]Doc Set'!E:E,'[2]Doc Set'!F:F)</f>
        <v>_</v>
      </c>
      <c r="O83" s="141" t="s">
        <v>931</v>
      </c>
      <c r="P83" s="142">
        <f>+LOOKUP(O83,'[2]Doc Set'!E:E,'[2]Doc Set'!G:G)</f>
        <v>43500</v>
      </c>
      <c r="Q83" s="55" t="str">
        <f t="shared" si="2"/>
        <v>EH2-INT_D</v>
      </c>
      <c r="R83" s="142">
        <f>+LOOKUP(Q83,'[2]Doc Set'!E:E,'[2]Doc Set'!H:H)</f>
        <v>43528</v>
      </c>
      <c r="S83" s="143" t="s">
        <v>200</v>
      </c>
    </row>
    <row r="84" spans="1:19" x14ac:dyDescent="0.3">
      <c r="A84" s="55" t="s">
        <v>40</v>
      </c>
      <c r="B84" s="55" t="s">
        <v>190</v>
      </c>
      <c r="C84" s="55" t="s">
        <v>191</v>
      </c>
      <c r="D84" s="162" t="s">
        <v>65</v>
      </c>
      <c r="E84" s="55" t="s">
        <v>193</v>
      </c>
      <c r="F84" s="55" t="s">
        <v>194</v>
      </c>
      <c r="G84" s="55" t="s">
        <v>900</v>
      </c>
      <c r="H84" s="55" t="s">
        <v>1094</v>
      </c>
      <c r="I84" s="139" t="s">
        <v>51</v>
      </c>
      <c r="J84" s="159" t="s">
        <v>1095</v>
      </c>
      <c r="K84" s="55">
        <v>20038918</v>
      </c>
      <c r="L84" s="55" t="s">
        <v>198</v>
      </c>
      <c r="M84" s="141" t="str">
        <f t="shared" si="4"/>
        <v>EH2-INT_D</v>
      </c>
      <c r="N84" s="142" t="str">
        <f>LOOKUP(M84,'[2]Doc Set'!E:E,'[2]Doc Set'!F:F)</f>
        <v>_</v>
      </c>
      <c r="O84" s="141" t="s">
        <v>931</v>
      </c>
      <c r="P84" s="142">
        <f>+LOOKUP(O84,'[2]Doc Set'!E:E,'[2]Doc Set'!G:G)</f>
        <v>43500</v>
      </c>
      <c r="Q84" s="55" t="str">
        <f t="shared" si="2"/>
        <v>EH2-INT_D</v>
      </c>
      <c r="R84" s="142">
        <f>+LOOKUP(Q84,'[2]Doc Set'!E:E,'[2]Doc Set'!H:H)</f>
        <v>43528</v>
      </c>
      <c r="S84" s="143" t="s">
        <v>200</v>
      </c>
    </row>
    <row r="85" spans="1:19" x14ac:dyDescent="0.3">
      <c r="A85" s="55" t="s">
        <v>40</v>
      </c>
      <c r="B85" s="55" t="s">
        <v>190</v>
      </c>
      <c r="C85" s="55" t="s">
        <v>191</v>
      </c>
      <c r="D85" s="162" t="s">
        <v>65</v>
      </c>
      <c r="E85" s="55" t="s">
        <v>193</v>
      </c>
      <c r="F85" s="55" t="s">
        <v>194</v>
      </c>
      <c r="G85" s="55" t="s">
        <v>903</v>
      </c>
      <c r="H85" s="55" t="s">
        <v>1096</v>
      </c>
      <c r="I85" s="139" t="s">
        <v>51</v>
      </c>
      <c r="J85" s="159" t="s">
        <v>1097</v>
      </c>
      <c r="K85" s="55">
        <v>20038918</v>
      </c>
      <c r="L85" s="55" t="s">
        <v>198</v>
      </c>
      <c r="M85" s="141" t="str">
        <f t="shared" si="4"/>
        <v>EH2-INT_D</v>
      </c>
      <c r="N85" s="142" t="str">
        <f>LOOKUP(M85,'[2]Doc Set'!E:E,'[2]Doc Set'!F:F)</f>
        <v>_</v>
      </c>
      <c r="O85" s="141" t="s">
        <v>931</v>
      </c>
      <c r="P85" s="142">
        <f>+LOOKUP(O85,'[2]Doc Set'!E:E,'[2]Doc Set'!G:G)</f>
        <v>43500</v>
      </c>
      <c r="Q85" s="55" t="str">
        <f t="shared" si="2"/>
        <v>EH2-INT_D</v>
      </c>
      <c r="R85" s="142">
        <f>+LOOKUP(Q85,'[2]Doc Set'!E:E,'[2]Doc Set'!H:H)</f>
        <v>43528</v>
      </c>
      <c r="S85" s="143" t="s">
        <v>200</v>
      </c>
    </row>
    <row r="86" spans="1:19" x14ac:dyDescent="0.3">
      <c r="A86" s="55" t="s">
        <v>40</v>
      </c>
      <c r="B86" s="55" t="s">
        <v>190</v>
      </c>
      <c r="C86" s="55" t="s">
        <v>191</v>
      </c>
      <c r="D86" s="162" t="s">
        <v>65</v>
      </c>
      <c r="E86" s="55" t="s">
        <v>193</v>
      </c>
      <c r="F86" s="55" t="s">
        <v>194</v>
      </c>
      <c r="G86" s="55" t="s">
        <v>406</v>
      </c>
      <c r="H86" s="55" t="s">
        <v>1098</v>
      </c>
      <c r="I86" s="139" t="s">
        <v>51</v>
      </c>
      <c r="J86" s="159" t="s">
        <v>1099</v>
      </c>
      <c r="K86" s="55">
        <v>20038918</v>
      </c>
      <c r="L86" s="55" t="s">
        <v>198</v>
      </c>
      <c r="M86" s="141" t="str">
        <f t="shared" si="4"/>
        <v>EH2-INT_D</v>
      </c>
      <c r="N86" s="142" t="str">
        <f>LOOKUP(M86,'[2]Doc Set'!E:E,'[2]Doc Set'!F:F)</f>
        <v>_</v>
      </c>
      <c r="O86" s="141" t="s">
        <v>931</v>
      </c>
      <c r="P86" s="142">
        <f>+LOOKUP(O86,'[2]Doc Set'!E:E,'[2]Doc Set'!G:G)</f>
        <v>43500</v>
      </c>
      <c r="Q86" s="55" t="str">
        <f t="shared" si="2"/>
        <v>EH2-INT_D</v>
      </c>
      <c r="R86" s="142">
        <f>+LOOKUP(Q86,'[2]Doc Set'!E:E,'[2]Doc Set'!H:H)</f>
        <v>43528</v>
      </c>
      <c r="S86" s="143" t="s">
        <v>200</v>
      </c>
    </row>
    <row r="87" spans="1:19" x14ac:dyDescent="0.3">
      <c r="A87" s="55" t="s">
        <v>40</v>
      </c>
      <c r="B87" s="55" t="s">
        <v>190</v>
      </c>
      <c r="C87" s="55" t="s">
        <v>191</v>
      </c>
      <c r="D87" s="162" t="s">
        <v>65</v>
      </c>
      <c r="E87" s="55" t="s">
        <v>193</v>
      </c>
      <c r="F87" s="55" t="s">
        <v>194</v>
      </c>
      <c r="G87" s="55" t="s">
        <v>908</v>
      </c>
      <c r="H87" s="55" t="s">
        <v>1100</v>
      </c>
      <c r="I87" s="139" t="s">
        <v>51</v>
      </c>
      <c r="J87" s="159" t="s">
        <v>1101</v>
      </c>
      <c r="K87" s="55">
        <v>20038918</v>
      </c>
      <c r="L87" s="55" t="s">
        <v>198</v>
      </c>
      <c r="M87" s="141" t="str">
        <f t="shared" si="4"/>
        <v>EH2-INT_D</v>
      </c>
      <c r="N87" s="142" t="str">
        <f>LOOKUP(M87,'[2]Doc Set'!E:E,'[2]Doc Set'!F:F)</f>
        <v>_</v>
      </c>
      <c r="O87" s="141" t="s">
        <v>931</v>
      </c>
      <c r="P87" s="142">
        <f>+LOOKUP(O87,'[2]Doc Set'!E:E,'[2]Doc Set'!G:G)</f>
        <v>43500</v>
      </c>
      <c r="Q87" s="55" t="str">
        <f t="shared" si="2"/>
        <v>EH2-INT_D</v>
      </c>
      <c r="R87" s="142">
        <f>+LOOKUP(Q87,'[2]Doc Set'!E:E,'[2]Doc Set'!H:H)</f>
        <v>43528</v>
      </c>
      <c r="S87" s="143" t="s">
        <v>200</v>
      </c>
    </row>
    <row r="88" spans="1:19" x14ac:dyDescent="0.3">
      <c r="A88" s="55" t="s">
        <v>40</v>
      </c>
      <c r="B88" s="55" t="s">
        <v>190</v>
      </c>
      <c r="C88" s="55" t="s">
        <v>191</v>
      </c>
      <c r="D88" s="162" t="s">
        <v>65</v>
      </c>
      <c r="E88" s="55" t="s">
        <v>193</v>
      </c>
      <c r="F88" s="55" t="s">
        <v>194</v>
      </c>
      <c r="G88" s="55" t="s">
        <v>911</v>
      </c>
      <c r="H88" s="55" t="s">
        <v>1102</v>
      </c>
      <c r="I88" s="139" t="s">
        <v>51</v>
      </c>
      <c r="J88" s="159" t="s">
        <v>1103</v>
      </c>
      <c r="K88" s="55">
        <v>20038918</v>
      </c>
      <c r="L88" s="55" t="s">
        <v>198</v>
      </c>
      <c r="M88" s="141" t="str">
        <f t="shared" si="4"/>
        <v>EH2-INT_D</v>
      </c>
      <c r="N88" s="142" t="str">
        <f>LOOKUP(M88,'[2]Doc Set'!E:E,'[2]Doc Set'!F:F)</f>
        <v>_</v>
      </c>
      <c r="O88" s="141" t="s">
        <v>931</v>
      </c>
      <c r="P88" s="142">
        <f>+LOOKUP(O88,'[2]Doc Set'!E:E,'[2]Doc Set'!G:G)</f>
        <v>43500</v>
      </c>
      <c r="Q88" s="55" t="str">
        <f t="shared" si="2"/>
        <v>EH2-INT_D</v>
      </c>
      <c r="R88" s="142">
        <f>+LOOKUP(Q88,'[2]Doc Set'!E:E,'[2]Doc Set'!H:H)</f>
        <v>43528</v>
      </c>
      <c r="S88" s="143" t="s">
        <v>200</v>
      </c>
    </row>
    <row r="89" spans="1:19" x14ac:dyDescent="0.3">
      <c r="A89" s="55" t="s">
        <v>40</v>
      </c>
      <c r="B89" s="55" t="s">
        <v>190</v>
      </c>
      <c r="C89" s="55" t="s">
        <v>191</v>
      </c>
      <c r="D89" s="162" t="s">
        <v>65</v>
      </c>
      <c r="E89" s="55" t="s">
        <v>193</v>
      </c>
      <c r="F89" s="55" t="s">
        <v>194</v>
      </c>
      <c r="G89" s="55" t="s">
        <v>506</v>
      </c>
      <c r="H89" s="55" t="s">
        <v>1104</v>
      </c>
      <c r="I89" s="139" t="s">
        <v>51</v>
      </c>
      <c r="J89" s="159" t="s">
        <v>1105</v>
      </c>
      <c r="K89" s="55">
        <v>20038918</v>
      </c>
      <c r="L89" s="55" t="s">
        <v>198</v>
      </c>
      <c r="M89" s="141" t="str">
        <f t="shared" si="4"/>
        <v>EH2-INT_D</v>
      </c>
      <c r="N89" s="142" t="str">
        <f>LOOKUP(M89,'[2]Doc Set'!E:E,'[2]Doc Set'!F:F)</f>
        <v>_</v>
      </c>
      <c r="O89" s="141" t="s">
        <v>931</v>
      </c>
      <c r="P89" s="142">
        <f>+LOOKUP(O89,'[2]Doc Set'!E:E,'[2]Doc Set'!G:G)</f>
        <v>43500</v>
      </c>
      <c r="Q89" s="55" t="str">
        <f t="shared" si="2"/>
        <v>EH2-INT_D</v>
      </c>
      <c r="R89" s="142">
        <f>+LOOKUP(Q89,'[2]Doc Set'!E:E,'[2]Doc Set'!H:H)</f>
        <v>43528</v>
      </c>
      <c r="S89" s="143" t="s">
        <v>200</v>
      </c>
    </row>
    <row r="90" spans="1:19" x14ac:dyDescent="0.3">
      <c r="A90" s="55" t="s">
        <v>40</v>
      </c>
      <c r="B90" s="55" t="s">
        <v>190</v>
      </c>
      <c r="C90" s="55" t="s">
        <v>191</v>
      </c>
      <c r="D90" s="162" t="s">
        <v>65</v>
      </c>
      <c r="E90" s="55" t="s">
        <v>193</v>
      </c>
      <c r="F90" s="55" t="s">
        <v>194</v>
      </c>
      <c r="G90" s="55" t="s">
        <v>509</v>
      </c>
      <c r="H90" s="55" t="s">
        <v>1106</v>
      </c>
      <c r="I90" s="139" t="s">
        <v>51</v>
      </c>
      <c r="J90" s="159" t="s">
        <v>1107</v>
      </c>
      <c r="K90" s="55">
        <v>20038918</v>
      </c>
      <c r="L90" s="55" t="s">
        <v>198</v>
      </c>
      <c r="M90" s="141" t="str">
        <f t="shared" si="4"/>
        <v>EH2-INT_D</v>
      </c>
      <c r="N90" s="142" t="str">
        <f>LOOKUP(M90,'[2]Doc Set'!E:E,'[2]Doc Set'!F:F)</f>
        <v>_</v>
      </c>
      <c r="O90" s="141" t="s">
        <v>931</v>
      </c>
      <c r="P90" s="142">
        <f>+LOOKUP(O90,'[2]Doc Set'!E:E,'[2]Doc Set'!G:G)</f>
        <v>43500</v>
      </c>
      <c r="Q90" s="55" t="str">
        <f t="shared" si="2"/>
        <v>EH2-INT_D</v>
      </c>
      <c r="R90" s="142">
        <f>+LOOKUP(Q90,'[2]Doc Set'!E:E,'[2]Doc Set'!H:H)</f>
        <v>43528</v>
      </c>
      <c r="S90" s="143" t="s">
        <v>200</v>
      </c>
    </row>
    <row r="91" spans="1:19" x14ac:dyDescent="0.3">
      <c r="A91" s="55" t="s">
        <v>40</v>
      </c>
      <c r="B91" s="55" t="s">
        <v>190</v>
      </c>
      <c r="C91" s="55" t="s">
        <v>191</v>
      </c>
      <c r="D91" s="162" t="s">
        <v>65</v>
      </c>
      <c r="E91" s="55" t="s">
        <v>193</v>
      </c>
      <c r="F91" s="55" t="s">
        <v>194</v>
      </c>
      <c r="G91" s="55" t="s">
        <v>512</v>
      </c>
      <c r="H91" s="55" t="s">
        <v>1108</v>
      </c>
      <c r="I91" s="139" t="s">
        <v>51</v>
      </c>
      <c r="J91" s="159" t="s">
        <v>1109</v>
      </c>
      <c r="K91" s="55">
        <v>20038918</v>
      </c>
      <c r="L91" s="55" t="s">
        <v>198</v>
      </c>
      <c r="M91" s="141" t="str">
        <f t="shared" si="4"/>
        <v>EH2-INT_D</v>
      </c>
      <c r="N91" s="142" t="str">
        <f>LOOKUP(M91,'[2]Doc Set'!E:E,'[2]Doc Set'!F:F)</f>
        <v>_</v>
      </c>
      <c r="O91" s="141" t="s">
        <v>931</v>
      </c>
      <c r="P91" s="142">
        <f>+LOOKUP(O91,'[2]Doc Set'!E:E,'[2]Doc Set'!G:G)</f>
        <v>43500</v>
      </c>
      <c r="Q91" s="55" t="str">
        <f t="shared" si="2"/>
        <v>EH2-INT_D</v>
      </c>
      <c r="R91" s="142">
        <f>+LOOKUP(Q91,'[2]Doc Set'!E:E,'[2]Doc Set'!H:H)</f>
        <v>43528</v>
      </c>
      <c r="S91" s="143" t="s">
        <v>200</v>
      </c>
    </row>
    <row r="92" spans="1:19" x14ac:dyDescent="0.3">
      <c r="A92" s="55" t="s">
        <v>40</v>
      </c>
      <c r="B92" s="55" t="s">
        <v>190</v>
      </c>
      <c r="C92" s="55" t="s">
        <v>191</v>
      </c>
      <c r="D92" s="162" t="s">
        <v>65</v>
      </c>
      <c r="E92" s="55" t="s">
        <v>193</v>
      </c>
      <c r="F92" s="55" t="s">
        <v>663</v>
      </c>
      <c r="G92" s="55" t="s">
        <v>685</v>
      </c>
      <c r="H92" s="55" t="s">
        <v>1110</v>
      </c>
      <c r="I92" s="139" t="s">
        <v>134</v>
      </c>
      <c r="J92" s="159" t="s">
        <v>921</v>
      </c>
      <c r="K92" s="55">
        <v>20038918</v>
      </c>
      <c r="L92" s="55" t="s">
        <v>198</v>
      </c>
      <c r="M92" s="141" t="str">
        <f t="shared" si="4"/>
        <v>EH2-INT_D</v>
      </c>
      <c r="N92" s="142" t="str">
        <f>LOOKUP(M92,'[2]Doc Set'!E:E,'[2]Doc Set'!F:F)</f>
        <v>_</v>
      </c>
      <c r="O92" s="141" t="s">
        <v>931</v>
      </c>
      <c r="P92" s="142">
        <f>+LOOKUP(O92,'[2]Doc Set'!E:E,'[2]Doc Set'!G:G)</f>
        <v>43500</v>
      </c>
      <c r="Q92" s="55" t="str">
        <f t="shared" si="2"/>
        <v>EH2-INT_D</v>
      </c>
      <c r="R92" s="142">
        <f>+LOOKUP(Q92,'[2]Doc Set'!E:E,'[2]Doc Set'!H:H)</f>
        <v>43528</v>
      </c>
      <c r="S92" s="143" t="s">
        <v>200</v>
      </c>
    </row>
    <row r="93" spans="1:19" x14ac:dyDescent="0.3">
      <c r="A93" s="55" t="s">
        <v>40</v>
      </c>
      <c r="B93" s="55" t="s">
        <v>190</v>
      </c>
      <c r="C93" s="55" t="s">
        <v>191</v>
      </c>
      <c r="D93" s="162" t="s">
        <v>65</v>
      </c>
      <c r="E93" s="55" t="s">
        <v>193</v>
      </c>
      <c r="F93" s="55" t="s">
        <v>663</v>
      </c>
      <c r="G93" s="55" t="s">
        <v>688</v>
      </c>
      <c r="H93" s="55" t="s">
        <v>1111</v>
      </c>
      <c r="I93" s="139" t="s">
        <v>134</v>
      </c>
      <c r="J93" s="159" t="s">
        <v>923</v>
      </c>
      <c r="K93" s="55">
        <v>20038918</v>
      </c>
      <c r="L93" s="55" t="s">
        <v>198</v>
      </c>
      <c r="M93" s="141" t="str">
        <f t="shared" si="4"/>
        <v>EH2-INT_D</v>
      </c>
      <c r="N93" s="142" t="str">
        <f>LOOKUP(M93,'[2]Doc Set'!E:E,'[2]Doc Set'!F:F)</f>
        <v>_</v>
      </c>
      <c r="O93" s="141" t="s">
        <v>931</v>
      </c>
      <c r="P93" s="142">
        <f>+LOOKUP(O93,'[2]Doc Set'!E:E,'[2]Doc Set'!G:G)</f>
        <v>43500</v>
      </c>
      <c r="Q93" s="55" t="str">
        <f t="shared" si="2"/>
        <v>EH2-INT_D</v>
      </c>
      <c r="R93" s="142">
        <f>+LOOKUP(Q93,'[2]Doc Set'!E:E,'[2]Doc Set'!H:H)</f>
        <v>43528</v>
      </c>
      <c r="S93" s="143" t="s">
        <v>200</v>
      </c>
    </row>
    <row r="94" spans="1:19" x14ac:dyDescent="0.3">
      <c r="A94" s="55" t="s">
        <v>40</v>
      </c>
      <c r="B94" s="55" t="s">
        <v>190</v>
      </c>
      <c r="C94" s="55" t="s">
        <v>191</v>
      </c>
      <c r="D94" s="162" t="s">
        <v>65</v>
      </c>
      <c r="E94" s="55" t="s">
        <v>193</v>
      </c>
      <c r="F94" s="55" t="s">
        <v>663</v>
      </c>
      <c r="G94" s="55" t="s">
        <v>691</v>
      </c>
      <c r="H94" s="55" t="s">
        <v>1112</v>
      </c>
      <c r="I94" s="139" t="s">
        <v>134</v>
      </c>
      <c r="J94" s="159" t="s">
        <v>925</v>
      </c>
      <c r="K94" s="55">
        <v>20038918</v>
      </c>
      <c r="L94" s="55" t="s">
        <v>198</v>
      </c>
      <c r="M94" s="141" t="str">
        <f t="shared" si="4"/>
        <v>EH2-INT_D</v>
      </c>
      <c r="N94" s="142" t="str">
        <f>LOOKUP(M94,'[2]Doc Set'!E:E,'[2]Doc Set'!F:F)</f>
        <v>_</v>
      </c>
      <c r="O94" s="141" t="s">
        <v>931</v>
      </c>
      <c r="P94" s="142">
        <f>+LOOKUP(O94,'[2]Doc Set'!E:E,'[2]Doc Set'!G:G)</f>
        <v>43500</v>
      </c>
      <c r="Q94" s="55" t="str">
        <f t="shared" si="2"/>
        <v>EH2-INT_D</v>
      </c>
      <c r="R94" s="142">
        <f>+LOOKUP(Q94,'[2]Doc Set'!E:E,'[2]Doc Set'!H:H)</f>
        <v>43528</v>
      </c>
      <c r="S94" s="143" t="s">
        <v>200</v>
      </c>
    </row>
    <row r="95" spans="1:19" x14ac:dyDescent="0.3">
      <c r="A95" s="55" t="s">
        <v>40</v>
      </c>
      <c r="B95" s="55" t="s">
        <v>190</v>
      </c>
      <c r="C95" s="55" t="s">
        <v>191</v>
      </c>
      <c r="D95" s="162" t="s">
        <v>65</v>
      </c>
      <c r="E95" s="55" t="s">
        <v>193</v>
      </c>
      <c r="F95" s="55" t="s">
        <v>663</v>
      </c>
      <c r="G95" s="55" t="s">
        <v>926</v>
      </c>
      <c r="H95" s="55" t="s">
        <v>1113</v>
      </c>
      <c r="I95" s="139" t="s">
        <v>134</v>
      </c>
      <c r="J95" s="159" t="s">
        <v>928</v>
      </c>
      <c r="K95" s="55">
        <v>20038918</v>
      </c>
      <c r="L95" s="55" t="s">
        <v>198</v>
      </c>
      <c r="M95" s="141" t="str">
        <f t="shared" si="4"/>
        <v>EH2-INT_D</v>
      </c>
      <c r="N95" s="142" t="str">
        <f>LOOKUP(M95,'[2]Doc Set'!E:E,'[2]Doc Set'!F:F)</f>
        <v>_</v>
      </c>
      <c r="O95" s="141" t="s">
        <v>931</v>
      </c>
      <c r="P95" s="142">
        <f>+LOOKUP(O95,'[2]Doc Set'!E:E,'[2]Doc Set'!G:G)</f>
        <v>43500</v>
      </c>
      <c r="Q95" s="55" t="str">
        <f t="shared" si="2"/>
        <v>EH2-INT_D</v>
      </c>
      <c r="R95" s="142">
        <f>+LOOKUP(Q95,'[2]Doc Set'!E:E,'[2]Doc Set'!H:H)</f>
        <v>43528</v>
      </c>
      <c r="S95" s="143" t="s">
        <v>200</v>
      </c>
    </row>
  </sheetData>
  <autoFilter ref="A1:S95"/>
  <conditionalFormatting sqref="G1:G95">
    <cfRule type="duplicateValues" dxfId="110" priority="3"/>
  </conditionalFormatting>
  <conditionalFormatting sqref="G1:G1048576">
    <cfRule type="duplicateValues" dxfId="109" priority="2"/>
  </conditionalFormatting>
  <conditionalFormatting sqref="H1:H1048576">
    <cfRule type="duplicateValues" dxfId="108" priority="1"/>
  </conditionalFormatting>
  <dataValidations count="1">
    <dataValidation type="list" allowBlank="1" showInputMessage="1" showErrorMessage="1" sqref="O2:O95 M2:M95">
      <formula1>Document_Set_Name</formula1>
    </dataValidation>
  </dataValidations>
  <pageMargins left="0.7" right="0.7" top="0.75" bottom="0.75" header="0.3" footer="0.3"/>
  <pageSetup orientation="portrait" r:id="rId1"/>
  <headerFooter>
    <oddFooter>&amp;L&amp;1#&amp;"Calibri"&amp;8 Sensitivity: LNT Construction Internal Use</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S98"/>
  <sheetViews>
    <sheetView topLeftCell="G73" zoomScale="85" zoomScaleNormal="85" workbookViewId="0">
      <selection activeCell="H86" sqref="H86:H98"/>
    </sheetView>
  </sheetViews>
  <sheetFormatPr defaultRowHeight="14.4" x14ac:dyDescent="0.3"/>
  <cols>
    <col min="1" max="1" width="11.44140625" hidden="1" customWidth="1"/>
    <col min="2" max="2" width="0" hidden="1" customWidth="1"/>
    <col min="3" max="3" width="11.109375" hidden="1" customWidth="1"/>
    <col min="4" max="4" width="11.33203125" style="155" hidden="1" customWidth="1"/>
    <col min="5" max="5" width="10.5546875" hidden="1" customWidth="1"/>
    <col min="6" max="6" width="8.5546875" hidden="1" customWidth="1"/>
    <col min="8" max="8" width="25.33203125" customWidth="1"/>
    <col min="10" max="10" width="56.5546875" bestFit="1" customWidth="1"/>
    <col min="11" max="11" width="13.88671875" customWidth="1"/>
    <col min="12" max="12" width="19" customWidth="1"/>
    <col min="13" max="13" width="12.33203125" bestFit="1" customWidth="1"/>
    <col min="14" max="14" width="12.5546875" bestFit="1" customWidth="1"/>
    <col min="15" max="15" width="10.5546875" customWidth="1"/>
    <col min="16" max="16" width="13.5546875" bestFit="1" customWidth="1"/>
    <col min="17" max="17" width="10.5546875" customWidth="1"/>
    <col min="18" max="18" width="9.6640625" bestFit="1" customWidth="1"/>
    <col min="19" max="19" width="14.5546875" customWidth="1"/>
  </cols>
  <sheetData>
    <row r="1" spans="1:19" s="136" customFormat="1" x14ac:dyDescent="0.3">
      <c r="A1" s="136" t="s">
        <v>174</v>
      </c>
      <c r="B1" s="136" t="s">
        <v>175</v>
      </c>
      <c r="C1" s="136" t="s">
        <v>176</v>
      </c>
      <c r="D1" s="137" t="s">
        <v>177</v>
      </c>
      <c r="E1" s="136" t="s">
        <v>178</v>
      </c>
      <c r="F1" s="136" t="s">
        <v>179</v>
      </c>
      <c r="G1" s="136" t="s">
        <v>180</v>
      </c>
      <c r="H1" s="136" t="s">
        <v>181</v>
      </c>
      <c r="I1" s="136" t="s">
        <v>182</v>
      </c>
      <c r="J1" s="136" t="s">
        <v>183</v>
      </c>
      <c r="K1" s="136" t="s">
        <v>184</v>
      </c>
      <c r="L1" s="136" t="s">
        <v>185</v>
      </c>
      <c r="M1" s="136" t="s">
        <v>34</v>
      </c>
      <c r="N1" s="136" t="s">
        <v>186</v>
      </c>
      <c r="O1" s="136" t="s">
        <v>67</v>
      </c>
      <c r="P1" s="136" t="s">
        <v>187</v>
      </c>
      <c r="Q1" s="136" t="s">
        <v>133</v>
      </c>
      <c r="R1" s="136" t="s">
        <v>188</v>
      </c>
      <c r="S1" s="136" t="s">
        <v>189</v>
      </c>
    </row>
    <row r="2" spans="1:19" x14ac:dyDescent="0.3">
      <c r="A2" s="156" t="s">
        <v>40</v>
      </c>
      <c r="B2" s="157" t="s">
        <v>190</v>
      </c>
      <c r="C2" s="157" t="s">
        <v>191</v>
      </c>
      <c r="D2" s="158" t="s">
        <v>64</v>
      </c>
      <c r="E2" s="55" t="s">
        <v>193</v>
      </c>
      <c r="F2" s="55" t="s">
        <v>194</v>
      </c>
      <c r="G2" s="55" t="s">
        <v>346</v>
      </c>
      <c r="H2" s="55" t="s">
        <v>712</v>
      </c>
      <c r="I2" s="139" t="s">
        <v>51</v>
      </c>
      <c r="J2" s="159" t="s">
        <v>713</v>
      </c>
      <c r="K2" s="55">
        <v>20038918</v>
      </c>
      <c r="L2" s="55" t="s">
        <v>198</v>
      </c>
      <c r="M2" s="141" t="str">
        <f>+O2</f>
        <v>EH1-INT_D</v>
      </c>
      <c r="N2" s="142" t="str">
        <f>LOOKUP(M2,'[2]Doc Set'!E:E,'[2]Doc Set'!F:F)</f>
        <v>_</v>
      </c>
      <c r="O2" s="141" t="s">
        <v>714</v>
      </c>
      <c r="P2" s="142">
        <f>+LOOKUP(O2,'[2]Doc Set'!E:E,'[2]Doc Set'!G:G)</f>
        <v>43493</v>
      </c>
      <c r="Q2" s="55" t="str">
        <f>+O2</f>
        <v>EH1-INT_D</v>
      </c>
      <c r="R2" s="142">
        <f>+LOOKUP(Q2,'[2]Doc Set'!E:E,'[2]Doc Set'!H:H)</f>
        <v>43521</v>
      </c>
      <c r="S2" s="143" t="s">
        <v>200</v>
      </c>
    </row>
    <row r="3" spans="1:19" x14ac:dyDescent="0.3">
      <c r="A3" s="156" t="s">
        <v>40</v>
      </c>
      <c r="B3" s="157" t="s">
        <v>190</v>
      </c>
      <c r="C3" s="157" t="s">
        <v>191</v>
      </c>
      <c r="D3" s="158" t="s">
        <v>64</v>
      </c>
      <c r="E3" s="55" t="s">
        <v>193</v>
      </c>
      <c r="F3" s="55" t="s">
        <v>194</v>
      </c>
      <c r="G3" s="55" t="s">
        <v>349</v>
      </c>
      <c r="H3" s="55" t="s">
        <v>715</v>
      </c>
      <c r="I3" s="139" t="s">
        <v>51</v>
      </c>
      <c r="J3" s="159" t="s">
        <v>716</v>
      </c>
      <c r="K3" s="55">
        <v>20038918</v>
      </c>
      <c r="L3" s="55" t="s">
        <v>198</v>
      </c>
      <c r="M3" s="141" t="str">
        <f>+O3</f>
        <v>EH1-INT_D</v>
      </c>
      <c r="N3" s="142" t="str">
        <f>LOOKUP(M3,'[2]Doc Set'!E:E,'[2]Doc Set'!F:F)</f>
        <v>_</v>
      </c>
      <c r="O3" s="141" t="s">
        <v>714</v>
      </c>
      <c r="P3" s="142">
        <f>+LOOKUP(O3,'[2]Doc Set'!E:E,'[2]Doc Set'!G:G)</f>
        <v>43493</v>
      </c>
      <c r="Q3" s="55" t="str">
        <f t="shared" ref="Q3:Q66" si="0">+O3</f>
        <v>EH1-INT_D</v>
      </c>
      <c r="R3" s="142">
        <f>+LOOKUP(Q3,'[2]Doc Set'!E:E,'[2]Doc Set'!H:H)</f>
        <v>43521</v>
      </c>
      <c r="S3" s="143" t="s">
        <v>200</v>
      </c>
    </row>
    <row r="4" spans="1:19" x14ac:dyDescent="0.3">
      <c r="A4" s="156" t="s">
        <v>40</v>
      </c>
      <c r="B4" s="157" t="s">
        <v>190</v>
      </c>
      <c r="C4" s="157" t="s">
        <v>191</v>
      </c>
      <c r="D4" s="158" t="s">
        <v>64</v>
      </c>
      <c r="E4" s="55" t="s">
        <v>193</v>
      </c>
      <c r="F4" s="55" t="s">
        <v>194</v>
      </c>
      <c r="G4" s="55" t="s">
        <v>352</v>
      </c>
      <c r="H4" s="55" t="s">
        <v>717</v>
      </c>
      <c r="I4" s="139" t="s">
        <v>51</v>
      </c>
      <c r="J4" s="159" t="s">
        <v>718</v>
      </c>
      <c r="K4" s="55">
        <v>20038918</v>
      </c>
      <c r="L4" s="55" t="s">
        <v>198</v>
      </c>
      <c r="M4" s="141" t="str">
        <f>+O4</f>
        <v>EH1-INT_D</v>
      </c>
      <c r="N4" s="142" t="str">
        <f>LOOKUP(M4,'[2]Doc Set'!E:E,'[2]Doc Set'!F:F)</f>
        <v>_</v>
      </c>
      <c r="O4" s="141" t="s">
        <v>714</v>
      </c>
      <c r="P4" s="142">
        <f>+LOOKUP(O4,'[2]Doc Set'!E:E,'[2]Doc Set'!G:G)</f>
        <v>43493</v>
      </c>
      <c r="Q4" s="55" t="str">
        <f t="shared" si="0"/>
        <v>EH1-INT_D</v>
      </c>
      <c r="R4" s="142">
        <f>+LOOKUP(Q4,'[2]Doc Set'!E:E,'[2]Doc Set'!H:H)</f>
        <v>43521</v>
      </c>
      <c r="S4" s="143" t="s">
        <v>200</v>
      </c>
    </row>
    <row r="5" spans="1:19" x14ac:dyDescent="0.3">
      <c r="A5" s="156" t="s">
        <v>40</v>
      </c>
      <c r="B5" s="157" t="s">
        <v>190</v>
      </c>
      <c r="C5" s="157" t="s">
        <v>191</v>
      </c>
      <c r="D5" s="158" t="s">
        <v>64</v>
      </c>
      <c r="E5" s="55" t="s">
        <v>193</v>
      </c>
      <c r="F5" s="55" t="s">
        <v>194</v>
      </c>
      <c r="G5" s="55" t="s">
        <v>355</v>
      </c>
      <c r="H5" s="55" t="s">
        <v>719</v>
      </c>
      <c r="I5" s="139" t="s">
        <v>51</v>
      </c>
      <c r="J5" s="159" t="s">
        <v>720</v>
      </c>
      <c r="K5" s="55">
        <v>20038918</v>
      </c>
      <c r="L5" s="55" t="s">
        <v>198</v>
      </c>
      <c r="M5" s="141" t="str">
        <f>+O5</f>
        <v>EH1-INT_D</v>
      </c>
      <c r="N5" s="142" t="str">
        <f>LOOKUP(M5,'[2]Doc Set'!E:E,'[2]Doc Set'!F:F)</f>
        <v>_</v>
      </c>
      <c r="O5" s="141" t="s">
        <v>714</v>
      </c>
      <c r="P5" s="142">
        <f>+LOOKUP(O5,'[2]Doc Set'!E:E,'[2]Doc Set'!G:G)</f>
        <v>43493</v>
      </c>
      <c r="Q5" s="55" t="str">
        <f t="shared" si="0"/>
        <v>EH1-INT_D</v>
      </c>
      <c r="R5" s="142">
        <f>+LOOKUP(Q5,'[2]Doc Set'!E:E,'[2]Doc Set'!H:H)</f>
        <v>43521</v>
      </c>
      <c r="S5" s="143" t="s">
        <v>200</v>
      </c>
    </row>
    <row r="6" spans="1:19" x14ac:dyDescent="0.3">
      <c r="A6" s="156" t="s">
        <v>40</v>
      </c>
      <c r="B6" s="157" t="s">
        <v>190</v>
      </c>
      <c r="C6" s="157" t="s">
        <v>191</v>
      </c>
      <c r="D6" s="158" t="s">
        <v>64</v>
      </c>
      <c r="E6" s="55" t="s">
        <v>193</v>
      </c>
      <c r="F6" s="55" t="s">
        <v>194</v>
      </c>
      <c r="G6" s="55" t="s">
        <v>358</v>
      </c>
      <c r="H6" s="55" t="s">
        <v>721</v>
      </c>
      <c r="I6" s="139" t="s">
        <v>51</v>
      </c>
      <c r="J6" s="159" t="s">
        <v>722</v>
      </c>
      <c r="K6" s="55">
        <v>20038918</v>
      </c>
      <c r="L6" s="55" t="s">
        <v>198</v>
      </c>
      <c r="M6" s="141" t="str">
        <f t="shared" ref="M6:M67" si="1">+O6</f>
        <v>EH1-INT_D</v>
      </c>
      <c r="N6" s="142" t="str">
        <f>LOOKUP(M6,'[2]Doc Set'!E:E,'[2]Doc Set'!F:F)</f>
        <v>_</v>
      </c>
      <c r="O6" s="141" t="s">
        <v>714</v>
      </c>
      <c r="P6" s="142">
        <f>+LOOKUP(O6,'[2]Doc Set'!E:E,'[2]Doc Set'!G:G)</f>
        <v>43493</v>
      </c>
      <c r="Q6" s="55" t="str">
        <f t="shared" si="0"/>
        <v>EH1-INT_D</v>
      </c>
      <c r="R6" s="142">
        <f>+LOOKUP(Q6,'[2]Doc Set'!E:E,'[2]Doc Set'!H:H)</f>
        <v>43521</v>
      </c>
      <c r="S6" s="143" t="s">
        <v>200</v>
      </c>
    </row>
    <row r="7" spans="1:19" x14ac:dyDescent="0.3">
      <c r="A7" s="156" t="s">
        <v>40</v>
      </c>
      <c r="B7" s="157" t="s">
        <v>190</v>
      </c>
      <c r="C7" s="157" t="s">
        <v>191</v>
      </c>
      <c r="D7" s="158" t="s">
        <v>64</v>
      </c>
      <c r="E7" s="55" t="s">
        <v>193</v>
      </c>
      <c r="F7" s="55" t="s">
        <v>194</v>
      </c>
      <c r="G7" s="55" t="s">
        <v>361</v>
      </c>
      <c r="H7" s="55" t="s">
        <v>723</v>
      </c>
      <c r="I7" s="139" t="s">
        <v>51</v>
      </c>
      <c r="J7" s="159" t="s">
        <v>724</v>
      </c>
      <c r="K7" s="55">
        <v>20038918</v>
      </c>
      <c r="L7" s="55" t="s">
        <v>198</v>
      </c>
      <c r="M7" s="141" t="str">
        <f t="shared" si="1"/>
        <v>EH1-INT_D</v>
      </c>
      <c r="N7" s="142" t="str">
        <f>LOOKUP(M7,'[2]Doc Set'!E:E,'[2]Doc Set'!F:F)</f>
        <v>_</v>
      </c>
      <c r="O7" s="141" t="s">
        <v>714</v>
      </c>
      <c r="P7" s="142">
        <f>+LOOKUP(O7,'[2]Doc Set'!E:E,'[2]Doc Set'!G:G)</f>
        <v>43493</v>
      </c>
      <c r="Q7" s="55" t="str">
        <f t="shared" si="0"/>
        <v>EH1-INT_D</v>
      </c>
      <c r="R7" s="142">
        <f>+LOOKUP(Q7,'[2]Doc Set'!E:E,'[2]Doc Set'!H:H)</f>
        <v>43521</v>
      </c>
      <c r="S7" s="143" t="s">
        <v>200</v>
      </c>
    </row>
    <row r="8" spans="1:19" x14ac:dyDescent="0.3">
      <c r="A8" s="156" t="s">
        <v>40</v>
      </c>
      <c r="B8" s="157" t="s">
        <v>190</v>
      </c>
      <c r="C8" s="157" t="s">
        <v>191</v>
      </c>
      <c r="D8" s="158" t="s">
        <v>64</v>
      </c>
      <c r="E8" s="55" t="s">
        <v>193</v>
      </c>
      <c r="F8" s="55" t="s">
        <v>194</v>
      </c>
      <c r="G8" s="55" t="s">
        <v>240</v>
      </c>
      <c r="H8" s="55" t="s">
        <v>725</v>
      </c>
      <c r="I8" s="139" t="s">
        <v>51</v>
      </c>
      <c r="J8" s="159" t="s">
        <v>726</v>
      </c>
      <c r="K8" s="55">
        <v>20038918</v>
      </c>
      <c r="L8" s="55" t="s">
        <v>198</v>
      </c>
      <c r="M8" s="141" t="str">
        <f t="shared" si="1"/>
        <v>EH1-INT_D</v>
      </c>
      <c r="N8" s="142" t="str">
        <f>LOOKUP(M8,'[2]Doc Set'!E:E,'[2]Doc Set'!F:F)</f>
        <v>_</v>
      </c>
      <c r="O8" s="141" t="s">
        <v>714</v>
      </c>
      <c r="P8" s="142">
        <f>+LOOKUP(O8,'[2]Doc Set'!E:E,'[2]Doc Set'!G:G)</f>
        <v>43493</v>
      </c>
      <c r="Q8" s="55" t="str">
        <f t="shared" si="0"/>
        <v>EH1-INT_D</v>
      </c>
      <c r="R8" s="142">
        <f>+LOOKUP(Q8,'[2]Doc Set'!E:E,'[2]Doc Set'!H:H)</f>
        <v>43521</v>
      </c>
      <c r="S8" s="143" t="s">
        <v>200</v>
      </c>
    </row>
    <row r="9" spans="1:19" x14ac:dyDescent="0.3">
      <c r="A9" s="156" t="s">
        <v>40</v>
      </c>
      <c r="B9" s="157" t="s">
        <v>190</v>
      </c>
      <c r="C9" s="157" t="s">
        <v>191</v>
      </c>
      <c r="D9" s="158" t="s">
        <v>64</v>
      </c>
      <c r="E9" s="55" t="s">
        <v>193</v>
      </c>
      <c r="F9" s="55" t="s">
        <v>194</v>
      </c>
      <c r="G9" s="55" t="s">
        <v>243</v>
      </c>
      <c r="H9" s="55" t="s">
        <v>727</v>
      </c>
      <c r="I9" s="139" t="s">
        <v>51</v>
      </c>
      <c r="J9" s="159" t="s">
        <v>728</v>
      </c>
      <c r="K9" s="55">
        <v>20038918</v>
      </c>
      <c r="L9" s="55" t="s">
        <v>198</v>
      </c>
      <c r="M9" s="141" t="str">
        <f t="shared" si="1"/>
        <v>EH1-INT_D</v>
      </c>
      <c r="N9" s="142" t="str">
        <f>LOOKUP(M9,'[2]Doc Set'!E:E,'[2]Doc Set'!F:F)</f>
        <v>_</v>
      </c>
      <c r="O9" s="141" t="s">
        <v>714</v>
      </c>
      <c r="P9" s="142">
        <f>+LOOKUP(O9,'[2]Doc Set'!E:E,'[2]Doc Set'!G:G)</f>
        <v>43493</v>
      </c>
      <c r="Q9" s="55" t="str">
        <f t="shared" si="0"/>
        <v>EH1-INT_D</v>
      </c>
      <c r="R9" s="142">
        <f>+LOOKUP(Q9,'[2]Doc Set'!E:E,'[2]Doc Set'!H:H)</f>
        <v>43521</v>
      </c>
      <c r="S9" s="143" t="s">
        <v>200</v>
      </c>
    </row>
    <row r="10" spans="1:19" x14ac:dyDescent="0.3">
      <c r="A10" s="156" t="s">
        <v>40</v>
      </c>
      <c r="B10" s="157" t="s">
        <v>190</v>
      </c>
      <c r="C10" s="157" t="s">
        <v>191</v>
      </c>
      <c r="D10" s="158" t="s">
        <v>64</v>
      </c>
      <c r="E10" s="55" t="s">
        <v>193</v>
      </c>
      <c r="F10" s="55" t="s">
        <v>194</v>
      </c>
      <c r="G10" s="55" t="s">
        <v>246</v>
      </c>
      <c r="H10" s="55" t="s">
        <v>729</v>
      </c>
      <c r="I10" s="139" t="s">
        <v>51</v>
      </c>
      <c r="J10" s="159" t="s">
        <v>730</v>
      </c>
      <c r="K10" s="55">
        <v>20038918</v>
      </c>
      <c r="L10" s="55" t="s">
        <v>198</v>
      </c>
      <c r="M10" s="141" t="str">
        <f t="shared" si="1"/>
        <v>EH1-INT_D</v>
      </c>
      <c r="N10" s="142" t="str">
        <f>LOOKUP(M10,'[2]Doc Set'!E:E,'[2]Doc Set'!F:F)</f>
        <v>_</v>
      </c>
      <c r="O10" s="141" t="s">
        <v>714</v>
      </c>
      <c r="P10" s="142">
        <f>+LOOKUP(O10,'[2]Doc Set'!E:E,'[2]Doc Set'!G:G)</f>
        <v>43493</v>
      </c>
      <c r="Q10" s="55" t="str">
        <f t="shared" si="0"/>
        <v>EH1-INT_D</v>
      </c>
      <c r="R10" s="142">
        <f>+LOOKUP(Q10,'[2]Doc Set'!E:E,'[2]Doc Set'!H:H)</f>
        <v>43521</v>
      </c>
      <c r="S10" s="143" t="s">
        <v>200</v>
      </c>
    </row>
    <row r="11" spans="1:19" x14ac:dyDescent="0.3">
      <c r="A11" s="156" t="s">
        <v>40</v>
      </c>
      <c r="B11" s="157" t="s">
        <v>190</v>
      </c>
      <c r="C11" s="157" t="s">
        <v>191</v>
      </c>
      <c r="D11" s="158" t="s">
        <v>64</v>
      </c>
      <c r="E11" s="55" t="s">
        <v>193</v>
      </c>
      <c r="F11" s="55" t="s">
        <v>194</v>
      </c>
      <c r="G11" s="55" t="s">
        <v>249</v>
      </c>
      <c r="H11" s="55" t="s">
        <v>731</v>
      </c>
      <c r="I11" s="139" t="s">
        <v>51</v>
      </c>
      <c r="J11" s="159" t="s">
        <v>732</v>
      </c>
      <c r="K11" s="55">
        <v>20038918</v>
      </c>
      <c r="L11" s="55" t="s">
        <v>198</v>
      </c>
      <c r="M11" s="141" t="str">
        <f t="shared" si="1"/>
        <v>EH1-INT_D</v>
      </c>
      <c r="N11" s="142" t="str">
        <f>LOOKUP(M11,'[2]Doc Set'!E:E,'[2]Doc Set'!F:F)</f>
        <v>_</v>
      </c>
      <c r="O11" s="141" t="s">
        <v>714</v>
      </c>
      <c r="P11" s="142">
        <f>+LOOKUP(O11,'[2]Doc Set'!E:E,'[2]Doc Set'!G:G)</f>
        <v>43493</v>
      </c>
      <c r="Q11" s="55" t="str">
        <f t="shared" si="0"/>
        <v>EH1-INT_D</v>
      </c>
      <c r="R11" s="142">
        <f>+LOOKUP(Q11,'[2]Doc Set'!E:E,'[2]Doc Set'!H:H)</f>
        <v>43521</v>
      </c>
      <c r="S11" s="143" t="s">
        <v>200</v>
      </c>
    </row>
    <row r="12" spans="1:19" x14ac:dyDescent="0.3">
      <c r="A12" s="156" t="s">
        <v>40</v>
      </c>
      <c r="B12" s="157" t="s">
        <v>190</v>
      </c>
      <c r="C12" s="157" t="s">
        <v>191</v>
      </c>
      <c r="D12" s="158" t="s">
        <v>64</v>
      </c>
      <c r="E12" s="55" t="s">
        <v>193</v>
      </c>
      <c r="F12" s="55" t="s">
        <v>194</v>
      </c>
      <c r="G12" s="55" t="s">
        <v>252</v>
      </c>
      <c r="H12" s="55" t="s">
        <v>733</v>
      </c>
      <c r="I12" s="139" t="s">
        <v>51</v>
      </c>
      <c r="J12" s="159" t="s">
        <v>734</v>
      </c>
      <c r="K12" s="55">
        <v>20038918</v>
      </c>
      <c r="L12" s="55" t="s">
        <v>198</v>
      </c>
      <c r="M12" s="141" t="str">
        <f t="shared" si="1"/>
        <v>EH1-INT_D</v>
      </c>
      <c r="N12" s="142" t="str">
        <f>LOOKUP(M12,'[2]Doc Set'!E:E,'[2]Doc Set'!F:F)</f>
        <v>_</v>
      </c>
      <c r="O12" s="141" t="s">
        <v>714</v>
      </c>
      <c r="P12" s="142">
        <f>+LOOKUP(O12,'[2]Doc Set'!E:E,'[2]Doc Set'!G:G)</f>
        <v>43493</v>
      </c>
      <c r="Q12" s="55" t="str">
        <f t="shared" si="0"/>
        <v>EH1-INT_D</v>
      </c>
      <c r="R12" s="142">
        <f>+LOOKUP(Q12,'[2]Doc Set'!E:E,'[2]Doc Set'!H:H)</f>
        <v>43521</v>
      </c>
      <c r="S12" s="143" t="s">
        <v>200</v>
      </c>
    </row>
    <row r="13" spans="1:19" x14ac:dyDescent="0.3">
      <c r="A13" s="156" t="s">
        <v>40</v>
      </c>
      <c r="B13" s="157" t="s">
        <v>190</v>
      </c>
      <c r="C13" s="157" t="s">
        <v>191</v>
      </c>
      <c r="D13" s="158" t="s">
        <v>64</v>
      </c>
      <c r="E13" s="55" t="s">
        <v>193</v>
      </c>
      <c r="F13" s="55" t="s">
        <v>194</v>
      </c>
      <c r="G13" s="55" t="s">
        <v>255</v>
      </c>
      <c r="H13" s="55" t="s">
        <v>735</v>
      </c>
      <c r="I13" s="139" t="s">
        <v>51</v>
      </c>
      <c r="J13" s="159" t="s">
        <v>736</v>
      </c>
      <c r="K13" s="55">
        <v>20038918</v>
      </c>
      <c r="L13" s="55" t="s">
        <v>198</v>
      </c>
      <c r="M13" s="141" t="str">
        <f t="shared" si="1"/>
        <v>EH1-INT_D</v>
      </c>
      <c r="N13" s="142" t="str">
        <f>LOOKUP(M13,'[2]Doc Set'!E:E,'[2]Doc Set'!F:F)</f>
        <v>_</v>
      </c>
      <c r="O13" s="141" t="s">
        <v>714</v>
      </c>
      <c r="P13" s="142">
        <f>+LOOKUP(O13,'[2]Doc Set'!E:E,'[2]Doc Set'!G:G)</f>
        <v>43493</v>
      </c>
      <c r="Q13" s="55" t="str">
        <f t="shared" si="0"/>
        <v>EH1-INT_D</v>
      </c>
      <c r="R13" s="142">
        <f>+LOOKUP(Q13,'[2]Doc Set'!E:E,'[2]Doc Set'!H:H)</f>
        <v>43521</v>
      </c>
      <c r="S13" s="143" t="s">
        <v>200</v>
      </c>
    </row>
    <row r="14" spans="1:19" x14ac:dyDescent="0.3">
      <c r="A14" s="156" t="s">
        <v>40</v>
      </c>
      <c r="B14" s="157" t="s">
        <v>190</v>
      </c>
      <c r="C14" s="157" t="s">
        <v>191</v>
      </c>
      <c r="D14" s="158" t="s">
        <v>64</v>
      </c>
      <c r="E14" s="55" t="s">
        <v>193</v>
      </c>
      <c r="F14" s="55" t="s">
        <v>194</v>
      </c>
      <c r="G14" s="55" t="s">
        <v>258</v>
      </c>
      <c r="H14" s="55" t="s">
        <v>737</v>
      </c>
      <c r="I14" s="139" t="s">
        <v>51</v>
      </c>
      <c r="J14" s="159" t="s">
        <v>738</v>
      </c>
      <c r="K14" s="55">
        <v>20038918</v>
      </c>
      <c r="L14" s="55" t="s">
        <v>198</v>
      </c>
      <c r="M14" s="141" t="str">
        <f t="shared" si="1"/>
        <v>EH1-INT_D</v>
      </c>
      <c r="N14" s="142" t="str">
        <f>LOOKUP(M14,'[2]Doc Set'!E:E,'[2]Doc Set'!F:F)</f>
        <v>_</v>
      </c>
      <c r="O14" s="141" t="s">
        <v>714</v>
      </c>
      <c r="P14" s="142">
        <f>+LOOKUP(O14,'[2]Doc Set'!E:E,'[2]Doc Set'!G:G)</f>
        <v>43493</v>
      </c>
      <c r="Q14" s="55" t="str">
        <f t="shared" si="0"/>
        <v>EH1-INT_D</v>
      </c>
      <c r="R14" s="142">
        <f>+LOOKUP(Q14,'[2]Doc Set'!E:E,'[2]Doc Set'!H:H)</f>
        <v>43521</v>
      </c>
      <c r="S14" s="143" t="s">
        <v>200</v>
      </c>
    </row>
    <row r="15" spans="1:19" x14ac:dyDescent="0.3">
      <c r="A15" s="156" t="s">
        <v>40</v>
      </c>
      <c r="B15" s="157" t="s">
        <v>190</v>
      </c>
      <c r="C15" s="157" t="s">
        <v>191</v>
      </c>
      <c r="D15" s="158" t="s">
        <v>64</v>
      </c>
      <c r="E15" s="55" t="s">
        <v>193</v>
      </c>
      <c r="F15" s="55" t="s">
        <v>194</v>
      </c>
      <c r="G15" s="55" t="s">
        <v>739</v>
      </c>
      <c r="H15" s="55" t="s">
        <v>740</v>
      </c>
      <c r="I15" s="139" t="s">
        <v>51</v>
      </c>
      <c r="J15" s="159" t="s">
        <v>741</v>
      </c>
      <c r="K15" s="55">
        <v>20038918</v>
      </c>
      <c r="L15" s="55" t="s">
        <v>198</v>
      </c>
      <c r="M15" s="141" t="str">
        <f t="shared" si="1"/>
        <v>EH1-INT_D</v>
      </c>
      <c r="N15" s="142" t="str">
        <f>LOOKUP(M15,'[2]Doc Set'!E:E,'[2]Doc Set'!F:F)</f>
        <v>_</v>
      </c>
      <c r="O15" s="141" t="s">
        <v>714</v>
      </c>
      <c r="P15" s="142">
        <f>+LOOKUP(O15,'[2]Doc Set'!E:E,'[2]Doc Set'!G:G)</f>
        <v>43493</v>
      </c>
      <c r="Q15" s="55" t="str">
        <f t="shared" si="0"/>
        <v>EH1-INT_D</v>
      </c>
      <c r="R15" s="142">
        <f>+LOOKUP(Q15,'[2]Doc Set'!E:E,'[2]Doc Set'!H:H)</f>
        <v>43521</v>
      </c>
      <c r="S15" s="143" t="s">
        <v>200</v>
      </c>
    </row>
    <row r="16" spans="1:19" x14ac:dyDescent="0.3">
      <c r="A16" s="156" t="s">
        <v>40</v>
      </c>
      <c r="B16" s="157" t="s">
        <v>190</v>
      </c>
      <c r="C16" s="157" t="s">
        <v>191</v>
      </c>
      <c r="D16" s="158" t="s">
        <v>64</v>
      </c>
      <c r="E16" s="55" t="s">
        <v>193</v>
      </c>
      <c r="F16" s="55" t="s">
        <v>194</v>
      </c>
      <c r="G16" s="55" t="s">
        <v>742</v>
      </c>
      <c r="H16" s="55" t="s">
        <v>743</v>
      </c>
      <c r="I16" s="139" t="s">
        <v>51</v>
      </c>
      <c r="J16" s="159" t="s">
        <v>744</v>
      </c>
      <c r="K16" s="55">
        <v>20038918</v>
      </c>
      <c r="L16" s="55" t="s">
        <v>198</v>
      </c>
      <c r="M16" s="141" t="str">
        <f t="shared" si="1"/>
        <v>EH1-INT_D</v>
      </c>
      <c r="N16" s="142" t="str">
        <f>LOOKUP(M16,'[2]Doc Set'!E:E,'[2]Doc Set'!F:F)</f>
        <v>_</v>
      </c>
      <c r="O16" s="141" t="s">
        <v>714</v>
      </c>
      <c r="P16" s="142">
        <f>+LOOKUP(O16,'[2]Doc Set'!E:E,'[2]Doc Set'!G:G)</f>
        <v>43493</v>
      </c>
      <c r="Q16" s="55" t="str">
        <f t="shared" si="0"/>
        <v>EH1-INT_D</v>
      </c>
      <c r="R16" s="142">
        <f>+LOOKUP(Q16,'[2]Doc Set'!E:E,'[2]Doc Set'!H:H)</f>
        <v>43521</v>
      </c>
      <c r="S16" s="143" t="s">
        <v>200</v>
      </c>
    </row>
    <row r="17" spans="1:19" x14ac:dyDescent="0.3">
      <c r="A17" s="156" t="s">
        <v>40</v>
      </c>
      <c r="B17" s="157" t="s">
        <v>190</v>
      </c>
      <c r="C17" s="157" t="s">
        <v>191</v>
      </c>
      <c r="D17" s="158" t="s">
        <v>64</v>
      </c>
      <c r="E17" s="55" t="s">
        <v>193</v>
      </c>
      <c r="F17" s="55" t="s">
        <v>194</v>
      </c>
      <c r="G17" s="55" t="s">
        <v>745</v>
      </c>
      <c r="H17" s="55" t="s">
        <v>746</v>
      </c>
      <c r="I17" s="139" t="s">
        <v>51</v>
      </c>
      <c r="J17" s="159" t="s">
        <v>747</v>
      </c>
      <c r="K17" s="55">
        <v>20038918</v>
      </c>
      <c r="L17" s="55" t="s">
        <v>198</v>
      </c>
      <c r="M17" s="141" t="str">
        <f t="shared" si="1"/>
        <v>EH1-INT_D</v>
      </c>
      <c r="N17" s="142" t="str">
        <f>LOOKUP(M17,'[2]Doc Set'!E:E,'[2]Doc Set'!F:F)</f>
        <v>_</v>
      </c>
      <c r="O17" s="141" t="s">
        <v>714</v>
      </c>
      <c r="P17" s="142">
        <f>+LOOKUP(O17,'[2]Doc Set'!E:E,'[2]Doc Set'!G:G)</f>
        <v>43493</v>
      </c>
      <c r="Q17" s="55" t="str">
        <f t="shared" si="0"/>
        <v>EH1-INT_D</v>
      </c>
      <c r="R17" s="142">
        <f>+LOOKUP(Q17,'[2]Doc Set'!E:E,'[2]Doc Set'!H:H)</f>
        <v>43521</v>
      </c>
      <c r="S17" s="143" t="s">
        <v>200</v>
      </c>
    </row>
    <row r="18" spans="1:19" x14ac:dyDescent="0.3">
      <c r="A18" s="156" t="s">
        <v>40</v>
      </c>
      <c r="B18" s="157" t="s">
        <v>190</v>
      </c>
      <c r="C18" s="157" t="s">
        <v>191</v>
      </c>
      <c r="D18" s="158" t="s">
        <v>64</v>
      </c>
      <c r="E18" s="55" t="s">
        <v>193</v>
      </c>
      <c r="F18" s="55" t="s">
        <v>194</v>
      </c>
      <c r="G18" s="55" t="s">
        <v>748</v>
      </c>
      <c r="H18" s="55" t="s">
        <v>749</v>
      </c>
      <c r="I18" s="139" t="s">
        <v>51</v>
      </c>
      <c r="J18" s="159" t="s">
        <v>750</v>
      </c>
      <c r="K18" s="55">
        <v>20038918</v>
      </c>
      <c r="L18" s="55" t="s">
        <v>198</v>
      </c>
      <c r="M18" s="141" t="str">
        <f t="shared" si="1"/>
        <v>EH1-INT_D</v>
      </c>
      <c r="N18" s="142" t="str">
        <f>LOOKUP(M18,'[2]Doc Set'!E:E,'[2]Doc Set'!F:F)</f>
        <v>_</v>
      </c>
      <c r="O18" s="141" t="s">
        <v>714</v>
      </c>
      <c r="P18" s="142">
        <f>+LOOKUP(O18,'[2]Doc Set'!E:E,'[2]Doc Set'!G:G)</f>
        <v>43493</v>
      </c>
      <c r="Q18" s="55" t="str">
        <f t="shared" si="0"/>
        <v>EH1-INT_D</v>
      </c>
      <c r="R18" s="142">
        <f>+LOOKUP(Q18,'[2]Doc Set'!E:E,'[2]Doc Set'!H:H)</f>
        <v>43521</v>
      </c>
      <c r="S18" s="143" t="s">
        <v>200</v>
      </c>
    </row>
    <row r="19" spans="1:19" x14ac:dyDescent="0.3">
      <c r="A19" s="156" t="s">
        <v>40</v>
      </c>
      <c r="B19" s="157" t="s">
        <v>190</v>
      </c>
      <c r="C19" s="157" t="s">
        <v>191</v>
      </c>
      <c r="D19" s="158" t="s">
        <v>64</v>
      </c>
      <c r="E19" s="55" t="s">
        <v>193</v>
      </c>
      <c r="F19" s="55" t="s">
        <v>194</v>
      </c>
      <c r="G19" s="55" t="s">
        <v>261</v>
      </c>
      <c r="H19" s="55" t="s">
        <v>751</v>
      </c>
      <c r="I19" s="139" t="s">
        <v>51</v>
      </c>
      <c r="J19" s="159" t="s">
        <v>752</v>
      </c>
      <c r="K19" s="55">
        <v>20038918</v>
      </c>
      <c r="L19" s="55" t="s">
        <v>198</v>
      </c>
      <c r="M19" s="141" t="str">
        <f t="shared" si="1"/>
        <v>EH1-INT_D</v>
      </c>
      <c r="N19" s="142" t="str">
        <f>LOOKUP(M19,'[2]Doc Set'!E:E,'[2]Doc Set'!F:F)</f>
        <v>_</v>
      </c>
      <c r="O19" s="141" t="s">
        <v>714</v>
      </c>
      <c r="P19" s="142">
        <f>+LOOKUP(O19,'[2]Doc Set'!E:E,'[2]Doc Set'!G:G)</f>
        <v>43493</v>
      </c>
      <c r="Q19" s="55" t="str">
        <f t="shared" si="0"/>
        <v>EH1-INT_D</v>
      </c>
      <c r="R19" s="142">
        <f>+LOOKUP(Q19,'[2]Doc Set'!E:E,'[2]Doc Set'!H:H)</f>
        <v>43521</v>
      </c>
      <c r="S19" s="143" t="s">
        <v>200</v>
      </c>
    </row>
    <row r="20" spans="1:19" x14ac:dyDescent="0.3">
      <c r="A20" s="156" t="s">
        <v>40</v>
      </c>
      <c r="B20" s="157" t="s">
        <v>190</v>
      </c>
      <c r="C20" s="157" t="s">
        <v>191</v>
      </c>
      <c r="D20" s="158" t="s">
        <v>64</v>
      </c>
      <c r="E20" s="55" t="s">
        <v>193</v>
      </c>
      <c r="F20" s="55" t="s">
        <v>194</v>
      </c>
      <c r="G20" s="55" t="s">
        <v>264</v>
      </c>
      <c r="H20" s="55" t="s">
        <v>753</v>
      </c>
      <c r="I20" s="139" t="s">
        <v>51</v>
      </c>
      <c r="J20" s="159" t="s">
        <v>754</v>
      </c>
      <c r="K20" s="55">
        <v>20038918</v>
      </c>
      <c r="L20" s="55" t="s">
        <v>198</v>
      </c>
      <c r="M20" s="141" t="str">
        <f t="shared" si="1"/>
        <v>EH1-INT_D</v>
      </c>
      <c r="N20" s="142" t="str">
        <f>LOOKUP(M20,'[2]Doc Set'!E:E,'[2]Doc Set'!F:F)</f>
        <v>_</v>
      </c>
      <c r="O20" s="141" t="s">
        <v>714</v>
      </c>
      <c r="P20" s="142">
        <f>+LOOKUP(O20,'[2]Doc Set'!E:E,'[2]Doc Set'!G:G)</f>
        <v>43493</v>
      </c>
      <c r="Q20" s="55" t="str">
        <f t="shared" si="0"/>
        <v>EH1-INT_D</v>
      </c>
      <c r="R20" s="142">
        <f>+LOOKUP(Q20,'[2]Doc Set'!E:E,'[2]Doc Set'!H:H)</f>
        <v>43521</v>
      </c>
      <c r="S20" s="143" t="s">
        <v>200</v>
      </c>
    </row>
    <row r="21" spans="1:19" x14ac:dyDescent="0.3">
      <c r="A21" s="156" t="s">
        <v>40</v>
      </c>
      <c r="B21" s="157" t="s">
        <v>190</v>
      </c>
      <c r="C21" s="157" t="s">
        <v>191</v>
      </c>
      <c r="D21" s="158" t="s">
        <v>64</v>
      </c>
      <c r="E21" s="55" t="s">
        <v>193</v>
      </c>
      <c r="F21" s="55" t="s">
        <v>194</v>
      </c>
      <c r="G21" s="55" t="s">
        <v>267</v>
      </c>
      <c r="H21" s="55" t="s">
        <v>755</v>
      </c>
      <c r="I21" s="139" t="s">
        <v>51</v>
      </c>
      <c r="J21" s="159" t="s">
        <v>756</v>
      </c>
      <c r="K21" s="55">
        <v>20038918</v>
      </c>
      <c r="L21" s="55" t="s">
        <v>198</v>
      </c>
      <c r="M21" s="141" t="str">
        <f t="shared" si="1"/>
        <v>EH1-INT_D</v>
      </c>
      <c r="N21" s="142" t="str">
        <f>LOOKUP(M21,'[2]Doc Set'!E:E,'[2]Doc Set'!F:F)</f>
        <v>_</v>
      </c>
      <c r="O21" s="141" t="s">
        <v>714</v>
      </c>
      <c r="P21" s="142">
        <f>+LOOKUP(O21,'[2]Doc Set'!E:E,'[2]Doc Set'!G:G)</f>
        <v>43493</v>
      </c>
      <c r="Q21" s="55" t="str">
        <f t="shared" si="0"/>
        <v>EH1-INT_D</v>
      </c>
      <c r="R21" s="142">
        <f>+LOOKUP(Q21,'[2]Doc Set'!E:E,'[2]Doc Set'!H:H)</f>
        <v>43521</v>
      </c>
      <c r="S21" s="143" t="s">
        <v>200</v>
      </c>
    </row>
    <row r="22" spans="1:19" x14ac:dyDescent="0.3">
      <c r="A22" s="156" t="s">
        <v>40</v>
      </c>
      <c r="B22" s="157" t="s">
        <v>190</v>
      </c>
      <c r="C22" s="157" t="s">
        <v>191</v>
      </c>
      <c r="D22" s="158" t="s">
        <v>64</v>
      </c>
      <c r="E22" s="55" t="s">
        <v>193</v>
      </c>
      <c r="F22" s="55" t="s">
        <v>194</v>
      </c>
      <c r="G22" s="55" t="s">
        <v>270</v>
      </c>
      <c r="H22" s="55" t="s">
        <v>757</v>
      </c>
      <c r="I22" s="139" t="s">
        <v>51</v>
      </c>
      <c r="J22" s="159" t="s">
        <v>758</v>
      </c>
      <c r="K22" s="55">
        <v>20038918</v>
      </c>
      <c r="L22" s="55" t="s">
        <v>198</v>
      </c>
      <c r="M22" s="141" t="str">
        <f t="shared" si="1"/>
        <v>EH1-INT_D</v>
      </c>
      <c r="N22" s="142" t="str">
        <f>LOOKUP(M22,'[2]Doc Set'!E:E,'[2]Doc Set'!F:F)</f>
        <v>_</v>
      </c>
      <c r="O22" s="141" t="s">
        <v>714</v>
      </c>
      <c r="P22" s="142">
        <f>+LOOKUP(O22,'[2]Doc Set'!E:E,'[2]Doc Set'!G:G)</f>
        <v>43493</v>
      </c>
      <c r="Q22" s="55" t="str">
        <f t="shared" si="0"/>
        <v>EH1-INT_D</v>
      </c>
      <c r="R22" s="142">
        <f>+LOOKUP(Q22,'[2]Doc Set'!E:E,'[2]Doc Set'!H:H)</f>
        <v>43521</v>
      </c>
      <c r="S22" s="143" t="s">
        <v>200</v>
      </c>
    </row>
    <row r="23" spans="1:19" x14ac:dyDescent="0.3">
      <c r="A23" s="156" t="s">
        <v>40</v>
      </c>
      <c r="B23" s="157" t="s">
        <v>190</v>
      </c>
      <c r="C23" s="157" t="s">
        <v>191</v>
      </c>
      <c r="D23" s="158" t="s">
        <v>64</v>
      </c>
      <c r="E23" s="55" t="s">
        <v>193</v>
      </c>
      <c r="F23" s="55" t="s">
        <v>194</v>
      </c>
      <c r="G23" s="55" t="s">
        <v>273</v>
      </c>
      <c r="H23" s="55" t="s">
        <v>759</v>
      </c>
      <c r="I23" s="139" t="s">
        <v>51</v>
      </c>
      <c r="J23" s="159" t="s">
        <v>760</v>
      </c>
      <c r="K23" s="55">
        <v>20038918</v>
      </c>
      <c r="L23" s="55" t="s">
        <v>198</v>
      </c>
      <c r="M23" s="141" t="str">
        <f t="shared" si="1"/>
        <v>EH1-INT_D</v>
      </c>
      <c r="N23" s="142" t="str">
        <f>LOOKUP(M23,'[2]Doc Set'!E:E,'[2]Doc Set'!F:F)</f>
        <v>_</v>
      </c>
      <c r="O23" s="141" t="s">
        <v>714</v>
      </c>
      <c r="P23" s="142">
        <f>+LOOKUP(O23,'[2]Doc Set'!E:E,'[2]Doc Set'!G:G)</f>
        <v>43493</v>
      </c>
      <c r="Q23" s="55" t="str">
        <f t="shared" si="0"/>
        <v>EH1-INT_D</v>
      </c>
      <c r="R23" s="142">
        <f>+LOOKUP(Q23,'[2]Doc Set'!E:E,'[2]Doc Set'!H:H)</f>
        <v>43521</v>
      </c>
      <c r="S23" s="143" t="s">
        <v>200</v>
      </c>
    </row>
    <row r="24" spans="1:19" x14ac:dyDescent="0.3">
      <c r="A24" s="156" t="s">
        <v>40</v>
      </c>
      <c r="B24" s="157" t="s">
        <v>190</v>
      </c>
      <c r="C24" s="157" t="s">
        <v>191</v>
      </c>
      <c r="D24" s="158" t="s">
        <v>64</v>
      </c>
      <c r="E24" s="55" t="s">
        <v>193</v>
      </c>
      <c r="F24" s="55" t="s">
        <v>194</v>
      </c>
      <c r="G24" s="55" t="s">
        <v>276</v>
      </c>
      <c r="H24" s="55" t="s">
        <v>761</v>
      </c>
      <c r="I24" s="139" t="s">
        <v>51</v>
      </c>
      <c r="J24" s="159" t="s">
        <v>762</v>
      </c>
      <c r="K24" s="55">
        <v>20038918</v>
      </c>
      <c r="L24" s="55" t="s">
        <v>198</v>
      </c>
      <c r="M24" s="141" t="str">
        <f t="shared" si="1"/>
        <v>EH1-INT_D</v>
      </c>
      <c r="N24" s="142" t="str">
        <f>LOOKUP(M24,'[2]Doc Set'!E:E,'[2]Doc Set'!F:F)</f>
        <v>_</v>
      </c>
      <c r="O24" s="141" t="s">
        <v>714</v>
      </c>
      <c r="P24" s="142">
        <f>+LOOKUP(O24,'[2]Doc Set'!E:E,'[2]Doc Set'!G:G)</f>
        <v>43493</v>
      </c>
      <c r="Q24" s="55" t="str">
        <f t="shared" si="0"/>
        <v>EH1-INT_D</v>
      </c>
      <c r="R24" s="142">
        <f>+LOOKUP(Q24,'[2]Doc Set'!E:E,'[2]Doc Set'!H:H)</f>
        <v>43521</v>
      </c>
      <c r="S24" s="143" t="s">
        <v>200</v>
      </c>
    </row>
    <row r="25" spans="1:19" x14ac:dyDescent="0.3">
      <c r="A25" s="156" t="s">
        <v>40</v>
      </c>
      <c r="B25" s="157" t="s">
        <v>190</v>
      </c>
      <c r="C25" s="157" t="s">
        <v>191</v>
      </c>
      <c r="D25" s="158" t="s">
        <v>64</v>
      </c>
      <c r="E25" s="55" t="s">
        <v>193</v>
      </c>
      <c r="F25" s="55" t="s">
        <v>194</v>
      </c>
      <c r="G25" s="55" t="s">
        <v>282</v>
      </c>
      <c r="H25" s="55" t="s">
        <v>763</v>
      </c>
      <c r="I25" s="139" t="s">
        <v>51</v>
      </c>
      <c r="J25" s="159" t="s">
        <v>764</v>
      </c>
      <c r="K25" s="55">
        <v>20038918</v>
      </c>
      <c r="L25" s="55" t="s">
        <v>198</v>
      </c>
      <c r="M25" s="141" t="str">
        <f t="shared" si="1"/>
        <v>EH1-INT_D</v>
      </c>
      <c r="N25" s="142" t="str">
        <f>LOOKUP(M25,'[2]Doc Set'!E:E,'[2]Doc Set'!F:F)</f>
        <v>_</v>
      </c>
      <c r="O25" s="141" t="s">
        <v>714</v>
      </c>
      <c r="P25" s="142">
        <f>+LOOKUP(O25,'[2]Doc Set'!E:E,'[2]Doc Set'!G:G)</f>
        <v>43493</v>
      </c>
      <c r="Q25" s="55" t="str">
        <f t="shared" si="0"/>
        <v>EH1-INT_D</v>
      </c>
      <c r="R25" s="142">
        <f>+LOOKUP(Q25,'[2]Doc Set'!E:E,'[2]Doc Set'!H:H)</f>
        <v>43521</v>
      </c>
      <c r="S25" s="143" t="s">
        <v>200</v>
      </c>
    </row>
    <row r="26" spans="1:19" x14ac:dyDescent="0.3">
      <c r="A26" s="156" t="s">
        <v>40</v>
      </c>
      <c r="B26" s="157" t="s">
        <v>190</v>
      </c>
      <c r="C26" s="157" t="s">
        <v>191</v>
      </c>
      <c r="D26" s="158" t="s">
        <v>64</v>
      </c>
      <c r="E26" s="55" t="s">
        <v>193</v>
      </c>
      <c r="F26" s="55" t="s">
        <v>194</v>
      </c>
      <c r="G26" s="55" t="s">
        <v>285</v>
      </c>
      <c r="H26" s="55" t="s">
        <v>765</v>
      </c>
      <c r="I26" s="139" t="s">
        <v>51</v>
      </c>
      <c r="J26" s="159" t="s">
        <v>766</v>
      </c>
      <c r="K26" s="55">
        <v>20038918</v>
      </c>
      <c r="L26" s="55" t="s">
        <v>198</v>
      </c>
      <c r="M26" s="141" t="str">
        <f t="shared" si="1"/>
        <v>EH1-INT_D</v>
      </c>
      <c r="N26" s="142" t="str">
        <f>LOOKUP(M26,'[2]Doc Set'!E:E,'[2]Doc Set'!F:F)</f>
        <v>_</v>
      </c>
      <c r="O26" s="141" t="s">
        <v>714</v>
      </c>
      <c r="P26" s="142">
        <f>+LOOKUP(O26,'[2]Doc Set'!E:E,'[2]Doc Set'!G:G)</f>
        <v>43493</v>
      </c>
      <c r="Q26" s="55" t="str">
        <f t="shared" si="0"/>
        <v>EH1-INT_D</v>
      </c>
      <c r="R26" s="142">
        <f>+LOOKUP(Q26,'[2]Doc Set'!E:E,'[2]Doc Set'!H:H)</f>
        <v>43521</v>
      </c>
      <c r="S26" s="143" t="s">
        <v>200</v>
      </c>
    </row>
    <row r="27" spans="1:19" x14ac:dyDescent="0.3">
      <c r="A27" s="156" t="s">
        <v>40</v>
      </c>
      <c r="B27" s="157" t="s">
        <v>190</v>
      </c>
      <c r="C27" s="157" t="s">
        <v>191</v>
      </c>
      <c r="D27" s="158" t="s">
        <v>64</v>
      </c>
      <c r="E27" s="55" t="s">
        <v>193</v>
      </c>
      <c r="F27" s="55" t="s">
        <v>194</v>
      </c>
      <c r="G27" s="55" t="s">
        <v>288</v>
      </c>
      <c r="H27" s="55" t="s">
        <v>767</v>
      </c>
      <c r="I27" s="139" t="s">
        <v>51</v>
      </c>
      <c r="J27" s="159" t="s">
        <v>768</v>
      </c>
      <c r="K27" s="55">
        <v>20038918</v>
      </c>
      <c r="L27" s="55" t="s">
        <v>198</v>
      </c>
      <c r="M27" s="141" t="str">
        <f t="shared" si="1"/>
        <v>EH1-INT_D</v>
      </c>
      <c r="N27" s="142" t="str">
        <f>LOOKUP(M27,'[2]Doc Set'!E:E,'[2]Doc Set'!F:F)</f>
        <v>_</v>
      </c>
      <c r="O27" s="141" t="s">
        <v>714</v>
      </c>
      <c r="P27" s="142">
        <f>+LOOKUP(O27,'[2]Doc Set'!E:E,'[2]Doc Set'!G:G)</f>
        <v>43493</v>
      </c>
      <c r="Q27" s="55" t="str">
        <f t="shared" si="0"/>
        <v>EH1-INT_D</v>
      </c>
      <c r="R27" s="142">
        <f>+LOOKUP(Q27,'[2]Doc Set'!E:E,'[2]Doc Set'!H:H)</f>
        <v>43521</v>
      </c>
      <c r="S27" s="143" t="s">
        <v>200</v>
      </c>
    </row>
    <row r="28" spans="1:19" x14ac:dyDescent="0.3">
      <c r="A28" s="156" t="s">
        <v>40</v>
      </c>
      <c r="B28" s="157" t="s">
        <v>190</v>
      </c>
      <c r="C28" s="157" t="s">
        <v>191</v>
      </c>
      <c r="D28" s="158" t="s">
        <v>64</v>
      </c>
      <c r="E28" s="55" t="s">
        <v>193</v>
      </c>
      <c r="F28" s="55" t="s">
        <v>194</v>
      </c>
      <c r="G28" s="55" t="s">
        <v>291</v>
      </c>
      <c r="H28" s="55" t="s">
        <v>769</v>
      </c>
      <c r="I28" s="139" t="s">
        <v>51</v>
      </c>
      <c r="J28" s="159" t="s">
        <v>770</v>
      </c>
      <c r="K28" s="55">
        <v>20038918</v>
      </c>
      <c r="L28" s="55" t="s">
        <v>198</v>
      </c>
      <c r="M28" s="141" t="str">
        <f t="shared" si="1"/>
        <v>EH1-INT_D</v>
      </c>
      <c r="N28" s="142" t="str">
        <f>LOOKUP(M28,'[2]Doc Set'!E:E,'[2]Doc Set'!F:F)</f>
        <v>_</v>
      </c>
      <c r="O28" s="141" t="s">
        <v>714</v>
      </c>
      <c r="P28" s="142">
        <f>+LOOKUP(O28,'[2]Doc Set'!E:E,'[2]Doc Set'!G:G)</f>
        <v>43493</v>
      </c>
      <c r="Q28" s="55" t="str">
        <f t="shared" si="0"/>
        <v>EH1-INT_D</v>
      </c>
      <c r="R28" s="142">
        <f>+LOOKUP(Q28,'[2]Doc Set'!E:E,'[2]Doc Set'!H:H)</f>
        <v>43521</v>
      </c>
      <c r="S28" s="143" t="s">
        <v>200</v>
      </c>
    </row>
    <row r="29" spans="1:19" x14ac:dyDescent="0.3">
      <c r="A29" s="156" t="s">
        <v>40</v>
      </c>
      <c r="B29" s="157" t="s">
        <v>190</v>
      </c>
      <c r="C29" s="157" t="s">
        <v>191</v>
      </c>
      <c r="D29" s="158" t="s">
        <v>64</v>
      </c>
      <c r="E29" s="55" t="s">
        <v>193</v>
      </c>
      <c r="F29" s="55" t="s">
        <v>194</v>
      </c>
      <c r="G29" s="55" t="s">
        <v>294</v>
      </c>
      <c r="H29" s="55" t="s">
        <v>771</v>
      </c>
      <c r="I29" s="139" t="s">
        <v>51</v>
      </c>
      <c r="J29" s="159" t="s">
        <v>772</v>
      </c>
      <c r="K29" s="55">
        <v>20038918</v>
      </c>
      <c r="L29" s="55" t="s">
        <v>198</v>
      </c>
      <c r="M29" s="141" t="str">
        <f t="shared" si="1"/>
        <v>EH1-INT_D</v>
      </c>
      <c r="N29" s="142" t="str">
        <f>LOOKUP(M29,'[2]Doc Set'!E:E,'[2]Doc Set'!F:F)</f>
        <v>_</v>
      </c>
      <c r="O29" s="141" t="s">
        <v>714</v>
      </c>
      <c r="P29" s="142">
        <f>+LOOKUP(O29,'[2]Doc Set'!E:E,'[2]Doc Set'!G:G)</f>
        <v>43493</v>
      </c>
      <c r="Q29" s="55" t="str">
        <f t="shared" si="0"/>
        <v>EH1-INT_D</v>
      </c>
      <c r="R29" s="142">
        <f>+LOOKUP(Q29,'[2]Doc Set'!E:E,'[2]Doc Set'!H:H)</f>
        <v>43521</v>
      </c>
      <c r="S29" s="143" t="s">
        <v>200</v>
      </c>
    </row>
    <row r="30" spans="1:19" x14ac:dyDescent="0.3">
      <c r="A30" s="156" t="s">
        <v>40</v>
      </c>
      <c r="B30" s="157" t="s">
        <v>190</v>
      </c>
      <c r="C30" s="157" t="s">
        <v>191</v>
      </c>
      <c r="D30" s="158" t="s">
        <v>64</v>
      </c>
      <c r="E30" s="55" t="s">
        <v>193</v>
      </c>
      <c r="F30" s="55" t="s">
        <v>194</v>
      </c>
      <c r="G30" s="55" t="s">
        <v>297</v>
      </c>
      <c r="H30" s="55" t="s">
        <v>773</v>
      </c>
      <c r="I30" s="139" t="s">
        <v>51</v>
      </c>
      <c r="J30" s="159" t="s">
        <v>774</v>
      </c>
      <c r="K30" s="55">
        <v>20038918</v>
      </c>
      <c r="L30" s="55" t="s">
        <v>198</v>
      </c>
      <c r="M30" s="141" t="str">
        <f t="shared" si="1"/>
        <v>EH1-INT_D</v>
      </c>
      <c r="N30" s="142" t="str">
        <f>LOOKUP(M30,'[2]Doc Set'!E:E,'[2]Doc Set'!F:F)</f>
        <v>_</v>
      </c>
      <c r="O30" s="141" t="s">
        <v>714</v>
      </c>
      <c r="P30" s="142">
        <f>+LOOKUP(O30,'[2]Doc Set'!E:E,'[2]Doc Set'!G:G)</f>
        <v>43493</v>
      </c>
      <c r="Q30" s="55" t="str">
        <f t="shared" si="0"/>
        <v>EH1-INT_D</v>
      </c>
      <c r="R30" s="142">
        <f>+LOOKUP(Q30,'[2]Doc Set'!E:E,'[2]Doc Set'!H:H)</f>
        <v>43521</v>
      </c>
      <c r="S30" s="143" t="s">
        <v>200</v>
      </c>
    </row>
    <row r="31" spans="1:19" x14ac:dyDescent="0.3">
      <c r="A31" s="156" t="s">
        <v>40</v>
      </c>
      <c r="B31" s="157" t="s">
        <v>190</v>
      </c>
      <c r="C31" s="157" t="s">
        <v>191</v>
      </c>
      <c r="D31" s="158" t="s">
        <v>64</v>
      </c>
      <c r="E31" s="55" t="s">
        <v>193</v>
      </c>
      <c r="F31" s="55" t="s">
        <v>194</v>
      </c>
      <c r="G31" s="55" t="s">
        <v>303</v>
      </c>
      <c r="H31" s="55" t="s">
        <v>775</v>
      </c>
      <c r="I31" s="139" t="s">
        <v>51</v>
      </c>
      <c r="J31" s="159" t="s">
        <v>776</v>
      </c>
      <c r="K31" s="55">
        <v>20038918</v>
      </c>
      <c r="L31" s="55" t="s">
        <v>198</v>
      </c>
      <c r="M31" s="141" t="str">
        <f t="shared" si="1"/>
        <v>EH1-INT_D</v>
      </c>
      <c r="N31" s="142" t="str">
        <f>LOOKUP(M31,'[2]Doc Set'!E:E,'[2]Doc Set'!F:F)</f>
        <v>_</v>
      </c>
      <c r="O31" s="141" t="s">
        <v>714</v>
      </c>
      <c r="P31" s="142">
        <f>+LOOKUP(O31,'[2]Doc Set'!E:E,'[2]Doc Set'!G:G)</f>
        <v>43493</v>
      </c>
      <c r="Q31" s="55" t="str">
        <f t="shared" si="0"/>
        <v>EH1-INT_D</v>
      </c>
      <c r="R31" s="142">
        <f>+LOOKUP(Q31,'[2]Doc Set'!E:E,'[2]Doc Set'!H:H)</f>
        <v>43521</v>
      </c>
      <c r="S31" s="143" t="s">
        <v>200</v>
      </c>
    </row>
    <row r="32" spans="1:19" x14ac:dyDescent="0.3">
      <c r="A32" s="156" t="s">
        <v>40</v>
      </c>
      <c r="B32" s="157" t="s">
        <v>190</v>
      </c>
      <c r="C32" s="157" t="s">
        <v>191</v>
      </c>
      <c r="D32" s="158" t="s">
        <v>64</v>
      </c>
      <c r="E32" s="55" t="s">
        <v>193</v>
      </c>
      <c r="F32" s="55" t="s">
        <v>194</v>
      </c>
      <c r="G32" s="55" t="s">
        <v>307</v>
      </c>
      <c r="H32" s="55" t="s">
        <v>777</v>
      </c>
      <c r="I32" s="139" t="s">
        <v>51</v>
      </c>
      <c r="J32" s="159" t="s">
        <v>778</v>
      </c>
      <c r="K32" s="55">
        <v>20038918</v>
      </c>
      <c r="L32" s="55" t="s">
        <v>198</v>
      </c>
      <c r="M32" s="141" t="str">
        <f t="shared" si="1"/>
        <v>EH1-INT_D</v>
      </c>
      <c r="N32" s="142" t="str">
        <f>LOOKUP(M32,'[2]Doc Set'!E:E,'[2]Doc Set'!F:F)</f>
        <v>_</v>
      </c>
      <c r="O32" s="141" t="s">
        <v>714</v>
      </c>
      <c r="P32" s="142">
        <f>+LOOKUP(O32,'[2]Doc Set'!E:E,'[2]Doc Set'!G:G)</f>
        <v>43493</v>
      </c>
      <c r="Q32" s="55" t="str">
        <f t="shared" si="0"/>
        <v>EH1-INT_D</v>
      </c>
      <c r="R32" s="142">
        <f>+LOOKUP(Q32,'[2]Doc Set'!E:E,'[2]Doc Set'!H:H)</f>
        <v>43521</v>
      </c>
      <c r="S32" s="143" t="s">
        <v>200</v>
      </c>
    </row>
    <row r="33" spans="1:19" x14ac:dyDescent="0.3">
      <c r="A33" s="156" t="s">
        <v>40</v>
      </c>
      <c r="B33" s="157" t="s">
        <v>190</v>
      </c>
      <c r="C33" s="157" t="s">
        <v>191</v>
      </c>
      <c r="D33" s="158" t="s">
        <v>64</v>
      </c>
      <c r="E33" s="55" t="s">
        <v>193</v>
      </c>
      <c r="F33" s="55" t="s">
        <v>194</v>
      </c>
      <c r="G33" s="55" t="s">
        <v>310</v>
      </c>
      <c r="H33" s="55" t="s">
        <v>779</v>
      </c>
      <c r="I33" s="139" t="s">
        <v>51</v>
      </c>
      <c r="J33" s="159" t="s">
        <v>780</v>
      </c>
      <c r="K33" s="55">
        <v>20038918</v>
      </c>
      <c r="L33" s="55" t="s">
        <v>198</v>
      </c>
      <c r="M33" s="141" t="str">
        <f t="shared" si="1"/>
        <v>EH1-INT_D</v>
      </c>
      <c r="N33" s="142" t="str">
        <f>LOOKUP(M33,'[2]Doc Set'!E:E,'[2]Doc Set'!F:F)</f>
        <v>_</v>
      </c>
      <c r="O33" s="141" t="s">
        <v>714</v>
      </c>
      <c r="P33" s="142">
        <f>+LOOKUP(O33,'[2]Doc Set'!E:E,'[2]Doc Set'!G:G)</f>
        <v>43493</v>
      </c>
      <c r="Q33" s="55" t="str">
        <f t="shared" si="0"/>
        <v>EH1-INT_D</v>
      </c>
      <c r="R33" s="142">
        <f>+LOOKUP(Q33,'[2]Doc Set'!E:E,'[2]Doc Set'!H:H)</f>
        <v>43521</v>
      </c>
      <c r="S33" s="143" t="s">
        <v>200</v>
      </c>
    </row>
    <row r="34" spans="1:19" x14ac:dyDescent="0.3">
      <c r="A34" s="156" t="s">
        <v>40</v>
      </c>
      <c r="B34" s="157" t="s">
        <v>190</v>
      </c>
      <c r="C34" s="157" t="s">
        <v>191</v>
      </c>
      <c r="D34" s="158" t="s">
        <v>64</v>
      </c>
      <c r="E34" s="55" t="s">
        <v>193</v>
      </c>
      <c r="F34" s="55" t="s">
        <v>194</v>
      </c>
      <c r="G34" s="55" t="s">
        <v>313</v>
      </c>
      <c r="H34" s="55" t="s">
        <v>781</v>
      </c>
      <c r="I34" s="139" t="s">
        <v>51</v>
      </c>
      <c r="J34" s="159" t="s">
        <v>782</v>
      </c>
      <c r="K34" s="55">
        <v>20038918</v>
      </c>
      <c r="L34" s="55" t="s">
        <v>198</v>
      </c>
      <c r="M34" s="141" t="str">
        <f t="shared" si="1"/>
        <v>EH1-INT_D</v>
      </c>
      <c r="N34" s="142" t="str">
        <f>LOOKUP(M34,'[2]Doc Set'!E:E,'[2]Doc Set'!F:F)</f>
        <v>_</v>
      </c>
      <c r="O34" s="141" t="s">
        <v>714</v>
      </c>
      <c r="P34" s="142">
        <f>+LOOKUP(O34,'[2]Doc Set'!E:E,'[2]Doc Set'!G:G)</f>
        <v>43493</v>
      </c>
      <c r="Q34" s="55" t="str">
        <f t="shared" si="0"/>
        <v>EH1-INT_D</v>
      </c>
      <c r="R34" s="142">
        <f>+LOOKUP(Q34,'[2]Doc Set'!E:E,'[2]Doc Set'!H:H)</f>
        <v>43521</v>
      </c>
      <c r="S34" s="143" t="s">
        <v>200</v>
      </c>
    </row>
    <row r="35" spans="1:19" x14ac:dyDescent="0.3">
      <c r="A35" s="156" t="s">
        <v>40</v>
      </c>
      <c r="B35" s="157" t="s">
        <v>190</v>
      </c>
      <c r="C35" s="157" t="s">
        <v>191</v>
      </c>
      <c r="D35" s="158" t="s">
        <v>64</v>
      </c>
      <c r="E35" s="55" t="s">
        <v>193</v>
      </c>
      <c r="F35" s="55" t="s">
        <v>194</v>
      </c>
      <c r="G35" s="55" t="s">
        <v>316</v>
      </c>
      <c r="H35" s="55" t="s">
        <v>783</v>
      </c>
      <c r="I35" s="139" t="s">
        <v>51</v>
      </c>
      <c r="J35" s="159" t="s">
        <v>784</v>
      </c>
      <c r="K35" s="55">
        <v>20038918</v>
      </c>
      <c r="L35" s="55" t="s">
        <v>198</v>
      </c>
      <c r="M35" s="141" t="str">
        <f t="shared" si="1"/>
        <v>EH1-INT_D</v>
      </c>
      <c r="N35" s="142" t="str">
        <f>LOOKUP(M35,'[2]Doc Set'!E:E,'[2]Doc Set'!F:F)</f>
        <v>_</v>
      </c>
      <c r="O35" s="141" t="s">
        <v>714</v>
      </c>
      <c r="P35" s="142">
        <f>+LOOKUP(O35,'[2]Doc Set'!E:E,'[2]Doc Set'!G:G)</f>
        <v>43493</v>
      </c>
      <c r="Q35" s="55" t="str">
        <f t="shared" si="0"/>
        <v>EH1-INT_D</v>
      </c>
      <c r="R35" s="142">
        <f>+LOOKUP(Q35,'[2]Doc Set'!E:E,'[2]Doc Set'!H:H)</f>
        <v>43521</v>
      </c>
      <c r="S35" s="143" t="s">
        <v>200</v>
      </c>
    </row>
    <row r="36" spans="1:19" x14ac:dyDescent="0.3">
      <c r="A36" s="156" t="s">
        <v>40</v>
      </c>
      <c r="B36" s="157" t="s">
        <v>190</v>
      </c>
      <c r="C36" s="157" t="s">
        <v>191</v>
      </c>
      <c r="D36" s="158" t="s">
        <v>64</v>
      </c>
      <c r="E36" s="55" t="s">
        <v>193</v>
      </c>
      <c r="F36" s="55" t="s">
        <v>194</v>
      </c>
      <c r="G36" s="55" t="s">
        <v>319</v>
      </c>
      <c r="H36" s="55" t="s">
        <v>785</v>
      </c>
      <c r="I36" s="139" t="s">
        <v>51</v>
      </c>
      <c r="J36" s="159" t="s">
        <v>786</v>
      </c>
      <c r="K36" s="55">
        <v>20038918</v>
      </c>
      <c r="L36" s="55" t="s">
        <v>198</v>
      </c>
      <c r="M36" s="141" t="str">
        <f t="shared" si="1"/>
        <v>EH1-INT_D</v>
      </c>
      <c r="N36" s="142" t="str">
        <f>LOOKUP(M36,'[2]Doc Set'!E:E,'[2]Doc Set'!F:F)</f>
        <v>_</v>
      </c>
      <c r="O36" s="141" t="s">
        <v>714</v>
      </c>
      <c r="P36" s="142">
        <f>+LOOKUP(O36,'[2]Doc Set'!E:E,'[2]Doc Set'!G:G)</f>
        <v>43493</v>
      </c>
      <c r="Q36" s="55" t="str">
        <f t="shared" si="0"/>
        <v>EH1-INT_D</v>
      </c>
      <c r="R36" s="142">
        <f>+LOOKUP(Q36,'[2]Doc Set'!E:E,'[2]Doc Set'!H:H)</f>
        <v>43521</v>
      </c>
      <c r="S36" s="143" t="s">
        <v>200</v>
      </c>
    </row>
    <row r="37" spans="1:19" x14ac:dyDescent="0.3">
      <c r="A37" s="156" t="s">
        <v>40</v>
      </c>
      <c r="B37" s="157" t="s">
        <v>190</v>
      </c>
      <c r="C37" s="157" t="s">
        <v>191</v>
      </c>
      <c r="D37" s="158" t="s">
        <v>64</v>
      </c>
      <c r="E37" s="55" t="s">
        <v>193</v>
      </c>
      <c r="F37" s="55" t="s">
        <v>194</v>
      </c>
      <c r="G37" s="55" t="s">
        <v>325</v>
      </c>
      <c r="H37" s="55" t="s">
        <v>787</v>
      </c>
      <c r="I37" s="139" t="s">
        <v>51</v>
      </c>
      <c r="J37" s="159" t="s">
        <v>788</v>
      </c>
      <c r="K37" s="55">
        <v>20038918</v>
      </c>
      <c r="L37" s="55" t="s">
        <v>198</v>
      </c>
      <c r="M37" s="141" t="str">
        <f t="shared" si="1"/>
        <v>EH1-INT_D</v>
      </c>
      <c r="N37" s="142" t="str">
        <f>LOOKUP(M37,'[2]Doc Set'!E:E,'[2]Doc Set'!F:F)</f>
        <v>_</v>
      </c>
      <c r="O37" s="141" t="s">
        <v>714</v>
      </c>
      <c r="P37" s="142">
        <f>+LOOKUP(O37,'[2]Doc Set'!E:E,'[2]Doc Set'!G:G)</f>
        <v>43493</v>
      </c>
      <c r="Q37" s="55" t="str">
        <f t="shared" si="0"/>
        <v>EH1-INT_D</v>
      </c>
      <c r="R37" s="142">
        <f>+LOOKUP(Q37,'[2]Doc Set'!E:E,'[2]Doc Set'!H:H)</f>
        <v>43521</v>
      </c>
      <c r="S37" s="143" t="s">
        <v>200</v>
      </c>
    </row>
    <row r="38" spans="1:19" x14ac:dyDescent="0.3">
      <c r="A38" s="156" t="s">
        <v>40</v>
      </c>
      <c r="B38" s="157" t="s">
        <v>190</v>
      </c>
      <c r="C38" s="157" t="s">
        <v>191</v>
      </c>
      <c r="D38" s="158" t="s">
        <v>64</v>
      </c>
      <c r="E38" s="55" t="s">
        <v>193</v>
      </c>
      <c r="F38" s="55" t="s">
        <v>194</v>
      </c>
      <c r="G38" s="55" t="s">
        <v>328</v>
      </c>
      <c r="H38" s="55" t="s">
        <v>789</v>
      </c>
      <c r="I38" s="139" t="s">
        <v>51</v>
      </c>
      <c r="J38" s="159" t="s">
        <v>790</v>
      </c>
      <c r="K38" s="55">
        <v>20038918</v>
      </c>
      <c r="L38" s="55" t="s">
        <v>198</v>
      </c>
      <c r="M38" s="141" t="str">
        <f t="shared" si="1"/>
        <v>EH1-INT_D</v>
      </c>
      <c r="N38" s="142" t="str">
        <f>LOOKUP(M38,'[2]Doc Set'!E:E,'[2]Doc Set'!F:F)</f>
        <v>_</v>
      </c>
      <c r="O38" s="141" t="s">
        <v>714</v>
      </c>
      <c r="P38" s="142">
        <f>+LOOKUP(O38,'[2]Doc Set'!E:E,'[2]Doc Set'!G:G)</f>
        <v>43493</v>
      </c>
      <c r="Q38" s="55" t="str">
        <f t="shared" si="0"/>
        <v>EH1-INT_D</v>
      </c>
      <c r="R38" s="142">
        <f>+LOOKUP(Q38,'[2]Doc Set'!E:E,'[2]Doc Set'!H:H)</f>
        <v>43521</v>
      </c>
      <c r="S38" s="143" t="s">
        <v>200</v>
      </c>
    </row>
    <row r="39" spans="1:19" x14ac:dyDescent="0.3">
      <c r="A39" s="156" t="s">
        <v>40</v>
      </c>
      <c r="B39" s="157" t="s">
        <v>190</v>
      </c>
      <c r="C39" s="157" t="s">
        <v>191</v>
      </c>
      <c r="D39" s="158" t="s">
        <v>64</v>
      </c>
      <c r="E39" s="55" t="s">
        <v>193</v>
      </c>
      <c r="F39" s="55" t="s">
        <v>194</v>
      </c>
      <c r="G39" s="55" t="s">
        <v>331</v>
      </c>
      <c r="H39" s="55" t="s">
        <v>791</v>
      </c>
      <c r="I39" s="139" t="s">
        <v>51</v>
      </c>
      <c r="J39" s="159" t="s">
        <v>792</v>
      </c>
      <c r="K39" s="55">
        <v>20038918</v>
      </c>
      <c r="L39" s="55" t="s">
        <v>198</v>
      </c>
      <c r="M39" s="141" t="str">
        <f t="shared" si="1"/>
        <v>EH1-INT_D</v>
      </c>
      <c r="N39" s="142" t="str">
        <f>LOOKUP(M39,'[2]Doc Set'!E:E,'[2]Doc Set'!F:F)</f>
        <v>_</v>
      </c>
      <c r="O39" s="141" t="s">
        <v>714</v>
      </c>
      <c r="P39" s="142">
        <f>+LOOKUP(O39,'[2]Doc Set'!E:E,'[2]Doc Set'!G:G)</f>
        <v>43493</v>
      </c>
      <c r="Q39" s="55" t="str">
        <f t="shared" si="0"/>
        <v>EH1-INT_D</v>
      </c>
      <c r="R39" s="142">
        <f>+LOOKUP(Q39,'[2]Doc Set'!E:E,'[2]Doc Set'!H:H)</f>
        <v>43521</v>
      </c>
      <c r="S39" s="143" t="s">
        <v>200</v>
      </c>
    </row>
    <row r="40" spans="1:19" x14ac:dyDescent="0.3">
      <c r="A40" s="156" t="s">
        <v>40</v>
      </c>
      <c r="B40" s="157" t="s">
        <v>190</v>
      </c>
      <c r="C40" s="157" t="s">
        <v>191</v>
      </c>
      <c r="D40" s="158" t="s">
        <v>64</v>
      </c>
      <c r="E40" s="55" t="s">
        <v>193</v>
      </c>
      <c r="F40" s="55" t="s">
        <v>194</v>
      </c>
      <c r="G40" s="55" t="s">
        <v>334</v>
      </c>
      <c r="H40" s="55" t="s">
        <v>793</v>
      </c>
      <c r="I40" s="139" t="s">
        <v>51</v>
      </c>
      <c r="J40" s="159" t="s">
        <v>794</v>
      </c>
      <c r="K40" s="55">
        <v>20038918</v>
      </c>
      <c r="L40" s="55" t="s">
        <v>198</v>
      </c>
      <c r="M40" s="141" t="str">
        <f t="shared" si="1"/>
        <v>EH1-INT_D</v>
      </c>
      <c r="N40" s="142" t="str">
        <f>LOOKUP(M40,'[2]Doc Set'!E:E,'[2]Doc Set'!F:F)</f>
        <v>_</v>
      </c>
      <c r="O40" s="141" t="s">
        <v>714</v>
      </c>
      <c r="P40" s="142">
        <f>+LOOKUP(O40,'[2]Doc Set'!E:E,'[2]Doc Set'!G:G)</f>
        <v>43493</v>
      </c>
      <c r="Q40" s="55" t="str">
        <f t="shared" si="0"/>
        <v>EH1-INT_D</v>
      </c>
      <c r="R40" s="142">
        <f>+LOOKUP(Q40,'[2]Doc Set'!E:E,'[2]Doc Set'!H:H)</f>
        <v>43521</v>
      </c>
      <c r="S40" s="143" t="s">
        <v>200</v>
      </c>
    </row>
    <row r="41" spans="1:19" x14ac:dyDescent="0.3">
      <c r="A41" s="156" t="s">
        <v>40</v>
      </c>
      <c r="B41" s="157" t="s">
        <v>190</v>
      </c>
      <c r="C41" s="157" t="s">
        <v>191</v>
      </c>
      <c r="D41" s="158" t="s">
        <v>64</v>
      </c>
      <c r="E41" s="55" t="s">
        <v>193</v>
      </c>
      <c r="F41" s="55" t="s">
        <v>194</v>
      </c>
      <c r="G41" s="55" t="s">
        <v>337</v>
      </c>
      <c r="H41" s="55" t="s">
        <v>795</v>
      </c>
      <c r="I41" s="139" t="s">
        <v>51</v>
      </c>
      <c r="J41" s="159" t="s">
        <v>796</v>
      </c>
      <c r="K41" s="55">
        <v>20038918</v>
      </c>
      <c r="L41" s="55" t="s">
        <v>198</v>
      </c>
      <c r="M41" s="141" t="str">
        <f t="shared" si="1"/>
        <v>EH1-INT_D</v>
      </c>
      <c r="N41" s="142" t="str">
        <f>LOOKUP(M41,'[2]Doc Set'!E:E,'[2]Doc Set'!F:F)</f>
        <v>_</v>
      </c>
      <c r="O41" s="141" t="s">
        <v>714</v>
      </c>
      <c r="P41" s="142">
        <f>+LOOKUP(O41,'[2]Doc Set'!E:E,'[2]Doc Set'!G:G)</f>
        <v>43493</v>
      </c>
      <c r="Q41" s="55" t="str">
        <f t="shared" si="0"/>
        <v>EH1-INT_D</v>
      </c>
      <c r="R41" s="142">
        <f>+LOOKUP(Q41,'[2]Doc Set'!E:E,'[2]Doc Set'!H:H)</f>
        <v>43521</v>
      </c>
      <c r="S41" s="143" t="s">
        <v>200</v>
      </c>
    </row>
    <row r="42" spans="1:19" x14ac:dyDescent="0.3">
      <c r="A42" s="156" t="s">
        <v>40</v>
      </c>
      <c r="B42" s="157" t="s">
        <v>190</v>
      </c>
      <c r="C42" s="157" t="s">
        <v>191</v>
      </c>
      <c r="D42" s="158" t="s">
        <v>64</v>
      </c>
      <c r="E42" s="55" t="s">
        <v>193</v>
      </c>
      <c r="F42" s="55" t="s">
        <v>194</v>
      </c>
      <c r="G42" s="55" t="s">
        <v>340</v>
      </c>
      <c r="H42" s="55" t="s">
        <v>797</v>
      </c>
      <c r="I42" s="139" t="s">
        <v>51</v>
      </c>
      <c r="J42" s="159" t="s">
        <v>798</v>
      </c>
      <c r="K42" s="55">
        <v>20038918</v>
      </c>
      <c r="L42" s="55" t="s">
        <v>198</v>
      </c>
      <c r="M42" s="141" t="str">
        <f t="shared" si="1"/>
        <v>EH1-INT_D</v>
      </c>
      <c r="N42" s="142" t="str">
        <f>LOOKUP(M42,'[2]Doc Set'!E:E,'[2]Doc Set'!F:F)</f>
        <v>_</v>
      </c>
      <c r="O42" s="141" t="s">
        <v>714</v>
      </c>
      <c r="P42" s="142">
        <f>+LOOKUP(O42,'[2]Doc Set'!E:E,'[2]Doc Set'!G:G)</f>
        <v>43493</v>
      </c>
      <c r="Q42" s="55" t="str">
        <f t="shared" si="0"/>
        <v>EH1-INT_D</v>
      </c>
      <c r="R42" s="142">
        <f>+LOOKUP(Q42,'[2]Doc Set'!E:E,'[2]Doc Set'!H:H)</f>
        <v>43521</v>
      </c>
      <c r="S42" s="143" t="s">
        <v>200</v>
      </c>
    </row>
    <row r="43" spans="1:19" x14ac:dyDescent="0.3">
      <c r="A43" s="156" t="s">
        <v>40</v>
      </c>
      <c r="B43" s="157" t="s">
        <v>190</v>
      </c>
      <c r="C43" s="157" t="s">
        <v>191</v>
      </c>
      <c r="D43" s="158" t="s">
        <v>64</v>
      </c>
      <c r="E43" s="55" t="s">
        <v>193</v>
      </c>
      <c r="F43" s="55" t="s">
        <v>194</v>
      </c>
      <c r="G43" s="55" t="s">
        <v>799</v>
      </c>
      <c r="H43" s="55" t="s">
        <v>800</v>
      </c>
      <c r="I43" s="139" t="s">
        <v>51</v>
      </c>
      <c r="J43" s="159" t="s">
        <v>801</v>
      </c>
      <c r="K43" s="55">
        <v>20038918</v>
      </c>
      <c r="L43" s="55" t="s">
        <v>198</v>
      </c>
      <c r="M43" s="141" t="str">
        <f t="shared" si="1"/>
        <v>EH1-INT_D</v>
      </c>
      <c r="N43" s="142" t="str">
        <f>LOOKUP(M43,'[2]Doc Set'!E:E,'[2]Doc Set'!F:F)</f>
        <v>_</v>
      </c>
      <c r="O43" s="141" t="s">
        <v>714</v>
      </c>
      <c r="P43" s="142">
        <f>+LOOKUP(O43,'[2]Doc Set'!E:E,'[2]Doc Set'!G:G)</f>
        <v>43493</v>
      </c>
      <c r="Q43" s="55" t="str">
        <f t="shared" si="0"/>
        <v>EH1-INT_D</v>
      </c>
      <c r="R43" s="142">
        <f>+LOOKUP(Q43,'[2]Doc Set'!E:E,'[2]Doc Set'!H:H)</f>
        <v>43521</v>
      </c>
      <c r="S43" s="143" t="s">
        <v>200</v>
      </c>
    </row>
    <row r="44" spans="1:19" x14ac:dyDescent="0.3">
      <c r="A44" s="156" t="s">
        <v>40</v>
      </c>
      <c r="B44" s="157" t="s">
        <v>190</v>
      </c>
      <c r="C44" s="157" t="s">
        <v>191</v>
      </c>
      <c r="D44" s="158" t="s">
        <v>64</v>
      </c>
      <c r="E44" s="55" t="s">
        <v>193</v>
      </c>
      <c r="F44" s="55" t="s">
        <v>194</v>
      </c>
      <c r="G44" s="55" t="s">
        <v>491</v>
      </c>
      <c r="H44" s="55" t="s">
        <v>802</v>
      </c>
      <c r="I44" s="139" t="s">
        <v>51</v>
      </c>
      <c r="J44" s="159" t="s">
        <v>803</v>
      </c>
      <c r="K44" s="55">
        <v>20038918</v>
      </c>
      <c r="L44" s="55" t="s">
        <v>198</v>
      </c>
      <c r="M44" s="141" t="str">
        <f t="shared" si="1"/>
        <v>EH1-INT_D</v>
      </c>
      <c r="N44" s="142" t="str">
        <f>LOOKUP(M44,'[2]Doc Set'!E:E,'[2]Doc Set'!F:F)</f>
        <v>_</v>
      </c>
      <c r="O44" s="141" t="s">
        <v>714</v>
      </c>
      <c r="P44" s="142">
        <f>+LOOKUP(O44,'[2]Doc Set'!E:E,'[2]Doc Set'!G:G)</f>
        <v>43493</v>
      </c>
      <c r="Q44" s="55" t="str">
        <f t="shared" si="0"/>
        <v>EH1-INT_D</v>
      </c>
      <c r="R44" s="142">
        <f>+LOOKUP(Q44,'[2]Doc Set'!E:E,'[2]Doc Set'!H:H)</f>
        <v>43521</v>
      </c>
      <c r="S44" s="143" t="s">
        <v>200</v>
      </c>
    </row>
    <row r="45" spans="1:19" x14ac:dyDescent="0.3">
      <c r="A45" s="156" t="s">
        <v>40</v>
      </c>
      <c r="B45" s="157" t="s">
        <v>190</v>
      </c>
      <c r="C45" s="157" t="s">
        <v>191</v>
      </c>
      <c r="D45" s="158" t="s">
        <v>64</v>
      </c>
      <c r="E45" s="55" t="s">
        <v>193</v>
      </c>
      <c r="F45" s="55" t="s">
        <v>194</v>
      </c>
      <c r="G45" s="55" t="s">
        <v>518</v>
      </c>
      <c r="H45" s="55" t="s">
        <v>804</v>
      </c>
      <c r="I45" s="139" t="s">
        <v>51</v>
      </c>
      <c r="J45" s="159" t="s">
        <v>805</v>
      </c>
      <c r="K45" s="55">
        <v>20038918</v>
      </c>
      <c r="L45" s="55" t="s">
        <v>198</v>
      </c>
      <c r="M45" s="141" t="str">
        <f t="shared" si="1"/>
        <v>EH1-INT_D</v>
      </c>
      <c r="N45" s="142" t="str">
        <f>LOOKUP(M45,'[2]Doc Set'!E:E,'[2]Doc Set'!F:F)</f>
        <v>_</v>
      </c>
      <c r="O45" s="141" t="s">
        <v>714</v>
      </c>
      <c r="P45" s="142">
        <f>+LOOKUP(O45,'[2]Doc Set'!E:E,'[2]Doc Set'!G:G)</f>
        <v>43493</v>
      </c>
      <c r="Q45" s="55" t="str">
        <f t="shared" si="0"/>
        <v>EH1-INT_D</v>
      </c>
      <c r="R45" s="142">
        <f>+LOOKUP(Q45,'[2]Doc Set'!E:E,'[2]Doc Set'!H:H)</f>
        <v>43521</v>
      </c>
      <c r="S45" s="143" t="s">
        <v>200</v>
      </c>
    </row>
    <row r="46" spans="1:19" x14ac:dyDescent="0.3">
      <c r="A46" s="156" t="s">
        <v>40</v>
      </c>
      <c r="B46" s="157" t="s">
        <v>190</v>
      </c>
      <c r="C46" s="157" t="s">
        <v>191</v>
      </c>
      <c r="D46" s="158" t="s">
        <v>64</v>
      </c>
      <c r="E46" s="55" t="s">
        <v>193</v>
      </c>
      <c r="F46" s="55" t="s">
        <v>194</v>
      </c>
      <c r="G46" s="55" t="s">
        <v>494</v>
      </c>
      <c r="H46" s="55" t="s">
        <v>806</v>
      </c>
      <c r="I46" s="139" t="s">
        <v>51</v>
      </c>
      <c r="J46" s="159" t="s">
        <v>807</v>
      </c>
      <c r="K46" s="55">
        <v>20038918</v>
      </c>
      <c r="L46" s="55" t="s">
        <v>198</v>
      </c>
      <c r="M46" s="141" t="str">
        <f t="shared" si="1"/>
        <v>EH1-INT_D</v>
      </c>
      <c r="N46" s="142" t="str">
        <f>LOOKUP(M46,'[2]Doc Set'!E:E,'[2]Doc Set'!F:F)</f>
        <v>_</v>
      </c>
      <c r="O46" s="141" t="s">
        <v>714</v>
      </c>
      <c r="P46" s="142">
        <f>+LOOKUP(O46,'[2]Doc Set'!E:E,'[2]Doc Set'!G:G)</f>
        <v>43493</v>
      </c>
      <c r="Q46" s="55" t="str">
        <f t="shared" si="0"/>
        <v>EH1-INT_D</v>
      </c>
      <c r="R46" s="142">
        <f>+LOOKUP(Q46,'[2]Doc Set'!E:E,'[2]Doc Set'!H:H)</f>
        <v>43521</v>
      </c>
      <c r="S46" s="143" t="s">
        <v>200</v>
      </c>
    </row>
    <row r="47" spans="1:19" x14ac:dyDescent="0.3">
      <c r="A47" s="156" t="s">
        <v>40</v>
      </c>
      <c r="B47" s="157" t="s">
        <v>190</v>
      </c>
      <c r="C47" s="157" t="s">
        <v>191</v>
      </c>
      <c r="D47" s="158" t="s">
        <v>64</v>
      </c>
      <c r="E47" s="55" t="s">
        <v>193</v>
      </c>
      <c r="F47" s="55" t="s">
        <v>194</v>
      </c>
      <c r="G47" s="55" t="s">
        <v>497</v>
      </c>
      <c r="H47" s="55" t="s">
        <v>808</v>
      </c>
      <c r="I47" s="139" t="s">
        <v>51</v>
      </c>
      <c r="J47" s="159" t="s">
        <v>809</v>
      </c>
      <c r="K47" s="55">
        <v>20038918</v>
      </c>
      <c r="L47" s="55" t="s">
        <v>198</v>
      </c>
      <c r="M47" s="141" t="str">
        <f t="shared" si="1"/>
        <v>EH1-INT_D</v>
      </c>
      <c r="N47" s="142" t="str">
        <f>LOOKUP(M47,'[2]Doc Set'!E:E,'[2]Doc Set'!F:F)</f>
        <v>_</v>
      </c>
      <c r="O47" s="141" t="s">
        <v>714</v>
      </c>
      <c r="P47" s="142">
        <f>+LOOKUP(O47,'[2]Doc Set'!E:E,'[2]Doc Set'!G:G)</f>
        <v>43493</v>
      </c>
      <c r="Q47" s="55" t="str">
        <f t="shared" si="0"/>
        <v>EH1-INT_D</v>
      </c>
      <c r="R47" s="142">
        <f>+LOOKUP(Q47,'[2]Doc Set'!E:E,'[2]Doc Set'!H:H)</f>
        <v>43521</v>
      </c>
      <c r="S47" s="143" t="s">
        <v>200</v>
      </c>
    </row>
    <row r="48" spans="1:19" x14ac:dyDescent="0.3">
      <c r="A48" s="156" t="s">
        <v>40</v>
      </c>
      <c r="B48" s="157" t="s">
        <v>190</v>
      </c>
      <c r="C48" s="157" t="s">
        <v>191</v>
      </c>
      <c r="D48" s="158" t="s">
        <v>64</v>
      </c>
      <c r="E48" s="55" t="s">
        <v>193</v>
      </c>
      <c r="F48" s="55" t="s">
        <v>194</v>
      </c>
      <c r="G48" s="55" t="s">
        <v>500</v>
      </c>
      <c r="H48" s="55" t="s">
        <v>810</v>
      </c>
      <c r="I48" s="139" t="s">
        <v>51</v>
      </c>
      <c r="J48" s="159" t="s">
        <v>811</v>
      </c>
      <c r="K48" s="55">
        <v>20038918</v>
      </c>
      <c r="L48" s="55" t="s">
        <v>198</v>
      </c>
      <c r="M48" s="141" t="str">
        <f t="shared" si="1"/>
        <v>EH1-INT_D</v>
      </c>
      <c r="N48" s="142" t="str">
        <f>LOOKUP(M48,'[2]Doc Set'!E:E,'[2]Doc Set'!F:F)</f>
        <v>_</v>
      </c>
      <c r="O48" s="141" t="s">
        <v>714</v>
      </c>
      <c r="P48" s="142">
        <f>+LOOKUP(O48,'[2]Doc Set'!E:E,'[2]Doc Set'!G:G)</f>
        <v>43493</v>
      </c>
      <c r="Q48" s="55" t="str">
        <f t="shared" si="0"/>
        <v>EH1-INT_D</v>
      </c>
      <c r="R48" s="142">
        <f>+LOOKUP(Q48,'[2]Doc Set'!E:E,'[2]Doc Set'!H:H)</f>
        <v>43521</v>
      </c>
      <c r="S48" s="143" t="s">
        <v>200</v>
      </c>
    </row>
    <row r="49" spans="1:19" x14ac:dyDescent="0.3">
      <c r="A49" s="156" t="s">
        <v>40</v>
      </c>
      <c r="B49" s="157" t="s">
        <v>190</v>
      </c>
      <c r="C49" s="157" t="s">
        <v>191</v>
      </c>
      <c r="D49" s="158" t="s">
        <v>64</v>
      </c>
      <c r="E49" s="55" t="s">
        <v>193</v>
      </c>
      <c r="F49" s="55" t="s">
        <v>194</v>
      </c>
      <c r="G49" s="55" t="s">
        <v>503</v>
      </c>
      <c r="H49" s="55" t="s">
        <v>812</v>
      </c>
      <c r="I49" s="139" t="s">
        <v>51</v>
      </c>
      <c r="J49" s="159" t="s">
        <v>813</v>
      </c>
      <c r="K49" s="55">
        <v>20038918</v>
      </c>
      <c r="L49" s="55" t="s">
        <v>198</v>
      </c>
      <c r="M49" s="141" t="str">
        <f t="shared" si="1"/>
        <v>EH1-INT_D</v>
      </c>
      <c r="N49" s="142" t="str">
        <f>LOOKUP(M49,'[2]Doc Set'!E:E,'[2]Doc Set'!F:F)</f>
        <v>_</v>
      </c>
      <c r="O49" s="141" t="s">
        <v>714</v>
      </c>
      <c r="P49" s="142">
        <f>+LOOKUP(O49,'[2]Doc Set'!E:E,'[2]Doc Set'!G:G)</f>
        <v>43493</v>
      </c>
      <c r="Q49" s="55" t="str">
        <f t="shared" si="0"/>
        <v>EH1-INT_D</v>
      </c>
      <c r="R49" s="142">
        <f>+LOOKUP(Q49,'[2]Doc Set'!E:E,'[2]Doc Set'!H:H)</f>
        <v>43521</v>
      </c>
      <c r="S49" s="143" t="s">
        <v>200</v>
      </c>
    </row>
    <row r="50" spans="1:19" ht="28.8" x14ac:dyDescent="0.3">
      <c r="A50" s="156" t="s">
        <v>40</v>
      </c>
      <c r="B50" s="157" t="s">
        <v>190</v>
      </c>
      <c r="C50" s="157" t="s">
        <v>191</v>
      </c>
      <c r="D50" s="158" t="s">
        <v>64</v>
      </c>
      <c r="E50" s="55" t="s">
        <v>193</v>
      </c>
      <c r="F50" s="55" t="s">
        <v>521</v>
      </c>
      <c r="G50" s="55" t="s">
        <v>522</v>
      </c>
      <c r="H50" s="55" t="s">
        <v>814</v>
      </c>
      <c r="I50" s="139" t="s">
        <v>51</v>
      </c>
      <c r="J50" s="159" t="s">
        <v>815</v>
      </c>
      <c r="K50" s="55">
        <v>20038918</v>
      </c>
      <c r="L50" s="55" t="s">
        <v>198</v>
      </c>
      <c r="M50" s="141" t="str">
        <f t="shared" si="1"/>
        <v>EH1-INT_D</v>
      </c>
      <c r="N50" s="142" t="str">
        <f>LOOKUP(M50,'[2]Doc Set'!E:E,'[2]Doc Set'!F:F)</f>
        <v>_</v>
      </c>
      <c r="O50" s="141" t="s">
        <v>714</v>
      </c>
      <c r="P50" s="142">
        <f>+LOOKUP(O50,'[2]Doc Set'!E:E,'[2]Doc Set'!G:G)</f>
        <v>43493</v>
      </c>
      <c r="Q50" s="55" t="str">
        <f t="shared" si="0"/>
        <v>EH1-INT_D</v>
      </c>
      <c r="R50" s="142">
        <f>+LOOKUP(Q50,'[2]Doc Set'!E:E,'[2]Doc Set'!H:H)</f>
        <v>43521</v>
      </c>
      <c r="S50" s="143" t="s">
        <v>200</v>
      </c>
    </row>
    <row r="51" spans="1:19" ht="28.8" x14ac:dyDescent="0.3">
      <c r="A51" s="156" t="s">
        <v>40</v>
      </c>
      <c r="B51" s="157" t="s">
        <v>190</v>
      </c>
      <c r="C51" s="157" t="s">
        <v>191</v>
      </c>
      <c r="D51" s="158" t="s">
        <v>64</v>
      </c>
      <c r="E51" s="55" t="s">
        <v>193</v>
      </c>
      <c r="F51" s="55" t="s">
        <v>521</v>
      </c>
      <c r="G51" s="55" t="s">
        <v>525</v>
      </c>
      <c r="H51" s="55" t="s">
        <v>816</v>
      </c>
      <c r="I51" s="139" t="s">
        <v>51</v>
      </c>
      <c r="J51" s="159" t="s">
        <v>817</v>
      </c>
      <c r="K51" s="55">
        <v>20038918</v>
      </c>
      <c r="L51" s="55" t="s">
        <v>198</v>
      </c>
      <c r="M51" s="141" t="str">
        <f t="shared" si="1"/>
        <v>EH1-INT_D</v>
      </c>
      <c r="N51" s="142" t="str">
        <f>LOOKUP(M51,'[2]Doc Set'!E:E,'[2]Doc Set'!F:F)</f>
        <v>_</v>
      </c>
      <c r="O51" s="141" t="s">
        <v>714</v>
      </c>
      <c r="P51" s="142">
        <f>+LOOKUP(O51,'[2]Doc Set'!E:E,'[2]Doc Set'!G:G)</f>
        <v>43493</v>
      </c>
      <c r="Q51" s="55" t="str">
        <f t="shared" si="0"/>
        <v>EH1-INT_D</v>
      </c>
      <c r="R51" s="142">
        <f>+LOOKUP(Q51,'[2]Doc Set'!E:E,'[2]Doc Set'!H:H)</f>
        <v>43521</v>
      </c>
      <c r="S51" s="143" t="s">
        <v>200</v>
      </c>
    </row>
    <row r="52" spans="1:19" ht="28.8" x14ac:dyDescent="0.3">
      <c r="A52" s="156" t="s">
        <v>40</v>
      </c>
      <c r="B52" s="157" t="s">
        <v>190</v>
      </c>
      <c r="C52" s="157" t="s">
        <v>191</v>
      </c>
      <c r="D52" s="158" t="s">
        <v>64</v>
      </c>
      <c r="E52" s="55" t="s">
        <v>193</v>
      </c>
      <c r="F52" s="55" t="s">
        <v>521</v>
      </c>
      <c r="G52" s="55" t="s">
        <v>528</v>
      </c>
      <c r="H52" s="55" t="s">
        <v>818</v>
      </c>
      <c r="I52" s="139" t="s">
        <v>51</v>
      </c>
      <c r="J52" s="159" t="s">
        <v>819</v>
      </c>
      <c r="K52" s="55">
        <v>20038918</v>
      </c>
      <c r="L52" s="55" t="s">
        <v>198</v>
      </c>
      <c r="M52" s="141" t="str">
        <f t="shared" si="1"/>
        <v>EH1-INT_D</v>
      </c>
      <c r="N52" s="142" t="str">
        <f>LOOKUP(M52,'[2]Doc Set'!E:E,'[2]Doc Set'!F:F)</f>
        <v>_</v>
      </c>
      <c r="O52" s="141" t="s">
        <v>714</v>
      </c>
      <c r="P52" s="142">
        <f>+LOOKUP(O52,'[2]Doc Set'!E:E,'[2]Doc Set'!G:G)</f>
        <v>43493</v>
      </c>
      <c r="Q52" s="55" t="str">
        <f t="shared" si="0"/>
        <v>EH1-INT_D</v>
      </c>
      <c r="R52" s="142">
        <f>+LOOKUP(Q52,'[2]Doc Set'!E:E,'[2]Doc Set'!H:H)</f>
        <v>43521</v>
      </c>
      <c r="S52" s="143" t="s">
        <v>200</v>
      </c>
    </row>
    <row r="53" spans="1:19" ht="28.8" x14ac:dyDescent="0.3">
      <c r="A53" s="156" t="s">
        <v>40</v>
      </c>
      <c r="B53" s="157" t="s">
        <v>190</v>
      </c>
      <c r="C53" s="157" t="s">
        <v>191</v>
      </c>
      <c r="D53" s="158" t="s">
        <v>64</v>
      </c>
      <c r="E53" s="55" t="s">
        <v>193</v>
      </c>
      <c r="F53" s="55" t="s">
        <v>521</v>
      </c>
      <c r="G53" s="55" t="s">
        <v>820</v>
      </c>
      <c r="H53" s="55" t="s">
        <v>821</v>
      </c>
      <c r="I53" s="139" t="s">
        <v>51</v>
      </c>
      <c r="J53" s="159" t="s">
        <v>822</v>
      </c>
      <c r="K53" s="55">
        <v>20038918</v>
      </c>
      <c r="L53" s="55" t="s">
        <v>198</v>
      </c>
      <c r="M53" s="141" t="str">
        <f t="shared" si="1"/>
        <v>EH1-INT_D</v>
      </c>
      <c r="N53" s="142" t="str">
        <f>LOOKUP(M53,'[2]Doc Set'!E:E,'[2]Doc Set'!F:F)</f>
        <v>_</v>
      </c>
      <c r="O53" s="141" t="s">
        <v>714</v>
      </c>
      <c r="P53" s="142">
        <f>+LOOKUP(O53,'[2]Doc Set'!E:E,'[2]Doc Set'!G:G)</f>
        <v>43493</v>
      </c>
      <c r="Q53" s="55" t="str">
        <f t="shared" si="0"/>
        <v>EH1-INT_D</v>
      </c>
      <c r="R53" s="142">
        <f>+LOOKUP(Q53,'[2]Doc Set'!E:E,'[2]Doc Set'!H:H)</f>
        <v>43521</v>
      </c>
      <c r="S53" s="143" t="s">
        <v>200</v>
      </c>
    </row>
    <row r="54" spans="1:19" ht="28.8" x14ac:dyDescent="0.3">
      <c r="A54" s="156" t="s">
        <v>40</v>
      </c>
      <c r="B54" s="157" t="s">
        <v>190</v>
      </c>
      <c r="C54" s="157" t="s">
        <v>191</v>
      </c>
      <c r="D54" s="158" t="s">
        <v>64</v>
      </c>
      <c r="E54" s="55" t="s">
        <v>193</v>
      </c>
      <c r="F54" s="55" t="s">
        <v>521</v>
      </c>
      <c r="G54" s="55" t="s">
        <v>823</v>
      </c>
      <c r="H54" s="55" t="s">
        <v>824</v>
      </c>
      <c r="I54" s="139" t="s">
        <v>51</v>
      </c>
      <c r="J54" s="159" t="s">
        <v>825</v>
      </c>
      <c r="K54" s="55">
        <v>20038918</v>
      </c>
      <c r="L54" s="55" t="s">
        <v>198</v>
      </c>
      <c r="M54" s="141" t="str">
        <f t="shared" si="1"/>
        <v>EH1-INT_D</v>
      </c>
      <c r="N54" s="142" t="str">
        <f>LOOKUP(M54,'[2]Doc Set'!E:E,'[2]Doc Set'!F:F)</f>
        <v>_</v>
      </c>
      <c r="O54" s="141" t="s">
        <v>714</v>
      </c>
      <c r="P54" s="142">
        <f>+LOOKUP(O54,'[2]Doc Set'!E:E,'[2]Doc Set'!G:G)</f>
        <v>43493</v>
      </c>
      <c r="Q54" s="55" t="str">
        <f t="shared" si="0"/>
        <v>EH1-INT_D</v>
      </c>
      <c r="R54" s="142">
        <f>+LOOKUP(Q54,'[2]Doc Set'!E:E,'[2]Doc Set'!H:H)</f>
        <v>43521</v>
      </c>
      <c r="S54" s="143" t="s">
        <v>200</v>
      </c>
    </row>
    <row r="55" spans="1:19" x14ac:dyDescent="0.3">
      <c r="A55" s="156" t="s">
        <v>40</v>
      </c>
      <c r="B55" s="157" t="s">
        <v>190</v>
      </c>
      <c r="C55" s="157" t="s">
        <v>191</v>
      </c>
      <c r="D55" s="158" t="s">
        <v>64</v>
      </c>
      <c r="E55" s="55" t="s">
        <v>193</v>
      </c>
      <c r="F55" s="55" t="s">
        <v>451</v>
      </c>
      <c r="G55" s="55" t="s">
        <v>458</v>
      </c>
      <c r="H55" s="55" t="s">
        <v>826</v>
      </c>
      <c r="I55" s="139" t="s">
        <v>134</v>
      </c>
      <c r="J55" s="159" t="s">
        <v>827</v>
      </c>
      <c r="K55" s="55">
        <v>20038918</v>
      </c>
      <c r="L55" s="55" t="s">
        <v>198</v>
      </c>
      <c r="M55" s="141" t="str">
        <f t="shared" si="1"/>
        <v>EH1-INT_D</v>
      </c>
      <c r="N55" s="142" t="str">
        <f>LOOKUP(M55,'[2]Doc Set'!E:E,'[2]Doc Set'!F:F)</f>
        <v>_</v>
      </c>
      <c r="O55" s="141" t="s">
        <v>714</v>
      </c>
      <c r="P55" s="142">
        <f>+LOOKUP(O55,'[2]Doc Set'!E:E,'[2]Doc Set'!G:G)</f>
        <v>43493</v>
      </c>
      <c r="Q55" s="55" t="str">
        <f t="shared" si="0"/>
        <v>EH1-INT_D</v>
      </c>
      <c r="R55" s="142">
        <f>+LOOKUP(Q55,'[2]Doc Set'!E:E,'[2]Doc Set'!H:H)</f>
        <v>43521</v>
      </c>
      <c r="S55" s="143" t="s">
        <v>200</v>
      </c>
    </row>
    <row r="56" spans="1:19" x14ac:dyDescent="0.3">
      <c r="A56" s="156" t="s">
        <v>40</v>
      </c>
      <c r="B56" s="157" t="s">
        <v>190</v>
      </c>
      <c r="C56" s="157" t="s">
        <v>191</v>
      </c>
      <c r="D56" s="158" t="s">
        <v>64</v>
      </c>
      <c r="E56" s="55" t="s">
        <v>193</v>
      </c>
      <c r="F56" s="55" t="s">
        <v>451</v>
      </c>
      <c r="G56" s="55" t="s">
        <v>828</v>
      </c>
      <c r="H56" s="55" t="s">
        <v>829</v>
      </c>
      <c r="I56" s="139" t="s">
        <v>134</v>
      </c>
      <c r="J56" s="159" t="s">
        <v>830</v>
      </c>
      <c r="K56" s="55">
        <v>20038918</v>
      </c>
      <c r="L56" s="55" t="s">
        <v>198</v>
      </c>
      <c r="M56" s="141" t="str">
        <f t="shared" si="1"/>
        <v>EH1-INT_D</v>
      </c>
      <c r="N56" s="142" t="str">
        <f>LOOKUP(M56,'[2]Doc Set'!E:E,'[2]Doc Set'!F:F)</f>
        <v>_</v>
      </c>
      <c r="O56" s="141" t="s">
        <v>714</v>
      </c>
      <c r="P56" s="142">
        <f>+LOOKUP(O56,'[2]Doc Set'!E:E,'[2]Doc Set'!G:G)</f>
        <v>43493</v>
      </c>
      <c r="Q56" s="55" t="str">
        <f t="shared" si="0"/>
        <v>EH1-INT_D</v>
      </c>
      <c r="R56" s="142">
        <f>+LOOKUP(Q56,'[2]Doc Set'!E:E,'[2]Doc Set'!H:H)</f>
        <v>43521</v>
      </c>
      <c r="S56" s="143" t="s">
        <v>200</v>
      </c>
    </row>
    <row r="57" spans="1:19" x14ac:dyDescent="0.3">
      <c r="A57" s="156" t="s">
        <v>40</v>
      </c>
      <c r="B57" s="157" t="s">
        <v>190</v>
      </c>
      <c r="C57" s="157" t="s">
        <v>191</v>
      </c>
      <c r="D57" s="158" t="s">
        <v>64</v>
      </c>
      <c r="E57" s="55" t="s">
        <v>193</v>
      </c>
      <c r="F57" s="55" t="s">
        <v>451</v>
      </c>
      <c r="G57" s="55" t="s">
        <v>461</v>
      </c>
      <c r="H57" s="55" t="s">
        <v>831</v>
      </c>
      <c r="I57" s="139" t="s">
        <v>134</v>
      </c>
      <c r="J57" s="159" t="s">
        <v>832</v>
      </c>
      <c r="K57" s="55">
        <v>20038918</v>
      </c>
      <c r="L57" s="55" t="s">
        <v>198</v>
      </c>
      <c r="M57" s="141" t="str">
        <f t="shared" si="1"/>
        <v>EH1-INT_D</v>
      </c>
      <c r="N57" s="142" t="str">
        <f>LOOKUP(M57,'[2]Doc Set'!E:E,'[2]Doc Set'!F:F)</f>
        <v>_</v>
      </c>
      <c r="O57" s="141" t="s">
        <v>714</v>
      </c>
      <c r="P57" s="142">
        <f>+LOOKUP(O57,'[2]Doc Set'!E:E,'[2]Doc Set'!G:G)</f>
        <v>43493</v>
      </c>
      <c r="Q57" s="55" t="str">
        <f t="shared" si="0"/>
        <v>EH1-INT_D</v>
      </c>
      <c r="R57" s="142">
        <f>+LOOKUP(Q57,'[2]Doc Set'!E:E,'[2]Doc Set'!H:H)</f>
        <v>43521</v>
      </c>
      <c r="S57" s="143" t="s">
        <v>200</v>
      </c>
    </row>
    <row r="58" spans="1:19" x14ac:dyDescent="0.3">
      <c r="A58" s="156" t="s">
        <v>40</v>
      </c>
      <c r="B58" s="157" t="s">
        <v>190</v>
      </c>
      <c r="C58" s="157" t="s">
        <v>191</v>
      </c>
      <c r="D58" s="158" t="s">
        <v>64</v>
      </c>
      <c r="E58" s="55" t="s">
        <v>193</v>
      </c>
      <c r="F58" s="55" t="s">
        <v>451</v>
      </c>
      <c r="G58" s="55" t="s">
        <v>464</v>
      </c>
      <c r="H58" s="55" t="s">
        <v>833</v>
      </c>
      <c r="I58" s="139" t="s">
        <v>134</v>
      </c>
      <c r="J58" s="159" t="s">
        <v>834</v>
      </c>
      <c r="K58" s="55">
        <v>20038918</v>
      </c>
      <c r="L58" s="55" t="s">
        <v>198</v>
      </c>
      <c r="M58" s="141" t="str">
        <f t="shared" si="1"/>
        <v>EH1-INT_D</v>
      </c>
      <c r="N58" s="142" t="str">
        <f>LOOKUP(M58,'[2]Doc Set'!E:E,'[2]Doc Set'!F:F)</f>
        <v>_</v>
      </c>
      <c r="O58" s="141" t="s">
        <v>714</v>
      </c>
      <c r="P58" s="142">
        <f>+LOOKUP(O58,'[2]Doc Set'!E:E,'[2]Doc Set'!G:G)</f>
        <v>43493</v>
      </c>
      <c r="Q58" s="55" t="str">
        <f t="shared" si="0"/>
        <v>EH1-INT_D</v>
      </c>
      <c r="R58" s="142">
        <f>+LOOKUP(Q58,'[2]Doc Set'!E:E,'[2]Doc Set'!H:H)</f>
        <v>43521</v>
      </c>
      <c r="S58" s="143" t="s">
        <v>200</v>
      </c>
    </row>
    <row r="59" spans="1:19" x14ac:dyDescent="0.3">
      <c r="A59" s="156" t="s">
        <v>40</v>
      </c>
      <c r="B59" s="157" t="s">
        <v>190</v>
      </c>
      <c r="C59" s="157" t="s">
        <v>191</v>
      </c>
      <c r="D59" s="158" t="s">
        <v>64</v>
      </c>
      <c r="E59" s="55" t="s">
        <v>193</v>
      </c>
      <c r="F59" s="55" t="s">
        <v>451</v>
      </c>
      <c r="G59" s="55" t="s">
        <v>467</v>
      </c>
      <c r="H59" s="55" t="s">
        <v>835</v>
      </c>
      <c r="I59" s="139" t="s">
        <v>134</v>
      </c>
      <c r="J59" s="159" t="s">
        <v>836</v>
      </c>
      <c r="K59" s="55">
        <v>20038918</v>
      </c>
      <c r="L59" s="55" t="s">
        <v>198</v>
      </c>
      <c r="M59" s="141" t="str">
        <f t="shared" si="1"/>
        <v>EH1-INT_D</v>
      </c>
      <c r="N59" s="142" t="str">
        <f>LOOKUP(M59,'[2]Doc Set'!E:E,'[2]Doc Set'!F:F)</f>
        <v>_</v>
      </c>
      <c r="O59" s="141" t="s">
        <v>714</v>
      </c>
      <c r="P59" s="142">
        <f>+LOOKUP(O59,'[2]Doc Set'!E:E,'[2]Doc Set'!G:G)</f>
        <v>43493</v>
      </c>
      <c r="Q59" s="55" t="str">
        <f t="shared" si="0"/>
        <v>EH1-INT_D</v>
      </c>
      <c r="R59" s="142">
        <f>+LOOKUP(Q59,'[2]Doc Set'!E:E,'[2]Doc Set'!H:H)</f>
        <v>43521</v>
      </c>
      <c r="S59" s="143" t="s">
        <v>200</v>
      </c>
    </row>
    <row r="60" spans="1:19" x14ac:dyDescent="0.3">
      <c r="A60" s="156" t="s">
        <v>40</v>
      </c>
      <c r="B60" s="157" t="s">
        <v>190</v>
      </c>
      <c r="C60" s="157" t="s">
        <v>191</v>
      </c>
      <c r="D60" s="158" t="s">
        <v>64</v>
      </c>
      <c r="E60" s="55" t="s">
        <v>193</v>
      </c>
      <c r="F60" s="55" t="s">
        <v>609</v>
      </c>
      <c r="G60" s="55" t="s">
        <v>635</v>
      </c>
      <c r="H60" s="55" t="s">
        <v>837</v>
      </c>
      <c r="I60" s="139" t="s">
        <v>128</v>
      </c>
      <c r="J60" s="159" t="s">
        <v>838</v>
      </c>
      <c r="K60" s="55">
        <v>20038918</v>
      </c>
      <c r="L60" s="55" t="s">
        <v>198</v>
      </c>
      <c r="M60" s="141" t="str">
        <f t="shared" si="1"/>
        <v>EH1-INT_D</v>
      </c>
      <c r="N60" s="142" t="str">
        <f>LOOKUP(M60,'[2]Doc Set'!E:E,'[2]Doc Set'!F:F)</f>
        <v>_</v>
      </c>
      <c r="O60" s="141" t="s">
        <v>714</v>
      </c>
      <c r="P60" s="142">
        <f>+LOOKUP(O60,'[2]Doc Set'!E:E,'[2]Doc Set'!G:G)</f>
        <v>43493</v>
      </c>
      <c r="Q60" s="55" t="str">
        <f t="shared" si="0"/>
        <v>EH1-INT_D</v>
      </c>
      <c r="R60" s="142">
        <f>+LOOKUP(Q60,'[2]Doc Set'!E:E,'[2]Doc Set'!H:H)</f>
        <v>43521</v>
      </c>
      <c r="S60" s="143" t="s">
        <v>200</v>
      </c>
    </row>
    <row r="61" spans="1:19" x14ac:dyDescent="0.3">
      <c r="A61" s="156" t="s">
        <v>40</v>
      </c>
      <c r="B61" s="157" t="s">
        <v>190</v>
      </c>
      <c r="C61" s="157" t="s">
        <v>191</v>
      </c>
      <c r="D61" s="158" t="s">
        <v>64</v>
      </c>
      <c r="E61" s="55" t="s">
        <v>193</v>
      </c>
      <c r="F61" s="55" t="s">
        <v>609</v>
      </c>
      <c r="G61" s="55" t="s">
        <v>839</v>
      </c>
      <c r="H61" s="55" t="s">
        <v>840</v>
      </c>
      <c r="I61" s="139" t="s">
        <v>128</v>
      </c>
      <c r="J61" s="159" t="s">
        <v>841</v>
      </c>
      <c r="K61" s="55">
        <v>20038918</v>
      </c>
      <c r="L61" s="55" t="s">
        <v>198</v>
      </c>
      <c r="M61" s="141" t="str">
        <f t="shared" si="1"/>
        <v>EH1-INT_D</v>
      </c>
      <c r="N61" s="142" t="str">
        <f>LOOKUP(M61,'[2]Doc Set'!E:E,'[2]Doc Set'!F:F)</f>
        <v>_</v>
      </c>
      <c r="O61" s="141" t="s">
        <v>714</v>
      </c>
      <c r="P61" s="142">
        <f>+LOOKUP(O61,'[2]Doc Set'!E:E,'[2]Doc Set'!G:G)</f>
        <v>43493</v>
      </c>
      <c r="Q61" s="55" t="str">
        <f t="shared" si="0"/>
        <v>EH1-INT_D</v>
      </c>
      <c r="R61" s="142">
        <f>+LOOKUP(Q61,'[2]Doc Set'!E:E,'[2]Doc Set'!H:H)</f>
        <v>43521</v>
      </c>
      <c r="S61" s="143" t="s">
        <v>200</v>
      </c>
    </row>
    <row r="62" spans="1:19" x14ac:dyDescent="0.3">
      <c r="A62" s="156" t="s">
        <v>40</v>
      </c>
      <c r="B62" s="157" t="s">
        <v>190</v>
      </c>
      <c r="C62" s="157" t="s">
        <v>191</v>
      </c>
      <c r="D62" s="158" t="s">
        <v>64</v>
      </c>
      <c r="E62" s="55" t="s">
        <v>193</v>
      </c>
      <c r="F62" s="55" t="s">
        <v>609</v>
      </c>
      <c r="G62" s="55" t="s">
        <v>638</v>
      </c>
      <c r="H62" s="144" t="s">
        <v>842</v>
      </c>
      <c r="I62" s="139" t="s">
        <v>128</v>
      </c>
      <c r="J62" s="159" t="s">
        <v>843</v>
      </c>
      <c r="K62" s="55">
        <v>20038918</v>
      </c>
      <c r="L62" s="55" t="s">
        <v>198</v>
      </c>
      <c r="M62" s="141" t="str">
        <f t="shared" si="1"/>
        <v>EH1-SS_B</v>
      </c>
      <c r="N62" s="142" t="str">
        <f>LOOKUP(M62,'[2]Doc Set'!E:E,'[2]Doc Set'!F:F)</f>
        <v>_</v>
      </c>
      <c r="O62" s="141" t="s">
        <v>844</v>
      </c>
      <c r="P62" s="142">
        <f>+LOOKUP(O62,'[2]Doc Set'!E:E,'[2]Doc Set'!G:G)</f>
        <v>43295</v>
      </c>
      <c r="Q62" s="55" t="str">
        <f t="shared" si="0"/>
        <v>EH1-SS_B</v>
      </c>
      <c r="R62" s="142">
        <f>+LOOKUP(Q62,'[2]Doc Set'!E:E,'[2]Doc Set'!H:H)</f>
        <v>43340</v>
      </c>
      <c r="S62" s="143" t="s">
        <v>200</v>
      </c>
    </row>
    <row r="63" spans="1:19" x14ac:dyDescent="0.3">
      <c r="A63" s="156" t="s">
        <v>40</v>
      </c>
      <c r="B63" s="157" t="s">
        <v>190</v>
      </c>
      <c r="C63" s="157" t="s">
        <v>191</v>
      </c>
      <c r="D63" s="158" t="s">
        <v>64</v>
      </c>
      <c r="E63" s="55" t="s">
        <v>193</v>
      </c>
      <c r="F63" s="55" t="s">
        <v>609</v>
      </c>
      <c r="G63" s="55" t="s">
        <v>641</v>
      </c>
      <c r="H63" s="144" t="s">
        <v>845</v>
      </c>
      <c r="I63" s="139" t="s">
        <v>128</v>
      </c>
      <c r="J63" s="159" t="s">
        <v>846</v>
      </c>
      <c r="K63" s="55">
        <v>20038918</v>
      </c>
      <c r="L63" s="55" t="s">
        <v>198</v>
      </c>
      <c r="M63" s="141" t="str">
        <f t="shared" si="1"/>
        <v>EH1-SS_B</v>
      </c>
      <c r="N63" s="142" t="str">
        <f>LOOKUP(M63,'[2]Doc Set'!E:E,'[2]Doc Set'!F:F)</f>
        <v>_</v>
      </c>
      <c r="O63" s="141" t="s">
        <v>844</v>
      </c>
      <c r="P63" s="142">
        <f>+LOOKUP(O63,'[2]Doc Set'!E:E,'[2]Doc Set'!G:G)</f>
        <v>43295</v>
      </c>
      <c r="Q63" s="55" t="str">
        <f t="shared" si="0"/>
        <v>EH1-SS_B</v>
      </c>
      <c r="R63" s="142">
        <f>+LOOKUP(Q63,'[2]Doc Set'!E:E,'[2]Doc Set'!H:H)</f>
        <v>43340</v>
      </c>
      <c r="S63" s="143" t="s">
        <v>200</v>
      </c>
    </row>
    <row r="64" spans="1:19" x14ac:dyDescent="0.3">
      <c r="A64" s="156" t="s">
        <v>40</v>
      </c>
      <c r="B64" s="157" t="s">
        <v>190</v>
      </c>
      <c r="C64" s="157" t="s">
        <v>191</v>
      </c>
      <c r="D64" s="158" t="s">
        <v>64</v>
      </c>
      <c r="E64" s="55" t="s">
        <v>193</v>
      </c>
      <c r="F64" s="55" t="s">
        <v>609</v>
      </c>
      <c r="G64" s="55" t="s">
        <v>644</v>
      </c>
      <c r="H64" s="144" t="s">
        <v>847</v>
      </c>
      <c r="I64" s="139" t="s">
        <v>128</v>
      </c>
      <c r="J64" s="159" t="s">
        <v>848</v>
      </c>
      <c r="K64" s="55">
        <v>20038918</v>
      </c>
      <c r="L64" s="55" t="s">
        <v>198</v>
      </c>
      <c r="M64" s="141" t="str">
        <f t="shared" si="1"/>
        <v>EH1-SS_B</v>
      </c>
      <c r="N64" s="142" t="str">
        <f>LOOKUP(M64,'[2]Doc Set'!E:E,'[2]Doc Set'!F:F)</f>
        <v>_</v>
      </c>
      <c r="O64" s="141" t="s">
        <v>844</v>
      </c>
      <c r="P64" s="142">
        <f>+LOOKUP(O64,'[2]Doc Set'!E:E,'[2]Doc Set'!G:G)</f>
        <v>43295</v>
      </c>
      <c r="Q64" s="55" t="str">
        <f t="shared" si="0"/>
        <v>EH1-SS_B</v>
      </c>
      <c r="R64" s="142">
        <f>+LOOKUP(Q64,'[2]Doc Set'!E:E,'[2]Doc Set'!H:H)</f>
        <v>43340</v>
      </c>
      <c r="S64" s="143" t="s">
        <v>200</v>
      </c>
    </row>
    <row r="65" spans="1:19" x14ac:dyDescent="0.3">
      <c r="A65" s="156" t="s">
        <v>40</v>
      </c>
      <c r="B65" s="157" t="s">
        <v>190</v>
      </c>
      <c r="C65" s="157" t="s">
        <v>191</v>
      </c>
      <c r="D65" s="158" t="s">
        <v>64</v>
      </c>
      <c r="E65" s="55" t="s">
        <v>193</v>
      </c>
      <c r="F65" s="55" t="s">
        <v>609</v>
      </c>
      <c r="G65" s="55" t="s">
        <v>849</v>
      </c>
      <c r="H65" s="144" t="s">
        <v>850</v>
      </c>
      <c r="I65" s="139" t="s">
        <v>128</v>
      </c>
      <c r="J65" s="159" t="s">
        <v>851</v>
      </c>
      <c r="K65" s="55">
        <v>20038918</v>
      </c>
      <c r="L65" s="55" t="s">
        <v>198</v>
      </c>
      <c r="M65" s="141" t="str">
        <f t="shared" si="1"/>
        <v>EH1-SS_B</v>
      </c>
      <c r="N65" s="142" t="str">
        <f>LOOKUP(M65,'[2]Doc Set'!E:E,'[2]Doc Set'!F:F)</f>
        <v>_</v>
      </c>
      <c r="O65" s="141" t="s">
        <v>844</v>
      </c>
      <c r="P65" s="142">
        <f>+LOOKUP(O65,'[2]Doc Set'!E:E,'[2]Doc Set'!G:G)</f>
        <v>43295</v>
      </c>
      <c r="Q65" s="55" t="str">
        <f t="shared" si="0"/>
        <v>EH1-SS_B</v>
      </c>
      <c r="R65" s="142">
        <f>+LOOKUP(Q65,'[2]Doc Set'!E:E,'[2]Doc Set'!H:H)</f>
        <v>43340</v>
      </c>
      <c r="S65" s="143" t="s">
        <v>200</v>
      </c>
    </row>
    <row r="66" spans="1:19" x14ac:dyDescent="0.3">
      <c r="A66" s="156" t="s">
        <v>40</v>
      </c>
      <c r="B66" s="157" t="s">
        <v>190</v>
      </c>
      <c r="C66" s="157" t="s">
        <v>191</v>
      </c>
      <c r="D66" s="158" t="s">
        <v>64</v>
      </c>
      <c r="E66" s="55" t="s">
        <v>193</v>
      </c>
      <c r="F66" s="55" t="s">
        <v>609</v>
      </c>
      <c r="G66" s="55" t="s">
        <v>852</v>
      </c>
      <c r="H66" s="144" t="s">
        <v>853</v>
      </c>
      <c r="I66" s="139" t="s">
        <v>51</v>
      </c>
      <c r="J66" s="159" t="s">
        <v>854</v>
      </c>
      <c r="K66" s="55">
        <v>20038918</v>
      </c>
      <c r="L66" s="55" t="s">
        <v>198</v>
      </c>
      <c r="M66" s="141" t="str">
        <f t="shared" si="1"/>
        <v>EH1-SS_B</v>
      </c>
      <c r="N66" s="142" t="str">
        <f>LOOKUP(M66,'[2]Doc Set'!E:E,'[2]Doc Set'!F:F)</f>
        <v>_</v>
      </c>
      <c r="O66" s="141" t="s">
        <v>844</v>
      </c>
      <c r="P66" s="142">
        <f>+LOOKUP(O66,'[2]Doc Set'!E:E,'[2]Doc Set'!G:G)</f>
        <v>43295</v>
      </c>
      <c r="Q66" s="55" t="str">
        <f t="shared" si="0"/>
        <v>EH1-SS_B</v>
      </c>
      <c r="R66" s="142">
        <f>+LOOKUP(Q66,'[2]Doc Set'!E:E,'[2]Doc Set'!H:H)</f>
        <v>43340</v>
      </c>
      <c r="S66" s="143" t="s">
        <v>200</v>
      </c>
    </row>
    <row r="67" spans="1:19" x14ac:dyDescent="0.3">
      <c r="A67" s="156" t="s">
        <v>40</v>
      </c>
      <c r="B67" s="157" t="s">
        <v>190</v>
      </c>
      <c r="C67" s="157" t="s">
        <v>191</v>
      </c>
      <c r="D67" s="158" t="s">
        <v>64</v>
      </c>
      <c r="E67" s="55" t="s">
        <v>193</v>
      </c>
      <c r="F67" s="55" t="s">
        <v>609</v>
      </c>
      <c r="G67" s="55" t="s">
        <v>617</v>
      </c>
      <c r="H67" s="144" t="s">
        <v>855</v>
      </c>
      <c r="I67" s="139" t="s">
        <v>51</v>
      </c>
      <c r="J67" s="159" t="s">
        <v>856</v>
      </c>
      <c r="K67" s="55">
        <v>20038918</v>
      </c>
      <c r="L67" s="55" t="s">
        <v>198</v>
      </c>
      <c r="M67" s="141" t="str">
        <f t="shared" si="1"/>
        <v>EH1-SS_B</v>
      </c>
      <c r="N67" s="142" t="str">
        <f>LOOKUP(M67,'[2]Doc Set'!E:E,'[2]Doc Set'!F:F)</f>
        <v>_</v>
      </c>
      <c r="O67" s="141" t="s">
        <v>844</v>
      </c>
      <c r="P67" s="142">
        <f>+LOOKUP(O67,'[2]Doc Set'!E:E,'[2]Doc Set'!G:G)</f>
        <v>43295</v>
      </c>
      <c r="Q67" s="55" t="str">
        <f t="shared" ref="Q67:Q98" si="2">+O67</f>
        <v>EH1-SS_B</v>
      </c>
      <c r="R67" s="142">
        <f>+LOOKUP(Q67,'[2]Doc Set'!E:E,'[2]Doc Set'!H:H)</f>
        <v>43340</v>
      </c>
      <c r="S67" s="143" t="s">
        <v>200</v>
      </c>
    </row>
    <row r="68" spans="1:19" ht="28.8" x14ac:dyDescent="0.3">
      <c r="A68" s="156" t="s">
        <v>40</v>
      </c>
      <c r="B68" s="157" t="s">
        <v>190</v>
      </c>
      <c r="C68" s="157" t="s">
        <v>191</v>
      </c>
      <c r="D68" s="158" t="s">
        <v>64</v>
      </c>
      <c r="E68" s="55" t="s">
        <v>193</v>
      </c>
      <c r="F68" s="55" t="s">
        <v>555</v>
      </c>
      <c r="G68" s="55" t="s">
        <v>53</v>
      </c>
      <c r="H68" s="144" t="s">
        <v>857</v>
      </c>
      <c r="I68" s="154" t="s">
        <v>51</v>
      </c>
      <c r="J68" s="159" t="s">
        <v>858</v>
      </c>
      <c r="K68" s="55">
        <v>20038918</v>
      </c>
      <c r="L68" s="55" t="s">
        <v>859</v>
      </c>
      <c r="M68" s="141" t="s">
        <v>860</v>
      </c>
      <c r="N68" s="142">
        <f>LOOKUP(M68,'[2]Doc Set'!E:E,'[2]Doc Set'!F:F)</f>
        <v>43160</v>
      </c>
      <c r="O68" s="141" t="s">
        <v>844</v>
      </c>
      <c r="P68" s="142">
        <f>+LOOKUP(O68,'[2]Doc Set'!E:E,'[2]Doc Set'!G:G)</f>
        <v>43295</v>
      </c>
      <c r="Q68" s="55" t="str">
        <f t="shared" si="2"/>
        <v>EH1-SS_B</v>
      </c>
      <c r="R68" s="142">
        <f>+LOOKUP(Q68,'[2]Doc Set'!E:E,'[2]Doc Set'!H:H)</f>
        <v>43340</v>
      </c>
      <c r="S68" s="143" t="s">
        <v>200</v>
      </c>
    </row>
    <row r="69" spans="1:19" ht="28.8" x14ac:dyDescent="0.3">
      <c r="A69" s="156" t="s">
        <v>40</v>
      </c>
      <c r="B69" s="157" t="s">
        <v>190</v>
      </c>
      <c r="C69" s="157" t="s">
        <v>191</v>
      </c>
      <c r="D69" s="158" t="s">
        <v>64</v>
      </c>
      <c r="E69" s="55" t="s">
        <v>193</v>
      </c>
      <c r="F69" s="55" t="s">
        <v>555</v>
      </c>
      <c r="G69" s="55" t="s">
        <v>561</v>
      </c>
      <c r="H69" s="144" t="s">
        <v>861</v>
      </c>
      <c r="I69" s="154" t="s">
        <v>51</v>
      </c>
      <c r="J69" s="159" t="s">
        <v>862</v>
      </c>
      <c r="K69" s="55">
        <v>20038918</v>
      </c>
      <c r="L69" s="55" t="s">
        <v>859</v>
      </c>
      <c r="M69" s="141" t="s">
        <v>860</v>
      </c>
      <c r="N69" s="142">
        <f>LOOKUP(M69,'[2]Doc Set'!E:E,'[2]Doc Set'!F:F)</f>
        <v>43160</v>
      </c>
      <c r="O69" s="141" t="s">
        <v>844</v>
      </c>
      <c r="P69" s="142">
        <f>+LOOKUP(O69,'[2]Doc Set'!E:E,'[2]Doc Set'!G:G)</f>
        <v>43295</v>
      </c>
      <c r="Q69" s="55" t="str">
        <f t="shared" si="2"/>
        <v>EH1-SS_B</v>
      </c>
      <c r="R69" s="142">
        <f>+LOOKUP(Q69,'[2]Doc Set'!E:E,'[2]Doc Set'!H:H)</f>
        <v>43340</v>
      </c>
      <c r="S69" s="143" t="s">
        <v>200</v>
      </c>
    </row>
    <row r="70" spans="1:19" x14ac:dyDescent="0.3">
      <c r="A70" s="156" t="s">
        <v>40</v>
      </c>
      <c r="B70" s="157" t="s">
        <v>190</v>
      </c>
      <c r="C70" s="157" t="s">
        <v>191</v>
      </c>
      <c r="D70" s="158" t="s">
        <v>64</v>
      </c>
      <c r="E70" s="55" t="s">
        <v>193</v>
      </c>
      <c r="F70" s="55" t="s">
        <v>555</v>
      </c>
      <c r="G70" s="55" t="s">
        <v>564</v>
      </c>
      <c r="H70" s="144" t="s">
        <v>863</v>
      </c>
      <c r="I70" s="154" t="s">
        <v>51</v>
      </c>
      <c r="J70" s="159" t="s">
        <v>864</v>
      </c>
      <c r="K70" s="55">
        <v>20038918</v>
      </c>
      <c r="L70" s="55" t="s">
        <v>859</v>
      </c>
      <c r="M70" s="141" t="s">
        <v>860</v>
      </c>
      <c r="N70" s="142">
        <f>LOOKUP(M70,'[2]Doc Set'!E:E,'[2]Doc Set'!F:F)</f>
        <v>43160</v>
      </c>
      <c r="O70" s="141" t="s">
        <v>844</v>
      </c>
      <c r="P70" s="142">
        <f>+LOOKUP(O70,'[2]Doc Set'!E:E,'[2]Doc Set'!G:G)</f>
        <v>43295</v>
      </c>
      <c r="Q70" s="55" t="str">
        <f t="shared" si="2"/>
        <v>EH1-SS_B</v>
      </c>
      <c r="R70" s="142">
        <f>+LOOKUP(Q70,'[2]Doc Set'!E:E,'[2]Doc Set'!H:H)</f>
        <v>43340</v>
      </c>
      <c r="S70" s="143" t="s">
        <v>200</v>
      </c>
    </row>
    <row r="71" spans="1:19" x14ac:dyDescent="0.3">
      <c r="A71" s="156" t="s">
        <v>40</v>
      </c>
      <c r="B71" s="157" t="s">
        <v>190</v>
      </c>
      <c r="C71" s="157" t="s">
        <v>191</v>
      </c>
      <c r="D71" s="158" t="s">
        <v>64</v>
      </c>
      <c r="E71" s="55" t="s">
        <v>193</v>
      </c>
      <c r="F71" s="55" t="s">
        <v>555</v>
      </c>
      <c r="G71" s="55" t="s">
        <v>567</v>
      </c>
      <c r="H71" s="144" t="s">
        <v>865</v>
      </c>
      <c r="I71" s="154" t="s">
        <v>51</v>
      </c>
      <c r="J71" s="159" t="s">
        <v>866</v>
      </c>
      <c r="K71" s="55">
        <v>20038918</v>
      </c>
      <c r="L71" s="55" t="s">
        <v>859</v>
      </c>
      <c r="M71" s="141" t="s">
        <v>860</v>
      </c>
      <c r="N71" s="142">
        <f>LOOKUP(M71,'[2]Doc Set'!E:E,'[2]Doc Set'!F:F)</f>
        <v>43160</v>
      </c>
      <c r="O71" s="141" t="s">
        <v>844</v>
      </c>
      <c r="P71" s="142">
        <f>+LOOKUP(O71,'[2]Doc Set'!E:E,'[2]Doc Set'!G:G)</f>
        <v>43295</v>
      </c>
      <c r="Q71" s="55" t="str">
        <f t="shared" si="2"/>
        <v>EH1-SS_B</v>
      </c>
      <c r="R71" s="142">
        <f>+LOOKUP(Q71,'[2]Doc Set'!E:E,'[2]Doc Set'!H:H)</f>
        <v>43340</v>
      </c>
      <c r="S71" s="143" t="s">
        <v>200</v>
      </c>
    </row>
    <row r="72" spans="1:19" x14ac:dyDescent="0.3">
      <c r="A72" s="156" t="s">
        <v>40</v>
      </c>
      <c r="B72" s="157" t="s">
        <v>190</v>
      </c>
      <c r="C72" s="157" t="s">
        <v>191</v>
      </c>
      <c r="D72" s="158" t="s">
        <v>64</v>
      </c>
      <c r="E72" s="55" t="s">
        <v>193</v>
      </c>
      <c r="F72" s="55" t="s">
        <v>555</v>
      </c>
      <c r="G72" s="55" t="s">
        <v>570</v>
      </c>
      <c r="H72" s="144" t="s">
        <v>867</v>
      </c>
      <c r="I72" s="154" t="s">
        <v>51</v>
      </c>
      <c r="J72" s="159" t="s">
        <v>868</v>
      </c>
      <c r="K72" s="55">
        <v>20038918</v>
      </c>
      <c r="L72" s="55" t="s">
        <v>859</v>
      </c>
      <c r="M72" s="141" t="s">
        <v>860</v>
      </c>
      <c r="N72" s="142">
        <f>LOOKUP(M72,'[2]Doc Set'!E:E,'[2]Doc Set'!F:F)</f>
        <v>43160</v>
      </c>
      <c r="O72" s="141" t="s">
        <v>844</v>
      </c>
      <c r="P72" s="142">
        <f>+LOOKUP(O72,'[2]Doc Set'!E:E,'[2]Doc Set'!G:G)</f>
        <v>43295</v>
      </c>
      <c r="Q72" s="55" t="str">
        <f t="shared" si="2"/>
        <v>EH1-SS_B</v>
      </c>
      <c r="R72" s="142">
        <f>+LOOKUP(Q72,'[2]Doc Set'!E:E,'[2]Doc Set'!H:H)</f>
        <v>43340</v>
      </c>
      <c r="S72" s="143" t="s">
        <v>200</v>
      </c>
    </row>
    <row r="73" spans="1:19" x14ac:dyDescent="0.3">
      <c r="A73" s="156" t="s">
        <v>40</v>
      </c>
      <c r="B73" s="157" t="s">
        <v>190</v>
      </c>
      <c r="C73" s="157" t="s">
        <v>191</v>
      </c>
      <c r="D73" s="158" t="s">
        <v>64</v>
      </c>
      <c r="E73" s="55" t="s">
        <v>193</v>
      </c>
      <c r="F73" s="55" t="s">
        <v>555</v>
      </c>
      <c r="G73" s="55" t="s">
        <v>573</v>
      </c>
      <c r="H73" s="144" t="s">
        <v>869</v>
      </c>
      <c r="I73" s="154" t="s">
        <v>51</v>
      </c>
      <c r="J73" s="159" t="s">
        <v>870</v>
      </c>
      <c r="K73" s="55">
        <v>20038918</v>
      </c>
      <c r="L73" s="55" t="s">
        <v>859</v>
      </c>
      <c r="M73" s="141" t="s">
        <v>860</v>
      </c>
      <c r="N73" s="142">
        <f>LOOKUP(M73,'[2]Doc Set'!E:E,'[2]Doc Set'!F:F)</f>
        <v>43160</v>
      </c>
      <c r="O73" s="141" t="s">
        <v>844</v>
      </c>
      <c r="P73" s="142">
        <f>+LOOKUP(O73,'[2]Doc Set'!E:E,'[2]Doc Set'!G:G)</f>
        <v>43295</v>
      </c>
      <c r="Q73" s="55" t="str">
        <f t="shared" si="2"/>
        <v>EH1-SS_B</v>
      </c>
      <c r="R73" s="142">
        <f>+LOOKUP(Q73,'[2]Doc Set'!E:E,'[2]Doc Set'!H:H)</f>
        <v>43340</v>
      </c>
      <c r="S73" s="143" t="s">
        <v>200</v>
      </c>
    </row>
    <row r="74" spans="1:19" ht="28.8" x14ac:dyDescent="0.3">
      <c r="A74" s="156" t="s">
        <v>40</v>
      </c>
      <c r="B74" s="157" t="s">
        <v>190</v>
      </c>
      <c r="C74" s="157" t="s">
        <v>191</v>
      </c>
      <c r="D74" s="158" t="s">
        <v>64</v>
      </c>
      <c r="E74" s="55" t="s">
        <v>193</v>
      </c>
      <c r="F74" s="55" t="s">
        <v>555</v>
      </c>
      <c r="G74" s="55" t="s">
        <v>576</v>
      </c>
      <c r="H74" s="144" t="s">
        <v>871</v>
      </c>
      <c r="I74" s="154" t="s">
        <v>51</v>
      </c>
      <c r="J74" s="159" t="s">
        <v>872</v>
      </c>
      <c r="K74" s="55">
        <v>20038918</v>
      </c>
      <c r="L74" s="55" t="s">
        <v>859</v>
      </c>
      <c r="M74" s="141" t="str">
        <f t="shared" ref="M74:M98" si="3">+O74</f>
        <v>EH1-SS_B</v>
      </c>
      <c r="N74" s="142" t="str">
        <f>LOOKUP(M74,'[2]Doc Set'!E:E,'[2]Doc Set'!F:F)</f>
        <v>_</v>
      </c>
      <c r="O74" s="141" t="s">
        <v>844</v>
      </c>
      <c r="P74" s="142">
        <f>+LOOKUP(O74,'[2]Doc Set'!E:E,'[2]Doc Set'!G:G)</f>
        <v>43295</v>
      </c>
      <c r="Q74" s="55" t="str">
        <f t="shared" si="2"/>
        <v>EH1-SS_B</v>
      </c>
      <c r="R74" s="142">
        <f>+LOOKUP(Q74,'[2]Doc Set'!E:E,'[2]Doc Set'!H:H)</f>
        <v>43340</v>
      </c>
      <c r="S74" s="143" t="s">
        <v>200</v>
      </c>
    </row>
    <row r="75" spans="1:19" ht="28.8" x14ac:dyDescent="0.3">
      <c r="A75" s="156" t="s">
        <v>40</v>
      </c>
      <c r="B75" s="157" t="s">
        <v>190</v>
      </c>
      <c r="C75" s="157" t="s">
        <v>191</v>
      </c>
      <c r="D75" s="158" t="s">
        <v>64</v>
      </c>
      <c r="E75" s="55" t="s">
        <v>193</v>
      </c>
      <c r="F75" s="55" t="s">
        <v>555</v>
      </c>
      <c r="G75" s="55" t="s">
        <v>579</v>
      </c>
      <c r="H75" s="144" t="s">
        <v>873</v>
      </c>
      <c r="I75" s="154" t="s">
        <v>51</v>
      </c>
      <c r="J75" s="159" t="s">
        <v>874</v>
      </c>
      <c r="K75" s="55">
        <v>20038918</v>
      </c>
      <c r="L75" s="55" t="s">
        <v>859</v>
      </c>
      <c r="M75" s="141" t="str">
        <f t="shared" si="3"/>
        <v>EH1-SS_B</v>
      </c>
      <c r="N75" s="142" t="str">
        <f>LOOKUP(M75,'[2]Doc Set'!E:E,'[2]Doc Set'!F:F)</f>
        <v>_</v>
      </c>
      <c r="O75" s="141" t="s">
        <v>844</v>
      </c>
      <c r="P75" s="142">
        <f>+LOOKUP(O75,'[2]Doc Set'!E:E,'[2]Doc Set'!G:G)</f>
        <v>43295</v>
      </c>
      <c r="Q75" s="55" t="str">
        <f t="shared" si="2"/>
        <v>EH1-SS_B</v>
      </c>
      <c r="R75" s="142">
        <f>+LOOKUP(Q75,'[2]Doc Set'!E:E,'[2]Doc Set'!H:H)</f>
        <v>43340</v>
      </c>
      <c r="S75" s="143" t="s">
        <v>200</v>
      </c>
    </row>
    <row r="76" spans="1:19" x14ac:dyDescent="0.3">
      <c r="A76" s="156" t="s">
        <v>40</v>
      </c>
      <c r="B76" s="157" t="s">
        <v>190</v>
      </c>
      <c r="C76" s="157" t="s">
        <v>191</v>
      </c>
      <c r="D76" s="158" t="s">
        <v>64</v>
      </c>
      <c r="E76" s="55" t="s">
        <v>193</v>
      </c>
      <c r="F76" s="55" t="s">
        <v>555</v>
      </c>
      <c r="G76" s="55" t="s">
        <v>582</v>
      </c>
      <c r="H76" s="144" t="s">
        <v>875</v>
      </c>
      <c r="I76" s="154" t="s">
        <v>51</v>
      </c>
      <c r="J76" s="159" t="s">
        <v>876</v>
      </c>
      <c r="K76" s="55">
        <v>20038918</v>
      </c>
      <c r="L76" s="55" t="s">
        <v>859</v>
      </c>
      <c r="M76" s="141" t="str">
        <f t="shared" si="3"/>
        <v>EH1-SS_B</v>
      </c>
      <c r="N76" s="142" t="str">
        <f>LOOKUP(M76,'[2]Doc Set'!E:E,'[2]Doc Set'!F:F)</f>
        <v>_</v>
      </c>
      <c r="O76" s="141" t="s">
        <v>844</v>
      </c>
      <c r="P76" s="142">
        <f>+LOOKUP(O76,'[2]Doc Set'!E:E,'[2]Doc Set'!G:G)</f>
        <v>43295</v>
      </c>
      <c r="Q76" s="55" t="str">
        <f t="shared" si="2"/>
        <v>EH1-SS_B</v>
      </c>
      <c r="R76" s="142">
        <f>+LOOKUP(Q76,'[2]Doc Set'!E:E,'[2]Doc Set'!H:H)</f>
        <v>43340</v>
      </c>
      <c r="S76" s="143" t="s">
        <v>200</v>
      </c>
    </row>
    <row r="77" spans="1:19" x14ac:dyDescent="0.3">
      <c r="A77" s="156" t="s">
        <v>40</v>
      </c>
      <c r="B77" s="157" t="s">
        <v>190</v>
      </c>
      <c r="C77" s="157" t="s">
        <v>191</v>
      </c>
      <c r="D77" s="158" t="s">
        <v>64</v>
      </c>
      <c r="E77" s="55" t="s">
        <v>193</v>
      </c>
      <c r="F77" s="55" t="s">
        <v>663</v>
      </c>
      <c r="G77" s="55" t="s">
        <v>877</v>
      </c>
      <c r="H77" s="55" t="s">
        <v>878</v>
      </c>
      <c r="I77" s="154" t="s">
        <v>134</v>
      </c>
      <c r="J77" s="159" t="s">
        <v>879</v>
      </c>
      <c r="K77" s="55">
        <v>20038918</v>
      </c>
      <c r="L77" s="55" t="s">
        <v>198</v>
      </c>
      <c r="M77" s="141" t="str">
        <f t="shared" si="3"/>
        <v>EH1-INT_D</v>
      </c>
      <c r="N77" s="142" t="str">
        <f>LOOKUP(M77,'[2]Doc Set'!E:E,'[2]Doc Set'!F:F)</f>
        <v>_</v>
      </c>
      <c r="O77" s="141" t="s">
        <v>714</v>
      </c>
      <c r="P77" s="142">
        <f>+LOOKUP(O77,'[2]Doc Set'!E:E,'[2]Doc Set'!G:G)</f>
        <v>43493</v>
      </c>
      <c r="Q77" s="55" t="str">
        <f t="shared" si="2"/>
        <v>EH1-INT_D</v>
      </c>
      <c r="R77" s="142">
        <f>+LOOKUP(Q77,'[2]Doc Set'!E:E,'[2]Doc Set'!H:H)</f>
        <v>43521</v>
      </c>
      <c r="S77" s="143" t="s">
        <v>200</v>
      </c>
    </row>
    <row r="78" spans="1:19" x14ac:dyDescent="0.3">
      <c r="A78" s="156" t="s">
        <v>40</v>
      </c>
      <c r="B78" s="157" t="s">
        <v>190</v>
      </c>
      <c r="C78" s="157" t="s">
        <v>191</v>
      </c>
      <c r="D78" s="158" t="s">
        <v>64</v>
      </c>
      <c r="E78" s="55" t="s">
        <v>193</v>
      </c>
      <c r="F78" s="55" t="s">
        <v>663</v>
      </c>
      <c r="G78" s="55" t="s">
        <v>670</v>
      </c>
      <c r="H78" s="55" t="s">
        <v>880</v>
      </c>
      <c r="I78" s="154" t="s">
        <v>134</v>
      </c>
      <c r="J78" s="159" t="s">
        <v>881</v>
      </c>
      <c r="K78" s="55">
        <v>20038918</v>
      </c>
      <c r="L78" s="55" t="s">
        <v>198</v>
      </c>
      <c r="M78" s="141" t="str">
        <f t="shared" si="3"/>
        <v>EH1-INT_D</v>
      </c>
      <c r="N78" s="142" t="str">
        <f>LOOKUP(M78,'[2]Doc Set'!E:E,'[2]Doc Set'!F:F)</f>
        <v>_</v>
      </c>
      <c r="O78" s="141" t="s">
        <v>714</v>
      </c>
      <c r="P78" s="142">
        <f>+LOOKUP(O78,'[2]Doc Set'!E:E,'[2]Doc Set'!G:G)</f>
        <v>43493</v>
      </c>
      <c r="Q78" s="55" t="str">
        <f t="shared" si="2"/>
        <v>EH1-INT_D</v>
      </c>
      <c r="R78" s="142">
        <f>+LOOKUP(Q78,'[2]Doc Set'!E:E,'[2]Doc Set'!H:H)</f>
        <v>43521</v>
      </c>
      <c r="S78" s="143" t="s">
        <v>200</v>
      </c>
    </row>
    <row r="79" spans="1:19" x14ac:dyDescent="0.3">
      <c r="A79" s="156" t="s">
        <v>40</v>
      </c>
      <c r="B79" s="157" t="s">
        <v>190</v>
      </c>
      <c r="C79" s="157" t="s">
        <v>191</v>
      </c>
      <c r="D79" s="158" t="s">
        <v>64</v>
      </c>
      <c r="E79" s="55" t="s">
        <v>193</v>
      </c>
      <c r="F79" s="55" t="s">
        <v>663</v>
      </c>
      <c r="G79" s="55" t="s">
        <v>673</v>
      </c>
      <c r="H79" s="55" t="s">
        <v>882</v>
      </c>
      <c r="I79" s="154" t="s">
        <v>134</v>
      </c>
      <c r="J79" s="159" t="s">
        <v>883</v>
      </c>
      <c r="K79" s="55">
        <v>20038918</v>
      </c>
      <c r="L79" s="55" t="s">
        <v>198</v>
      </c>
      <c r="M79" s="141" t="str">
        <f t="shared" si="3"/>
        <v>EH1-INT_D</v>
      </c>
      <c r="N79" s="142" t="str">
        <f>LOOKUP(M79,'[2]Doc Set'!E:E,'[2]Doc Set'!F:F)</f>
        <v>_</v>
      </c>
      <c r="O79" s="141" t="s">
        <v>714</v>
      </c>
      <c r="P79" s="142">
        <f>+LOOKUP(O79,'[2]Doc Set'!E:E,'[2]Doc Set'!G:G)</f>
        <v>43493</v>
      </c>
      <c r="Q79" s="55" t="str">
        <f t="shared" si="2"/>
        <v>EH1-INT_D</v>
      </c>
      <c r="R79" s="142">
        <f>+LOOKUP(Q79,'[2]Doc Set'!E:E,'[2]Doc Set'!H:H)</f>
        <v>43521</v>
      </c>
      <c r="S79" s="143" t="s">
        <v>200</v>
      </c>
    </row>
    <row r="80" spans="1:19" x14ac:dyDescent="0.3">
      <c r="A80" s="156" t="s">
        <v>40</v>
      </c>
      <c r="B80" s="157" t="s">
        <v>190</v>
      </c>
      <c r="C80" s="157" t="s">
        <v>191</v>
      </c>
      <c r="D80" s="158" t="s">
        <v>64</v>
      </c>
      <c r="E80" s="55" t="s">
        <v>193</v>
      </c>
      <c r="F80" s="55" t="s">
        <v>663</v>
      </c>
      <c r="G80" s="55" t="s">
        <v>676</v>
      </c>
      <c r="H80" s="55" t="s">
        <v>884</v>
      </c>
      <c r="I80" s="154" t="s">
        <v>134</v>
      </c>
      <c r="J80" s="159" t="s">
        <v>885</v>
      </c>
      <c r="K80" s="55">
        <v>20038918</v>
      </c>
      <c r="L80" s="55" t="s">
        <v>198</v>
      </c>
      <c r="M80" s="141" t="str">
        <f t="shared" si="3"/>
        <v>EH1-INT_D</v>
      </c>
      <c r="N80" s="142" t="str">
        <f>LOOKUP(M80,'[2]Doc Set'!E:E,'[2]Doc Set'!F:F)</f>
        <v>_</v>
      </c>
      <c r="O80" s="141" t="s">
        <v>714</v>
      </c>
      <c r="P80" s="142">
        <f>+LOOKUP(O80,'[2]Doc Set'!E:E,'[2]Doc Set'!G:G)</f>
        <v>43493</v>
      </c>
      <c r="Q80" s="55" t="str">
        <f t="shared" si="2"/>
        <v>EH1-INT_D</v>
      </c>
      <c r="R80" s="142">
        <f>+LOOKUP(Q80,'[2]Doc Set'!E:E,'[2]Doc Set'!H:H)</f>
        <v>43521</v>
      </c>
      <c r="S80" s="143" t="s">
        <v>200</v>
      </c>
    </row>
    <row r="81" spans="1:19" x14ac:dyDescent="0.3">
      <c r="A81" s="156" t="s">
        <v>40</v>
      </c>
      <c r="B81" s="157" t="s">
        <v>190</v>
      </c>
      <c r="C81" s="157" t="s">
        <v>191</v>
      </c>
      <c r="D81" s="158" t="s">
        <v>64</v>
      </c>
      <c r="E81" s="55" t="s">
        <v>193</v>
      </c>
      <c r="F81" s="55" t="s">
        <v>663</v>
      </c>
      <c r="G81" s="55" t="s">
        <v>679</v>
      </c>
      <c r="H81" s="55" t="s">
        <v>886</v>
      </c>
      <c r="I81" s="154" t="s">
        <v>134</v>
      </c>
      <c r="J81" s="159" t="s">
        <v>887</v>
      </c>
      <c r="K81" s="55">
        <v>20038918</v>
      </c>
      <c r="L81" s="55" t="s">
        <v>198</v>
      </c>
      <c r="M81" s="141" t="str">
        <f t="shared" si="3"/>
        <v>EH1-INT_D</v>
      </c>
      <c r="N81" s="142" t="str">
        <f>LOOKUP(M81,'[2]Doc Set'!E:E,'[2]Doc Set'!F:F)</f>
        <v>_</v>
      </c>
      <c r="O81" s="141" t="s">
        <v>714</v>
      </c>
      <c r="P81" s="142">
        <f>+LOOKUP(O81,'[2]Doc Set'!E:E,'[2]Doc Set'!G:G)</f>
        <v>43493</v>
      </c>
      <c r="Q81" s="55" t="str">
        <f t="shared" si="2"/>
        <v>EH1-INT_D</v>
      </c>
      <c r="R81" s="142">
        <f>+LOOKUP(Q81,'[2]Doc Set'!E:E,'[2]Doc Set'!H:H)</f>
        <v>43521</v>
      </c>
      <c r="S81" s="143" t="s">
        <v>200</v>
      </c>
    </row>
    <row r="82" spans="1:19" x14ac:dyDescent="0.3">
      <c r="A82" s="156" t="s">
        <v>40</v>
      </c>
      <c r="B82" s="157" t="s">
        <v>190</v>
      </c>
      <c r="C82" s="157" t="s">
        <v>191</v>
      </c>
      <c r="D82" s="158" t="s">
        <v>64</v>
      </c>
      <c r="E82" s="55" t="s">
        <v>193</v>
      </c>
      <c r="F82" s="55" t="s">
        <v>663</v>
      </c>
      <c r="G82" s="55" t="s">
        <v>682</v>
      </c>
      <c r="H82" s="55" t="s">
        <v>888</v>
      </c>
      <c r="I82" s="154" t="s">
        <v>134</v>
      </c>
      <c r="J82" s="159" t="s">
        <v>889</v>
      </c>
      <c r="K82" s="55">
        <v>20038918</v>
      </c>
      <c r="L82" s="55" t="s">
        <v>198</v>
      </c>
      <c r="M82" s="141" t="str">
        <f t="shared" si="3"/>
        <v>EH1-INT_D</v>
      </c>
      <c r="N82" s="142" t="str">
        <f>LOOKUP(M82,'[2]Doc Set'!E:E,'[2]Doc Set'!F:F)</f>
        <v>_</v>
      </c>
      <c r="O82" s="141" t="s">
        <v>714</v>
      </c>
      <c r="P82" s="142">
        <f>+LOOKUP(O82,'[2]Doc Set'!E:E,'[2]Doc Set'!G:G)</f>
        <v>43493</v>
      </c>
      <c r="Q82" s="55" t="str">
        <f t="shared" si="2"/>
        <v>EH1-INT_D</v>
      </c>
      <c r="R82" s="142">
        <f>+LOOKUP(Q82,'[2]Doc Set'!E:E,'[2]Doc Set'!H:H)</f>
        <v>43521</v>
      </c>
      <c r="S82" s="143" t="s">
        <v>200</v>
      </c>
    </row>
    <row r="83" spans="1:19" x14ac:dyDescent="0.3">
      <c r="A83" s="156" t="s">
        <v>40</v>
      </c>
      <c r="B83" s="157" t="s">
        <v>190</v>
      </c>
      <c r="C83" s="157" t="s">
        <v>191</v>
      </c>
      <c r="D83" s="158" t="s">
        <v>64</v>
      </c>
      <c r="E83" s="55" t="s">
        <v>193</v>
      </c>
      <c r="F83" s="55" t="s">
        <v>194</v>
      </c>
      <c r="G83" s="55" t="s">
        <v>364</v>
      </c>
      <c r="H83" s="55" t="s">
        <v>890</v>
      </c>
      <c r="I83" s="139" t="s">
        <v>51</v>
      </c>
      <c r="J83" s="159" t="s">
        <v>891</v>
      </c>
      <c r="K83" s="55">
        <v>20038918</v>
      </c>
      <c r="L83" s="55" t="s">
        <v>198</v>
      </c>
      <c r="M83" s="141" t="str">
        <f t="shared" si="3"/>
        <v>EH1-INT_D</v>
      </c>
      <c r="N83" s="142" t="str">
        <f>LOOKUP(M83,'[2]Doc Set'!E:E,'[2]Doc Set'!F:F)</f>
        <v>_</v>
      </c>
      <c r="O83" s="141" t="s">
        <v>714</v>
      </c>
      <c r="P83" s="142">
        <f>+LOOKUP(O83,'[2]Doc Set'!E:E,'[2]Doc Set'!G:G)</f>
        <v>43493</v>
      </c>
      <c r="Q83" s="55" t="str">
        <f t="shared" si="2"/>
        <v>EH1-INT_D</v>
      </c>
      <c r="R83" s="142">
        <f>+LOOKUP(Q83,'[2]Doc Set'!E:E,'[2]Doc Set'!H:H)</f>
        <v>43521</v>
      </c>
      <c r="S83" s="143" t="s">
        <v>200</v>
      </c>
    </row>
    <row r="84" spans="1:19" x14ac:dyDescent="0.3">
      <c r="A84" s="156" t="s">
        <v>40</v>
      </c>
      <c r="B84" s="157" t="s">
        <v>190</v>
      </c>
      <c r="C84" s="157" t="s">
        <v>191</v>
      </c>
      <c r="D84" s="158" t="s">
        <v>64</v>
      </c>
      <c r="E84" s="55" t="s">
        <v>193</v>
      </c>
      <c r="F84" s="55" t="s">
        <v>194</v>
      </c>
      <c r="G84" s="55" t="s">
        <v>892</v>
      </c>
      <c r="H84" s="55" t="s">
        <v>893</v>
      </c>
      <c r="I84" s="139" t="s">
        <v>51</v>
      </c>
      <c r="J84" s="159" t="s">
        <v>894</v>
      </c>
      <c r="K84" s="55">
        <v>20038918</v>
      </c>
      <c r="L84" s="55" t="s">
        <v>198</v>
      </c>
      <c r="M84" s="141" t="str">
        <f t="shared" si="3"/>
        <v>EH1-INT_D</v>
      </c>
      <c r="N84" s="142" t="str">
        <f>LOOKUP(M84,'[2]Doc Set'!E:E,'[2]Doc Set'!F:F)</f>
        <v>_</v>
      </c>
      <c r="O84" s="141" t="s">
        <v>714</v>
      </c>
      <c r="P84" s="142">
        <f>+LOOKUP(O84,'[2]Doc Set'!E:E,'[2]Doc Set'!G:G)</f>
        <v>43493</v>
      </c>
      <c r="Q84" s="55" t="str">
        <f t="shared" si="2"/>
        <v>EH1-INT_D</v>
      </c>
      <c r="R84" s="142">
        <f>+LOOKUP(Q84,'[2]Doc Set'!E:E,'[2]Doc Set'!H:H)</f>
        <v>43521</v>
      </c>
      <c r="S84" s="143" t="s">
        <v>200</v>
      </c>
    </row>
    <row r="85" spans="1:19" x14ac:dyDescent="0.3">
      <c r="A85" s="156" t="s">
        <v>40</v>
      </c>
      <c r="B85" s="157" t="s">
        <v>190</v>
      </c>
      <c r="C85" s="157" t="s">
        <v>191</v>
      </c>
      <c r="D85" s="158" t="s">
        <v>64</v>
      </c>
      <c r="E85" s="55" t="s">
        <v>193</v>
      </c>
      <c r="F85" s="55" t="s">
        <v>194</v>
      </c>
      <c r="G85" s="55" t="s">
        <v>895</v>
      </c>
      <c r="H85" s="55" t="s">
        <v>896</v>
      </c>
      <c r="I85" s="139" t="s">
        <v>51</v>
      </c>
      <c r="J85" s="159" t="s">
        <v>897</v>
      </c>
      <c r="K85" s="55">
        <v>20038918</v>
      </c>
      <c r="L85" s="55" t="s">
        <v>198</v>
      </c>
      <c r="M85" s="141" t="str">
        <f t="shared" si="3"/>
        <v>EH1-INT_D</v>
      </c>
      <c r="N85" s="142" t="str">
        <f>LOOKUP(M85,'[2]Doc Set'!E:E,'[2]Doc Set'!F:F)</f>
        <v>_</v>
      </c>
      <c r="O85" s="141" t="s">
        <v>714</v>
      </c>
      <c r="P85" s="142">
        <f>+LOOKUP(O85,'[2]Doc Set'!E:E,'[2]Doc Set'!G:G)</f>
        <v>43493</v>
      </c>
      <c r="Q85" s="55" t="str">
        <f t="shared" si="2"/>
        <v>EH1-INT_D</v>
      </c>
      <c r="R85" s="142">
        <f>+LOOKUP(Q85,'[2]Doc Set'!E:E,'[2]Doc Set'!H:H)</f>
        <v>43521</v>
      </c>
      <c r="S85" s="143" t="s">
        <v>200</v>
      </c>
    </row>
    <row r="86" spans="1:19" x14ac:dyDescent="0.3">
      <c r="A86" s="156" t="s">
        <v>40</v>
      </c>
      <c r="B86" s="157" t="s">
        <v>190</v>
      </c>
      <c r="C86" s="157" t="s">
        <v>191</v>
      </c>
      <c r="D86" s="158" t="s">
        <v>64</v>
      </c>
      <c r="E86" s="55" t="s">
        <v>193</v>
      </c>
      <c r="F86" s="55" t="s">
        <v>194</v>
      </c>
      <c r="G86" s="55" t="s">
        <v>385</v>
      </c>
      <c r="H86" s="55" t="s">
        <v>898</v>
      </c>
      <c r="I86" s="139" t="s">
        <v>51</v>
      </c>
      <c r="J86" s="159" t="s">
        <v>899</v>
      </c>
      <c r="K86" s="55">
        <v>20038918</v>
      </c>
      <c r="L86" s="55" t="s">
        <v>198</v>
      </c>
      <c r="M86" s="141" t="str">
        <f t="shared" si="3"/>
        <v>EH1-INT_D</v>
      </c>
      <c r="N86" s="142" t="str">
        <f>LOOKUP(M86,'[2]Doc Set'!E:E,'[2]Doc Set'!F:F)</f>
        <v>_</v>
      </c>
      <c r="O86" s="141" t="s">
        <v>714</v>
      </c>
      <c r="P86" s="142">
        <f>+LOOKUP(O86,'[2]Doc Set'!E:E,'[2]Doc Set'!G:G)</f>
        <v>43493</v>
      </c>
      <c r="Q86" s="55" t="str">
        <f t="shared" si="2"/>
        <v>EH1-INT_D</v>
      </c>
      <c r="R86" s="142">
        <f>+LOOKUP(Q86,'[2]Doc Set'!E:E,'[2]Doc Set'!H:H)</f>
        <v>43521</v>
      </c>
      <c r="S86" s="143" t="s">
        <v>200</v>
      </c>
    </row>
    <row r="87" spans="1:19" x14ac:dyDescent="0.3">
      <c r="A87" s="156" t="s">
        <v>40</v>
      </c>
      <c r="B87" s="157" t="s">
        <v>190</v>
      </c>
      <c r="C87" s="157" t="s">
        <v>191</v>
      </c>
      <c r="D87" s="158" t="s">
        <v>64</v>
      </c>
      <c r="E87" s="55" t="s">
        <v>193</v>
      </c>
      <c r="F87" s="55" t="s">
        <v>194</v>
      </c>
      <c r="G87" s="55" t="s">
        <v>900</v>
      </c>
      <c r="H87" s="55" t="s">
        <v>901</v>
      </c>
      <c r="I87" s="139" t="s">
        <v>51</v>
      </c>
      <c r="J87" s="159" t="s">
        <v>902</v>
      </c>
      <c r="K87" s="55">
        <v>20038918</v>
      </c>
      <c r="L87" s="55" t="s">
        <v>198</v>
      </c>
      <c r="M87" s="141" t="str">
        <f t="shared" si="3"/>
        <v>EH1-INT_D</v>
      </c>
      <c r="N87" s="142" t="str">
        <f>LOOKUP(M87,'[2]Doc Set'!E:E,'[2]Doc Set'!F:F)</f>
        <v>_</v>
      </c>
      <c r="O87" s="141" t="s">
        <v>714</v>
      </c>
      <c r="P87" s="142">
        <f>+LOOKUP(O87,'[2]Doc Set'!E:E,'[2]Doc Set'!G:G)</f>
        <v>43493</v>
      </c>
      <c r="Q87" s="55" t="str">
        <f t="shared" si="2"/>
        <v>EH1-INT_D</v>
      </c>
      <c r="R87" s="142">
        <f>+LOOKUP(Q87,'[2]Doc Set'!E:E,'[2]Doc Set'!H:H)</f>
        <v>43521</v>
      </c>
      <c r="S87" s="143" t="s">
        <v>200</v>
      </c>
    </row>
    <row r="88" spans="1:19" x14ac:dyDescent="0.3">
      <c r="A88" s="156" t="s">
        <v>40</v>
      </c>
      <c r="B88" s="157" t="s">
        <v>190</v>
      </c>
      <c r="C88" s="157" t="s">
        <v>191</v>
      </c>
      <c r="D88" s="158" t="s">
        <v>64</v>
      </c>
      <c r="E88" s="55" t="s">
        <v>193</v>
      </c>
      <c r="F88" s="55" t="s">
        <v>194</v>
      </c>
      <c r="G88" s="55" t="s">
        <v>903</v>
      </c>
      <c r="H88" s="55" t="s">
        <v>904</v>
      </c>
      <c r="I88" s="139" t="s">
        <v>51</v>
      </c>
      <c r="J88" s="159" t="s">
        <v>905</v>
      </c>
      <c r="K88" s="55">
        <v>20038918</v>
      </c>
      <c r="L88" s="55" t="s">
        <v>198</v>
      </c>
      <c r="M88" s="141" t="str">
        <f t="shared" si="3"/>
        <v>EH1-INT_D</v>
      </c>
      <c r="N88" s="142" t="str">
        <f>LOOKUP(M88,'[2]Doc Set'!E:E,'[2]Doc Set'!F:F)</f>
        <v>_</v>
      </c>
      <c r="O88" s="141" t="s">
        <v>714</v>
      </c>
      <c r="P88" s="142">
        <f>+LOOKUP(O88,'[2]Doc Set'!E:E,'[2]Doc Set'!G:G)</f>
        <v>43493</v>
      </c>
      <c r="Q88" s="55" t="str">
        <f t="shared" si="2"/>
        <v>EH1-INT_D</v>
      </c>
      <c r="R88" s="142">
        <f>+LOOKUP(Q88,'[2]Doc Set'!E:E,'[2]Doc Set'!H:H)</f>
        <v>43521</v>
      </c>
      <c r="S88" s="143" t="s">
        <v>200</v>
      </c>
    </row>
    <row r="89" spans="1:19" x14ac:dyDescent="0.3">
      <c r="A89" s="156" t="s">
        <v>40</v>
      </c>
      <c r="B89" s="157" t="s">
        <v>190</v>
      </c>
      <c r="C89" s="157" t="s">
        <v>191</v>
      </c>
      <c r="D89" s="158" t="s">
        <v>64</v>
      </c>
      <c r="E89" s="55" t="s">
        <v>193</v>
      </c>
      <c r="F89" s="55" t="s">
        <v>194</v>
      </c>
      <c r="G89" s="55" t="s">
        <v>406</v>
      </c>
      <c r="H89" s="55" t="s">
        <v>906</v>
      </c>
      <c r="I89" s="139" t="s">
        <v>51</v>
      </c>
      <c r="J89" s="159" t="s">
        <v>907</v>
      </c>
      <c r="K89" s="55">
        <v>20038918</v>
      </c>
      <c r="L89" s="55" t="s">
        <v>198</v>
      </c>
      <c r="M89" s="141" t="str">
        <f t="shared" si="3"/>
        <v>EH1-INT_D</v>
      </c>
      <c r="N89" s="142" t="str">
        <f>LOOKUP(M89,'[2]Doc Set'!E:E,'[2]Doc Set'!F:F)</f>
        <v>_</v>
      </c>
      <c r="O89" s="141" t="s">
        <v>714</v>
      </c>
      <c r="P89" s="142">
        <f>+LOOKUP(O89,'[2]Doc Set'!E:E,'[2]Doc Set'!G:G)</f>
        <v>43493</v>
      </c>
      <c r="Q89" s="55" t="str">
        <f t="shared" si="2"/>
        <v>EH1-INT_D</v>
      </c>
      <c r="R89" s="142">
        <f>+LOOKUP(Q89,'[2]Doc Set'!E:E,'[2]Doc Set'!H:H)</f>
        <v>43521</v>
      </c>
      <c r="S89" s="143" t="s">
        <v>200</v>
      </c>
    </row>
    <row r="90" spans="1:19" x14ac:dyDescent="0.3">
      <c r="A90" s="156" t="s">
        <v>40</v>
      </c>
      <c r="B90" s="157" t="s">
        <v>190</v>
      </c>
      <c r="C90" s="157" t="s">
        <v>191</v>
      </c>
      <c r="D90" s="158" t="s">
        <v>64</v>
      </c>
      <c r="E90" s="55" t="s">
        <v>193</v>
      </c>
      <c r="F90" s="55" t="s">
        <v>194</v>
      </c>
      <c r="G90" s="55" t="s">
        <v>908</v>
      </c>
      <c r="H90" s="55" t="s">
        <v>909</v>
      </c>
      <c r="I90" s="139" t="s">
        <v>51</v>
      </c>
      <c r="J90" s="159" t="s">
        <v>910</v>
      </c>
      <c r="K90" s="55">
        <v>20038918</v>
      </c>
      <c r="L90" s="55" t="s">
        <v>198</v>
      </c>
      <c r="M90" s="141" t="str">
        <f t="shared" si="3"/>
        <v>EH1-INT_D</v>
      </c>
      <c r="N90" s="142" t="str">
        <f>LOOKUP(M90,'[2]Doc Set'!E:E,'[2]Doc Set'!F:F)</f>
        <v>_</v>
      </c>
      <c r="O90" s="141" t="s">
        <v>714</v>
      </c>
      <c r="P90" s="142">
        <f>+LOOKUP(O90,'[2]Doc Set'!E:E,'[2]Doc Set'!G:G)</f>
        <v>43493</v>
      </c>
      <c r="Q90" s="55" t="str">
        <f t="shared" si="2"/>
        <v>EH1-INT_D</v>
      </c>
      <c r="R90" s="142">
        <f>+LOOKUP(Q90,'[2]Doc Set'!E:E,'[2]Doc Set'!H:H)</f>
        <v>43521</v>
      </c>
      <c r="S90" s="143" t="s">
        <v>200</v>
      </c>
    </row>
    <row r="91" spans="1:19" x14ac:dyDescent="0.3">
      <c r="A91" s="156" t="s">
        <v>40</v>
      </c>
      <c r="B91" s="157" t="s">
        <v>190</v>
      </c>
      <c r="C91" s="157" t="s">
        <v>191</v>
      </c>
      <c r="D91" s="158" t="s">
        <v>64</v>
      </c>
      <c r="E91" s="55" t="s">
        <v>193</v>
      </c>
      <c r="F91" s="55" t="s">
        <v>194</v>
      </c>
      <c r="G91" s="55" t="s">
        <v>911</v>
      </c>
      <c r="H91" s="55" t="s">
        <v>912</v>
      </c>
      <c r="I91" s="139" t="s">
        <v>51</v>
      </c>
      <c r="J91" s="159" t="s">
        <v>913</v>
      </c>
      <c r="K91" s="55">
        <v>20038918</v>
      </c>
      <c r="L91" s="55" t="s">
        <v>198</v>
      </c>
      <c r="M91" s="141" t="str">
        <f t="shared" si="3"/>
        <v>EH1-INT_D</v>
      </c>
      <c r="N91" s="142" t="str">
        <f>LOOKUP(M91,'[2]Doc Set'!E:E,'[2]Doc Set'!F:F)</f>
        <v>_</v>
      </c>
      <c r="O91" s="141" t="s">
        <v>714</v>
      </c>
      <c r="P91" s="142">
        <f>+LOOKUP(O91,'[2]Doc Set'!E:E,'[2]Doc Set'!G:G)</f>
        <v>43493</v>
      </c>
      <c r="Q91" s="55" t="str">
        <f t="shared" si="2"/>
        <v>EH1-INT_D</v>
      </c>
      <c r="R91" s="142">
        <f>+LOOKUP(Q91,'[2]Doc Set'!E:E,'[2]Doc Set'!H:H)</f>
        <v>43521</v>
      </c>
      <c r="S91" s="143" t="s">
        <v>200</v>
      </c>
    </row>
    <row r="92" spans="1:19" x14ac:dyDescent="0.3">
      <c r="A92" s="156" t="s">
        <v>40</v>
      </c>
      <c r="B92" s="157" t="s">
        <v>190</v>
      </c>
      <c r="C92" s="157" t="s">
        <v>191</v>
      </c>
      <c r="D92" s="158" t="s">
        <v>64</v>
      </c>
      <c r="E92" s="55" t="s">
        <v>193</v>
      </c>
      <c r="F92" s="55" t="s">
        <v>194</v>
      </c>
      <c r="G92" s="55" t="s">
        <v>506</v>
      </c>
      <c r="H92" s="55" t="s">
        <v>914</v>
      </c>
      <c r="I92" s="139" t="s">
        <v>51</v>
      </c>
      <c r="J92" s="147" t="s">
        <v>915</v>
      </c>
      <c r="K92" s="55">
        <v>20038918</v>
      </c>
      <c r="L92" s="55" t="s">
        <v>198</v>
      </c>
      <c r="M92" s="141" t="str">
        <f t="shared" si="3"/>
        <v>EH1-INT_D</v>
      </c>
      <c r="N92" s="142" t="str">
        <f>LOOKUP(M92,'[2]Doc Set'!E:E,'[2]Doc Set'!F:F)</f>
        <v>_</v>
      </c>
      <c r="O92" s="141" t="s">
        <v>714</v>
      </c>
      <c r="P92" s="142">
        <f>+LOOKUP(O92,'[2]Doc Set'!E:E,'[2]Doc Set'!G:G)</f>
        <v>43493</v>
      </c>
      <c r="Q92" s="55" t="str">
        <f t="shared" si="2"/>
        <v>EH1-INT_D</v>
      </c>
      <c r="R92" s="142">
        <f>+LOOKUP(Q92,'[2]Doc Set'!E:E,'[2]Doc Set'!H:H)</f>
        <v>43521</v>
      </c>
      <c r="S92" s="143" t="s">
        <v>200</v>
      </c>
    </row>
    <row r="93" spans="1:19" x14ac:dyDescent="0.3">
      <c r="A93" s="156" t="s">
        <v>40</v>
      </c>
      <c r="B93" s="157" t="s">
        <v>190</v>
      </c>
      <c r="C93" s="157" t="s">
        <v>191</v>
      </c>
      <c r="D93" s="158" t="s">
        <v>64</v>
      </c>
      <c r="E93" s="55" t="s">
        <v>193</v>
      </c>
      <c r="F93" s="55" t="s">
        <v>194</v>
      </c>
      <c r="G93" s="55" t="s">
        <v>509</v>
      </c>
      <c r="H93" s="55" t="s">
        <v>916</v>
      </c>
      <c r="I93" s="139" t="s">
        <v>51</v>
      </c>
      <c r="J93" s="159" t="s">
        <v>917</v>
      </c>
      <c r="K93" s="55">
        <v>20038918</v>
      </c>
      <c r="L93" s="55" t="s">
        <v>198</v>
      </c>
      <c r="M93" s="141" t="str">
        <f t="shared" si="3"/>
        <v>EH1-INT_D</v>
      </c>
      <c r="N93" s="142" t="str">
        <f>LOOKUP(M93,'[2]Doc Set'!E:E,'[2]Doc Set'!F:F)</f>
        <v>_</v>
      </c>
      <c r="O93" s="141" t="s">
        <v>714</v>
      </c>
      <c r="P93" s="142">
        <f>+LOOKUP(O93,'[2]Doc Set'!E:E,'[2]Doc Set'!G:G)</f>
        <v>43493</v>
      </c>
      <c r="Q93" s="55" t="str">
        <f t="shared" si="2"/>
        <v>EH1-INT_D</v>
      </c>
      <c r="R93" s="142">
        <f>+LOOKUP(Q93,'[2]Doc Set'!E:E,'[2]Doc Set'!H:H)</f>
        <v>43521</v>
      </c>
      <c r="S93" s="143" t="s">
        <v>200</v>
      </c>
    </row>
    <row r="94" spans="1:19" x14ac:dyDescent="0.3">
      <c r="A94" s="156" t="s">
        <v>40</v>
      </c>
      <c r="B94" s="157" t="s">
        <v>190</v>
      </c>
      <c r="C94" s="157" t="s">
        <v>191</v>
      </c>
      <c r="D94" s="158" t="s">
        <v>64</v>
      </c>
      <c r="E94" s="55" t="s">
        <v>193</v>
      </c>
      <c r="F94" s="55" t="s">
        <v>194</v>
      </c>
      <c r="G94" s="55" t="s">
        <v>512</v>
      </c>
      <c r="H94" s="55" t="s">
        <v>918</v>
      </c>
      <c r="I94" s="139" t="s">
        <v>51</v>
      </c>
      <c r="J94" s="159" t="s">
        <v>919</v>
      </c>
      <c r="K94" s="55">
        <v>20038918</v>
      </c>
      <c r="L94" s="55" t="s">
        <v>198</v>
      </c>
      <c r="M94" s="141" t="str">
        <f t="shared" si="3"/>
        <v>EH1-INT_D</v>
      </c>
      <c r="N94" s="142" t="str">
        <f>LOOKUP(M94,'[2]Doc Set'!E:E,'[2]Doc Set'!F:F)</f>
        <v>_</v>
      </c>
      <c r="O94" s="141" t="s">
        <v>714</v>
      </c>
      <c r="P94" s="142">
        <f>+LOOKUP(O94,'[2]Doc Set'!E:E,'[2]Doc Set'!G:G)</f>
        <v>43493</v>
      </c>
      <c r="Q94" s="55" t="str">
        <f t="shared" si="2"/>
        <v>EH1-INT_D</v>
      </c>
      <c r="R94" s="142">
        <f>+LOOKUP(Q94,'[2]Doc Set'!E:E,'[2]Doc Set'!H:H)</f>
        <v>43521</v>
      </c>
      <c r="S94" s="143" t="s">
        <v>200</v>
      </c>
    </row>
    <row r="95" spans="1:19" x14ac:dyDescent="0.3">
      <c r="A95" s="156" t="s">
        <v>40</v>
      </c>
      <c r="B95" s="157" t="s">
        <v>190</v>
      </c>
      <c r="C95" s="157" t="s">
        <v>191</v>
      </c>
      <c r="D95" s="158" t="s">
        <v>64</v>
      </c>
      <c r="E95" s="55" t="s">
        <v>193</v>
      </c>
      <c r="F95" s="55" t="s">
        <v>663</v>
      </c>
      <c r="G95" s="55" t="s">
        <v>685</v>
      </c>
      <c r="H95" s="55" t="s">
        <v>920</v>
      </c>
      <c r="I95" s="139" t="s">
        <v>134</v>
      </c>
      <c r="J95" s="147" t="s">
        <v>921</v>
      </c>
      <c r="K95" s="55">
        <v>20038918</v>
      </c>
      <c r="L95" s="55" t="s">
        <v>198</v>
      </c>
      <c r="M95" s="141" t="str">
        <f t="shared" si="3"/>
        <v>EH1-INT_D</v>
      </c>
      <c r="N95" s="142" t="str">
        <f>LOOKUP(M95,'[2]Doc Set'!E:E,'[2]Doc Set'!F:F)</f>
        <v>_</v>
      </c>
      <c r="O95" s="141" t="s">
        <v>714</v>
      </c>
      <c r="P95" s="142">
        <f>+LOOKUP(O95,'[2]Doc Set'!E:E,'[2]Doc Set'!G:G)</f>
        <v>43493</v>
      </c>
      <c r="Q95" s="55" t="str">
        <f t="shared" si="2"/>
        <v>EH1-INT_D</v>
      </c>
      <c r="R95" s="142">
        <f>+LOOKUP(Q95,'[2]Doc Set'!E:E,'[2]Doc Set'!H:H)</f>
        <v>43521</v>
      </c>
      <c r="S95" s="143" t="s">
        <v>200</v>
      </c>
    </row>
    <row r="96" spans="1:19" x14ac:dyDescent="0.3">
      <c r="A96" s="156" t="s">
        <v>40</v>
      </c>
      <c r="B96" s="157" t="s">
        <v>190</v>
      </c>
      <c r="C96" s="157" t="s">
        <v>191</v>
      </c>
      <c r="D96" s="158" t="s">
        <v>64</v>
      </c>
      <c r="E96" s="55" t="s">
        <v>193</v>
      </c>
      <c r="F96" s="55" t="s">
        <v>663</v>
      </c>
      <c r="G96" s="55" t="s">
        <v>688</v>
      </c>
      <c r="H96" s="55" t="s">
        <v>922</v>
      </c>
      <c r="I96" s="139" t="s">
        <v>134</v>
      </c>
      <c r="J96" s="159" t="s">
        <v>923</v>
      </c>
      <c r="K96" s="55">
        <v>20038918</v>
      </c>
      <c r="L96" s="55" t="s">
        <v>198</v>
      </c>
      <c r="M96" s="141" t="str">
        <f t="shared" si="3"/>
        <v>EH1-INT_D</v>
      </c>
      <c r="N96" s="142" t="str">
        <f>LOOKUP(M96,'[2]Doc Set'!E:E,'[2]Doc Set'!F:F)</f>
        <v>_</v>
      </c>
      <c r="O96" s="141" t="s">
        <v>714</v>
      </c>
      <c r="P96" s="142">
        <f>+LOOKUP(O96,'[2]Doc Set'!E:E,'[2]Doc Set'!G:G)</f>
        <v>43493</v>
      </c>
      <c r="Q96" s="55" t="str">
        <f t="shared" si="2"/>
        <v>EH1-INT_D</v>
      </c>
      <c r="R96" s="142">
        <f>+LOOKUP(Q96,'[2]Doc Set'!E:E,'[2]Doc Set'!H:H)</f>
        <v>43521</v>
      </c>
      <c r="S96" s="143" t="s">
        <v>200</v>
      </c>
    </row>
    <row r="97" spans="1:19" x14ac:dyDescent="0.3">
      <c r="A97" s="156" t="s">
        <v>40</v>
      </c>
      <c r="B97" s="157" t="s">
        <v>190</v>
      </c>
      <c r="C97" s="157" t="s">
        <v>191</v>
      </c>
      <c r="D97" s="158" t="s">
        <v>64</v>
      </c>
      <c r="E97" s="55" t="s">
        <v>193</v>
      </c>
      <c r="F97" s="55" t="s">
        <v>663</v>
      </c>
      <c r="G97" s="55" t="s">
        <v>691</v>
      </c>
      <c r="H97" s="55" t="s">
        <v>924</v>
      </c>
      <c r="I97" s="139" t="s">
        <v>134</v>
      </c>
      <c r="J97" s="159" t="s">
        <v>925</v>
      </c>
      <c r="K97" s="55">
        <v>20038918</v>
      </c>
      <c r="L97" s="55" t="s">
        <v>198</v>
      </c>
      <c r="M97" s="141" t="str">
        <f t="shared" si="3"/>
        <v>EH1-INT_D</v>
      </c>
      <c r="N97" s="142" t="str">
        <f>LOOKUP(M97,'[2]Doc Set'!E:E,'[2]Doc Set'!F:F)</f>
        <v>_</v>
      </c>
      <c r="O97" s="141" t="s">
        <v>714</v>
      </c>
      <c r="P97" s="142">
        <f>+LOOKUP(O97,'[2]Doc Set'!E:E,'[2]Doc Set'!G:G)</f>
        <v>43493</v>
      </c>
      <c r="Q97" s="55" t="str">
        <f t="shared" si="2"/>
        <v>EH1-INT_D</v>
      </c>
      <c r="R97" s="142">
        <f>+LOOKUP(Q97,'[2]Doc Set'!E:E,'[2]Doc Set'!H:H)</f>
        <v>43521</v>
      </c>
      <c r="S97" s="143" t="s">
        <v>200</v>
      </c>
    </row>
    <row r="98" spans="1:19" x14ac:dyDescent="0.3">
      <c r="A98" s="156" t="s">
        <v>40</v>
      </c>
      <c r="B98" s="157" t="s">
        <v>190</v>
      </c>
      <c r="C98" s="157" t="s">
        <v>191</v>
      </c>
      <c r="D98" s="158" t="s">
        <v>64</v>
      </c>
      <c r="E98" s="55" t="s">
        <v>193</v>
      </c>
      <c r="F98" s="55" t="s">
        <v>663</v>
      </c>
      <c r="G98" s="55" t="s">
        <v>926</v>
      </c>
      <c r="H98" s="55" t="s">
        <v>927</v>
      </c>
      <c r="I98" s="139" t="s">
        <v>134</v>
      </c>
      <c r="J98" s="159" t="s">
        <v>928</v>
      </c>
      <c r="K98" s="55">
        <v>20038918</v>
      </c>
      <c r="L98" s="55" t="s">
        <v>198</v>
      </c>
      <c r="M98" s="141" t="str">
        <f t="shared" si="3"/>
        <v>EH1-INT_D</v>
      </c>
      <c r="N98" s="142" t="str">
        <f>LOOKUP(M98,'[2]Doc Set'!E:E,'[2]Doc Set'!F:F)</f>
        <v>_</v>
      </c>
      <c r="O98" s="141" t="s">
        <v>714</v>
      </c>
      <c r="P98" s="142">
        <f>+LOOKUP(O98,'[2]Doc Set'!E:E,'[2]Doc Set'!G:G)</f>
        <v>43493</v>
      </c>
      <c r="Q98" s="55" t="str">
        <f t="shared" si="2"/>
        <v>EH1-INT_D</v>
      </c>
      <c r="R98" s="142">
        <f>+LOOKUP(Q98,'[2]Doc Set'!E:E,'[2]Doc Set'!H:H)</f>
        <v>43521</v>
      </c>
      <c r="S98" s="143" t="s">
        <v>200</v>
      </c>
    </row>
  </sheetData>
  <autoFilter ref="A1:S98"/>
  <conditionalFormatting sqref="G1:G1048576">
    <cfRule type="duplicateValues" dxfId="107" priority="2"/>
    <cfRule type="duplicateValues" dxfId="106" priority="3"/>
    <cfRule type="duplicateValues" dxfId="105" priority="4"/>
  </conditionalFormatting>
  <conditionalFormatting sqref="H1:H1048576">
    <cfRule type="duplicateValues" dxfId="104" priority="1"/>
  </conditionalFormatting>
  <dataValidations count="1">
    <dataValidation type="list" allowBlank="1" showInputMessage="1" showErrorMessage="1" sqref="O2:O98 M2:M98">
      <formula1>Document_Set_Name</formula1>
    </dataValidation>
  </dataValidations>
  <pageMargins left="0.7" right="0.7" top="0.75" bottom="0.75" header="0.3" footer="0.3"/>
  <pageSetup orientation="portrait" r:id="rId1"/>
  <headerFooter>
    <oddFooter>&amp;L&amp;1#&amp;"Calibri"&amp;8 Sensitivity: LNT Construction Internal Use</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S169"/>
  <sheetViews>
    <sheetView topLeftCell="H160" zoomScaleNormal="100" workbookViewId="0">
      <selection activeCell="I60" sqref="I60"/>
    </sheetView>
  </sheetViews>
  <sheetFormatPr defaultRowHeight="14.4" x14ac:dyDescent="0.3"/>
  <cols>
    <col min="1" max="1" width="11.44140625" bestFit="1" customWidth="1"/>
    <col min="3" max="3" width="11.109375" bestFit="1" customWidth="1"/>
    <col min="4" max="4" width="11.33203125" style="155" bestFit="1" customWidth="1"/>
    <col min="5" max="5" width="10.5546875" bestFit="1" customWidth="1"/>
    <col min="6" max="6" width="8.5546875" bestFit="1" customWidth="1"/>
    <col min="8" max="8" width="22.5546875" bestFit="1" customWidth="1"/>
    <col min="10" max="10" width="56.5546875" bestFit="1" customWidth="1"/>
    <col min="11" max="11" width="11.6640625" customWidth="1"/>
    <col min="12" max="14" width="14.6640625" customWidth="1"/>
    <col min="15" max="15" width="13.6640625" customWidth="1"/>
    <col min="16" max="16" width="12.5546875" bestFit="1" customWidth="1"/>
    <col min="17" max="17" width="9.109375" customWidth="1"/>
    <col min="18" max="18" width="9.6640625" bestFit="1" customWidth="1"/>
    <col min="19" max="19" width="13.88671875" customWidth="1"/>
  </cols>
  <sheetData>
    <row r="1" spans="1:19" s="136" customFormat="1" x14ac:dyDescent="0.3">
      <c r="A1" s="136" t="s">
        <v>174</v>
      </c>
      <c r="B1" s="136" t="s">
        <v>175</v>
      </c>
      <c r="C1" s="136" t="s">
        <v>176</v>
      </c>
      <c r="D1" s="137" t="s">
        <v>177</v>
      </c>
      <c r="E1" s="136" t="s">
        <v>178</v>
      </c>
      <c r="F1" s="136" t="s">
        <v>179</v>
      </c>
      <c r="G1" s="136" t="s">
        <v>180</v>
      </c>
      <c r="H1" s="136" t="s">
        <v>181</v>
      </c>
      <c r="I1" s="136" t="s">
        <v>182</v>
      </c>
      <c r="J1" s="136" t="s">
        <v>183</v>
      </c>
      <c r="K1" s="136" t="s">
        <v>184</v>
      </c>
      <c r="L1" s="136" t="s">
        <v>185</v>
      </c>
      <c r="M1" s="136" t="s">
        <v>34</v>
      </c>
      <c r="N1" s="136" t="s">
        <v>186</v>
      </c>
      <c r="O1" s="136" t="s">
        <v>67</v>
      </c>
      <c r="P1" s="136" t="s">
        <v>187</v>
      </c>
      <c r="Q1" s="136" t="s">
        <v>133</v>
      </c>
      <c r="R1" s="136" t="s">
        <v>188</v>
      </c>
      <c r="S1" s="136" t="s">
        <v>189</v>
      </c>
    </row>
    <row r="2" spans="1:19" x14ac:dyDescent="0.3">
      <c r="A2" s="55" t="s">
        <v>40</v>
      </c>
      <c r="B2" s="55" t="s">
        <v>190</v>
      </c>
      <c r="C2" s="55" t="s">
        <v>191</v>
      </c>
      <c r="D2" s="138" t="s">
        <v>192</v>
      </c>
      <c r="E2" s="55" t="s">
        <v>193</v>
      </c>
      <c r="F2" s="55" t="s">
        <v>194</v>
      </c>
      <c r="G2" s="55" t="s">
        <v>195</v>
      </c>
      <c r="H2" s="55" t="s">
        <v>196</v>
      </c>
      <c r="I2" s="139" t="s">
        <v>51</v>
      </c>
      <c r="J2" s="140" t="s">
        <v>197</v>
      </c>
      <c r="K2" s="55">
        <v>20038918</v>
      </c>
      <c r="L2" s="55" t="s">
        <v>198</v>
      </c>
      <c r="M2" s="141" t="str">
        <f>+O2</f>
        <v>CC-INT_D</v>
      </c>
      <c r="N2" s="142" t="str">
        <f>LOOKUP(M2,'[2]Doc Set'!E:E,'[2]Doc Set'!F:F)</f>
        <v>_</v>
      </c>
      <c r="O2" s="141" t="s">
        <v>199</v>
      </c>
      <c r="P2" s="142">
        <f>+LOOKUP(O2,'[2]Doc Set'!E:E,'[2]Doc Set'!G:G)</f>
        <v>43437</v>
      </c>
      <c r="Q2" s="55" t="str">
        <f>+O2</f>
        <v>CC-INT_D</v>
      </c>
      <c r="R2" s="142">
        <f>+LOOKUP(Q2,'[2]Doc Set'!E:E,'[2]Doc Set'!H:H)</f>
        <v>43514</v>
      </c>
      <c r="S2" s="143" t="s">
        <v>200</v>
      </c>
    </row>
    <row r="3" spans="1:19" x14ac:dyDescent="0.3">
      <c r="A3" s="55" t="s">
        <v>40</v>
      </c>
      <c r="B3" s="55" t="s">
        <v>190</v>
      </c>
      <c r="C3" s="55" t="s">
        <v>191</v>
      </c>
      <c r="D3" s="138" t="s">
        <v>192</v>
      </c>
      <c r="E3" s="55" t="s">
        <v>193</v>
      </c>
      <c r="F3" s="55" t="s">
        <v>194</v>
      </c>
      <c r="G3" s="55" t="s">
        <v>201</v>
      </c>
      <c r="H3" s="55" t="s">
        <v>202</v>
      </c>
      <c r="I3" s="139" t="s">
        <v>51</v>
      </c>
      <c r="J3" s="140" t="s">
        <v>203</v>
      </c>
      <c r="K3" s="55">
        <v>20038918</v>
      </c>
      <c r="L3" s="55" t="s">
        <v>198</v>
      </c>
      <c r="M3" s="141" t="str">
        <f t="shared" ref="M3:M66" si="0">+O3</f>
        <v>CC-INT_D</v>
      </c>
      <c r="N3" s="142" t="str">
        <f>LOOKUP(M3,'[2]Doc Set'!E:E,'[2]Doc Set'!F:F)</f>
        <v>_</v>
      </c>
      <c r="O3" s="141" t="s">
        <v>199</v>
      </c>
      <c r="P3" s="142">
        <f>+LOOKUP(O3,'[2]Doc Set'!E:E,'[2]Doc Set'!G:G)</f>
        <v>43437</v>
      </c>
      <c r="Q3" s="55" t="str">
        <f t="shared" ref="Q3:Q66" si="1">+O3</f>
        <v>CC-INT_D</v>
      </c>
      <c r="R3" s="142">
        <f>+LOOKUP(Q3,'[2]Doc Set'!E:E,'[2]Doc Set'!H:H)</f>
        <v>43514</v>
      </c>
      <c r="S3" s="143" t="s">
        <v>200</v>
      </c>
    </row>
    <row r="4" spans="1:19" x14ac:dyDescent="0.3">
      <c r="A4" s="55" t="s">
        <v>40</v>
      </c>
      <c r="B4" s="55" t="s">
        <v>190</v>
      </c>
      <c r="C4" s="55" t="s">
        <v>191</v>
      </c>
      <c r="D4" s="138" t="s">
        <v>192</v>
      </c>
      <c r="E4" s="55" t="s">
        <v>193</v>
      </c>
      <c r="F4" s="55" t="s">
        <v>194</v>
      </c>
      <c r="G4" s="55" t="s">
        <v>204</v>
      </c>
      <c r="H4" s="55" t="s">
        <v>205</v>
      </c>
      <c r="I4" s="139" t="s">
        <v>51</v>
      </c>
      <c r="J4" s="140" t="s">
        <v>206</v>
      </c>
      <c r="K4" s="55">
        <v>20038918</v>
      </c>
      <c r="L4" s="55" t="s">
        <v>198</v>
      </c>
      <c r="M4" s="141" t="str">
        <f t="shared" si="0"/>
        <v>CC-INT_D</v>
      </c>
      <c r="N4" s="142" t="str">
        <f>LOOKUP(M4,'[2]Doc Set'!E:E,'[2]Doc Set'!F:F)</f>
        <v>_</v>
      </c>
      <c r="O4" s="141" t="s">
        <v>199</v>
      </c>
      <c r="P4" s="142">
        <f>+LOOKUP(O4,'[2]Doc Set'!E:E,'[2]Doc Set'!G:G)</f>
        <v>43437</v>
      </c>
      <c r="Q4" s="55" t="str">
        <f t="shared" si="1"/>
        <v>CC-INT_D</v>
      </c>
      <c r="R4" s="142">
        <f>+LOOKUP(Q4,'[2]Doc Set'!E:E,'[2]Doc Set'!H:H)</f>
        <v>43514</v>
      </c>
      <c r="S4" s="143" t="s">
        <v>200</v>
      </c>
    </row>
    <row r="5" spans="1:19" x14ac:dyDescent="0.3">
      <c r="A5" s="55" t="s">
        <v>40</v>
      </c>
      <c r="B5" s="55" t="s">
        <v>190</v>
      </c>
      <c r="C5" s="55" t="s">
        <v>191</v>
      </c>
      <c r="D5" s="138" t="s">
        <v>192</v>
      </c>
      <c r="E5" s="55" t="s">
        <v>193</v>
      </c>
      <c r="F5" s="55" t="s">
        <v>194</v>
      </c>
      <c r="G5" s="55" t="s">
        <v>207</v>
      </c>
      <c r="H5" s="55" t="s">
        <v>208</v>
      </c>
      <c r="I5" s="139" t="s">
        <v>51</v>
      </c>
      <c r="J5" s="140" t="s">
        <v>209</v>
      </c>
      <c r="K5" s="55">
        <v>20038918</v>
      </c>
      <c r="L5" s="55" t="s">
        <v>198</v>
      </c>
      <c r="M5" s="141" t="str">
        <f t="shared" si="0"/>
        <v>CC-INT_D</v>
      </c>
      <c r="N5" s="142" t="str">
        <f>LOOKUP(M5,'[2]Doc Set'!E:E,'[2]Doc Set'!F:F)</f>
        <v>_</v>
      </c>
      <c r="O5" s="141" t="s">
        <v>199</v>
      </c>
      <c r="P5" s="142">
        <f>+LOOKUP(O5,'[2]Doc Set'!E:E,'[2]Doc Set'!G:G)</f>
        <v>43437</v>
      </c>
      <c r="Q5" s="55" t="str">
        <f t="shared" si="1"/>
        <v>CC-INT_D</v>
      </c>
      <c r="R5" s="142">
        <f>+LOOKUP(Q5,'[2]Doc Set'!E:E,'[2]Doc Set'!H:H)</f>
        <v>43514</v>
      </c>
      <c r="S5" s="143" t="s">
        <v>200</v>
      </c>
    </row>
    <row r="6" spans="1:19" x14ac:dyDescent="0.3">
      <c r="A6" s="55" t="s">
        <v>40</v>
      </c>
      <c r="B6" s="55" t="s">
        <v>190</v>
      </c>
      <c r="C6" s="55" t="s">
        <v>191</v>
      </c>
      <c r="D6" s="138" t="s">
        <v>192</v>
      </c>
      <c r="E6" s="55" t="s">
        <v>193</v>
      </c>
      <c r="F6" s="55" t="s">
        <v>194</v>
      </c>
      <c r="G6" s="55" t="s">
        <v>210</v>
      </c>
      <c r="H6" s="55" t="s">
        <v>211</v>
      </c>
      <c r="I6" s="139" t="s">
        <v>51</v>
      </c>
      <c r="J6" s="140" t="s">
        <v>212</v>
      </c>
      <c r="K6" s="55">
        <v>20038918</v>
      </c>
      <c r="L6" s="55" t="s">
        <v>198</v>
      </c>
      <c r="M6" s="141" t="str">
        <f t="shared" si="0"/>
        <v>CC-INT_D</v>
      </c>
      <c r="N6" s="142" t="str">
        <f>LOOKUP(M6,'[2]Doc Set'!E:E,'[2]Doc Set'!F:F)</f>
        <v>_</v>
      </c>
      <c r="O6" s="141" t="s">
        <v>199</v>
      </c>
      <c r="P6" s="142">
        <f>+LOOKUP(O6,'[2]Doc Set'!E:E,'[2]Doc Set'!G:G)</f>
        <v>43437</v>
      </c>
      <c r="Q6" s="55" t="str">
        <f t="shared" si="1"/>
        <v>CC-INT_D</v>
      </c>
      <c r="R6" s="142">
        <f>+LOOKUP(Q6,'[2]Doc Set'!E:E,'[2]Doc Set'!H:H)</f>
        <v>43514</v>
      </c>
      <c r="S6" s="143" t="s">
        <v>200</v>
      </c>
    </row>
    <row r="7" spans="1:19" x14ac:dyDescent="0.3">
      <c r="A7" s="55" t="s">
        <v>40</v>
      </c>
      <c r="B7" s="55" t="s">
        <v>190</v>
      </c>
      <c r="C7" s="55" t="s">
        <v>191</v>
      </c>
      <c r="D7" s="138" t="s">
        <v>192</v>
      </c>
      <c r="E7" s="55" t="s">
        <v>193</v>
      </c>
      <c r="F7" s="55" t="s">
        <v>194</v>
      </c>
      <c r="G7" s="55" t="s">
        <v>213</v>
      </c>
      <c r="H7" s="55" t="s">
        <v>214</v>
      </c>
      <c r="I7" s="139" t="s">
        <v>51</v>
      </c>
      <c r="J7" s="140" t="s">
        <v>215</v>
      </c>
      <c r="K7" s="55">
        <v>20038918</v>
      </c>
      <c r="L7" s="55" t="s">
        <v>198</v>
      </c>
      <c r="M7" s="141" t="str">
        <f t="shared" si="0"/>
        <v>CC-INT_D</v>
      </c>
      <c r="N7" s="142" t="str">
        <f>LOOKUP(M7,'[2]Doc Set'!E:E,'[2]Doc Set'!F:F)</f>
        <v>_</v>
      </c>
      <c r="O7" s="141" t="s">
        <v>199</v>
      </c>
      <c r="P7" s="142">
        <f>+LOOKUP(O7,'[2]Doc Set'!E:E,'[2]Doc Set'!G:G)</f>
        <v>43437</v>
      </c>
      <c r="Q7" s="55" t="str">
        <f t="shared" si="1"/>
        <v>CC-INT_D</v>
      </c>
      <c r="R7" s="142">
        <f>+LOOKUP(Q7,'[2]Doc Set'!E:E,'[2]Doc Set'!H:H)</f>
        <v>43514</v>
      </c>
      <c r="S7" s="143" t="s">
        <v>200</v>
      </c>
    </row>
    <row r="8" spans="1:19" x14ac:dyDescent="0.3">
      <c r="A8" s="55" t="s">
        <v>40</v>
      </c>
      <c r="B8" s="55" t="s">
        <v>190</v>
      </c>
      <c r="C8" s="55" t="s">
        <v>191</v>
      </c>
      <c r="D8" s="138" t="s">
        <v>192</v>
      </c>
      <c r="E8" s="55" t="s">
        <v>193</v>
      </c>
      <c r="F8" s="55" t="s">
        <v>194</v>
      </c>
      <c r="G8" s="55" t="s">
        <v>216</v>
      </c>
      <c r="H8" s="55" t="s">
        <v>217</v>
      </c>
      <c r="I8" s="139" t="s">
        <v>51</v>
      </c>
      <c r="J8" s="140" t="s">
        <v>218</v>
      </c>
      <c r="K8" s="55">
        <v>20038918</v>
      </c>
      <c r="L8" s="55" t="s">
        <v>198</v>
      </c>
      <c r="M8" s="141" t="str">
        <f t="shared" si="0"/>
        <v>CC-INT_D</v>
      </c>
      <c r="N8" s="142" t="str">
        <f>LOOKUP(M8,'[2]Doc Set'!E:E,'[2]Doc Set'!F:F)</f>
        <v>_</v>
      </c>
      <c r="O8" s="141" t="s">
        <v>199</v>
      </c>
      <c r="P8" s="142">
        <f>+LOOKUP(O8,'[2]Doc Set'!E:E,'[2]Doc Set'!G:G)</f>
        <v>43437</v>
      </c>
      <c r="Q8" s="55" t="str">
        <f t="shared" si="1"/>
        <v>CC-INT_D</v>
      </c>
      <c r="R8" s="142">
        <f>+LOOKUP(Q8,'[2]Doc Set'!E:E,'[2]Doc Set'!H:H)</f>
        <v>43514</v>
      </c>
      <c r="S8" s="143" t="s">
        <v>200</v>
      </c>
    </row>
    <row r="9" spans="1:19" x14ac:dyDescent="0.3">
      <c r="A9" s="55" t="s">
        <v>40</v>
      </c>
      <c r="B9" s="55" t="s">
        <v>190</v>
      </c>
      <c r="C9" s="55" t="s">
        <v>191</v>
      </c>
      <c r="D9" s="138" t="s">
        <v>192</v>
      </c>
      <c r="E9" s="55" t="s">
        <v>193</v>
      </c>
      <c r="F9" s="55" t="s">
        <v>194</v>
      </c>
      <c r="G9" s="55" t="s">
        <v>219</v>
      </c>
      <c r="H9" s="55" t="s">
        <v>220</v>
      </c>
      <c r="I9" s="139" t="s">
        <v>51</v>
      </c>
      <c r="J9" s="140" t="s">
        <v>221</v>
      </c>
      <c r="K9" s="55">
        <v>20038918</v>
      </c>
      <c r="L9" s="55" t="s">
        <v>198</v>
      </c>
      <c r="M9" s="141" t="str">
        <f t="shared" si="0"/>
        <v>CC-INT_D</v>
      </c>
      <c r="N9" s="142" t="str">
        <f>LOOKUP(M9,'[2]Doc Set'!E:E,'[2]Doc Set'!F:F)</f>
        <v>_</v>
      </c>
      <c r="O9" s="141" t="s">
        <v>199</v>
      </c>
      <c r="P9" s="142">
        <f>+LOOKUP(O9,'[2]Doc Set'!E:E,'[2]Doc Set'!G:G)</f>
        <v>43437</v>
      </c>
      <c r="Q9" s="55" t="str">
        <f t="shared" si="1"/>
        <v>CC-INT_D</v>
      </c>
      <c r="R9" s="142">
        <f>+LOOKUP(Q9,'[2]Doc Set'!E:E,'[2]Doc Set'!H:H)</f>
        <v>43514</v>
      </c>
      <c r="S9" s="143" t="s">
        <v>200</v>
      </c>
    </row>
    <row r="10" spans="1:19" x14ac:dyDescent="0.3">
      <c r="A10" s="55" t="s">
        <v>40</v>
      </c>
      <c r="B10" s="55" t="s">
        <v>190</v>
      </c>
      <c r="C10" s="55" t="s">
        <v>191</v>
      </c>
      <c r="D10" s="138" t="s">
        <v>192</v>
      </c>
      <c r="E10" s="55" t="s">
        <v>193</v>
      </c>
      <c r="F10" s="55" t="s">
        <v>194</v>
      </c>
      <c r="G10" s="55" t="s">
        <v>222</v>
      </c>
      <c r="H10" s="55" t="s">
        <v>223</v>
      </c>
      <c r="I10" s="139" t="s">
        <v>51</v>
      </c>
      <c r="J10" s="140" t="s">
        <v>224</v>
      </c>
      <c r="K10" s="55">
        <v>20038918</v>
      </c>
      <c r="L10" s="55" t="s">
        <v>198</v>
      </c>
      <c r="M10" s="141" t="str">
        <f t="shared" si="0"/>
        <v>CC-INT_D</v>
      </c>
      <c r="N10" s="142" t="str">
        <f>LOOKUP(M10,'[2]Doc Set'!E:E,'[2]Doc Set'!F:F)</f>
        <v>_</v>
      </c>
      <c r="O10" s="141" t="s">
        <v>199</v>
      </c>
      <c r="P10" s="142">
        <f>+LOOKUP(O10,'[2]Doc Set'!E:E,'[2]Doc Set'!G:G)</f>
        <v>43437</v>
      </c>
      <c r="Q10" s="55" t="str">
        <f t="shared" si="1"/>
        <v>CC-INT_D</v>
      </c>
      <c r="R10" s="142">
        <f>+LOOKUP(Q10,'[2]Doc Set'!E:E,'[2]Doc Set'!H:H)</f>
        <v>43514</v>
      </c>
      <c r="S10" s="143" t="s">
        <v>200</v>
      </c>
    </row>
    <row r="11" spans="1:19" x14ac:dyDescent="0.3">
      <c r="A11" s="55" t="s">
        <v>40</v>
      </c>
      <c r="B11" s="55" t="s">
        <v>190</v>
      </c>
      <c r="C11" s="55" t="s">
        <v>191</v>
      </c>
      <c r="D11" s="138" t="s">
        <v>192</v>
      </c>
      <c r="E11" s="55" t="s">
        <v>193</v>
      </c>
      <c r="F11" s="55" t="s">
        <v>194</v>
      </c>
      <c r="G11" s="55" t="s">
        <v>225</v>
      </c>
      <c r="H11" s="55" t="s">
        <v>226</v>
      </c>
      <c r="I11" s="139" t="s">
        <v>51</v>
      </c>
      <c r="J11" s="140" t="s">
        <v>227</v>
      </c>
      <c r="K11" s="55">
        <v>20038918</v>
      </c>
      <c r="L11" s="55" t="s">
        <v>198</v>
      </c>
      <c r="M11" s="141" t="str">
        <f t="shared" si="0"/>
        <v>CC-INT_D</v>
      </c>
      <c r="N11" s="142" t="str">
        <f>LOOKUP(M11,'[2]Doc Set'!E:E,'[2]Doc Set'!F:F)</f>
        <v>_</v>
      </c>
      <c r="O11" s="141" t="s">
        <v>199</v>
      </c>
      <c r="P11" s="142">
        <f>+LOOKUP(O11,'[2]Doc Set'!E:E,'[2]Doc Set'!G:G)</f>
        <v>43437</v>
      </c>
      <c r="Q11" s="55" t="str">
        <f t="shared" si="1"/>
        <v>CC-INT_D</v>
      </c>
      <c r="R11" s="142">
        <f>+LOOKUP(Q11,'[2]Doc Set'!E:E,'[2]Doc Set'!H:H)</f>
        <v>43514</v>
      </c>
      <c r="S11" s="143" t="s">
        <v>200</v>
      </c>
    </row>
    <row r="12" spans="1:19" x14ac:dyDescent="0.3">
      <c r="A12" s="55" t="s">
        <v>40</v>
      </c>
      <c r="B12" s="55" t="s">
        <v>190</v>
      </c>
      <c r="C12" s="55" t="s">
        <v>191</v>
      </c>
      <c r="D12" s="138" t="s">
        <v>192</v>
      </c>
      <c r="E12" s="55" t="s">
        <v>193</v>
      </c>
      <c r="F12" s="55" t="s">
        <v>194</v>
      </c>
      <c r="G12" s="55" t="s">
        <v>228</v>
      </c>
      <c r="H12" s="55" t="s">
        <v>229</v>
      </c>
      <c r="I12" s="139" t="s">
        <v>51</v>
      </c>
      <c r="J12" s="140" t="s">
        <v>230</v>
      </c>
      <c r="K12" s="55">
        <v>20038918</v>
      </c>
      <c r="L12" s="55" t="s">
        <v>198</v>
      </c>
      <c r="M12" s="141" t="str">
        <f t="shared" si="0"/>
        <v>CC-INT_D</v>
      </c>
      <c r="N12" s="142" t="str">
        <f>LOOKUP(M12,'[2]Doc Set'!E:E,'[2]Doc Set'!F:F)</f>
        <v>_</v>
      </c>
      <c r="O12" s="141" t="s">
        <v>199</v>
      </c>
      <c r="P12" s="142">
        <f>+LOOKUP(O12,'[2]Doc Set'!E:E,'[2]Doc Set'!G:G)</f>
        <v>43437</v>
      </c>
      <c r="Q12" s="55" t="str">
        <f t="shared" si="1"/>
        <v>CC-INT_D</v>
      </c>
      <c r="R12" s="142">
        <f>+LOOKUP(Q12,'[2]Doc Set'!E:E,'[2]Doc Set'!H:H)</f>
        <v>43514</v>
      </c>
      <c r="S12" s="143" t="s">
        <v>200</v>
      </c>
    </row>
    <row r="13" spans="1:19" x14ac:dyDescent="0.3">
      <c r="A13" s="55" t="s">
        <v>40</v>
      </c>
      <c r="B13" s="55" t="s">
        <v>190</v>
      </c>
      <c r="C13" s="55" t="s">
        <v>191</v>
      </c>
      <c r="D13" s="138" t="s">
        <v>192</v>
      </c>
      <c r="E13" s="55" t="s">
        <v>193</v>
      </c>
      <c r="F13" s="55" t="s">
        <v>194</v>
      </c>
      <c r="G13" s="55" t="s">
        <v>231</v>
      </c>
      <c r="H13" s="55" t="s">
        <v>232</v>
      </c>
      <c r="I13" s="139" t="s">
        <v>51</v>
      </c>
      <c r="J13" s="140" t="s">
        <v>233</v>
      </c>
      <c r="K13" s="55">
        <v>20038918</v>
      </c>
      <c r="L13" s="55" t="s">
        <v>198</v>
      </c>
      <c r="M13" s="141" t="str">
        <f t="shared" si="0"/>
        <v>CC-INT_D</v>
      </c>
      <c r="N13" s="142" t="str">
        <f>LOOKUP(M13,'[2]Doc Set'!E:E,'[2]Doc Set'!F:F)</f>
        <v>_</v>
      </c>
      <c r="O13" s="141" t="s">
        <v>199</v>
      </c>
      <c r="P13" s="142">
        <f>+LOOKUP(O13,'[2]Doc Set'!E:E,'[2]Doc Set'!G:G)</f>
        <v>43437</v>
      </c>
      <c r="Q13" s="55" t="str">
        <f t="shared" si="1"/>
        <v>CC-INT_D</v>
      </c>
      <c r="R13" s="142">
        <f>+LOOKUP(Q13,'[2]Doc Set'!E:E,'[2]Doc Set'!H:H)</f>
        <v>43514</v>
      </c>
      <c r="S13" s="143" t="s">
        <v>200</v>
      </c>
    </row>
    <row r="14" spans="1:19" x14ac:dyDescent="0.3">
      <c r="A14" s="55" t="s">
        <v>40</v>
      </c>
      <c r="B14" s="55" t="s">
        <v>190</v>
      </c>
      <c r="C14" s="55" t="s">
        <v>191</v>
      </c>
      <c r="D14" s="138" t="s">
        <v>192</v>
      </c>
      <c r="E14" s="55" t="s">
        <v>193</v>
      </c>
      <c r="F14" s="55" t="s">
        <v>194</v>
      </c>
      <c r="G14" s="55" t="s">
        <v>234</v>
      </c>
      <c r="H14" s="55" t="s">
        <v>235</v>
      </c>
      <c r="I14" s="139" t="s">
        <v>51</v>
      </c>
      <c r="J14" s="140" t="s">
        <v>236</v>
      </c>
      <c r="K14" s="55">
        <v>20038918</v>
      </c>
      <c r="L14" s="55" t="s">
        <v>198</v>
      </c>
      <c r="M14" s="141" t="str">
        <f t="shared" si="0"/>
        <v>CC-INT_D</v>
      </c>
      <c r="N14" s="142" t="str">
        <f>LOOKUP(M14,'[2]Doc Set'!E:E,'[2]Doc Set'!F:F)</f>
        <v>_</v>
      </c>
      <c r="O14" s="141" t="s">
        <v>199</v>
      </c>
      <c r="P14" s="142">
        <f>+LOOKUP(O14,'[2]Doc Set'!E:E,'[2]Doc Set'!G:G)</f>
        <v>43437</v>
      </c>
      <c r="Q14" s="55" t="str">
        <f t="shared" si="1"/>
        <v>CC-INT_D</v>
      </c>
      <c r="R14" s="142">
        <f>+LOOKUP(Q14,'[2]Doc Set'!E:E,'[2]Doc Set'!H:H)</f>
        <v>43514</v>
      </c>
      <c r="S14" s="143" t="s">
        <v>200</v>
      </c>
    </row>
    <row r="15" spans="1:19" x14ac:dyDescent="0.3">
      <c r="A15" s="55" t="s">
        <v>40</v>
      </c>
      <c r="B15" s="55" t="s">
        <v>190</v>
      </c>
      <c r="C15" s="55" t="s">
        <v>191</v>
      </c>
      <c r="D15" s="138" t="s">
        <v>192</v>
      </c>
      <c r="E15" s="55" t="s">
        <v>193</v>
      </c>
      <c r="F15" s="55" t="s">
        <v>194</v>
      </c>
      <c r="G15" s="55" t="s">
        <v>237</v>
      </c>
      <c r="H15" s="55" t="s">
        <v>238</v>
      </c>
      <c r="I15" s="139" t="s">
        <v>51</v>
      </c>
      <c r="J15" s="140" t="s">
        <v>239</v>
      </c>
      <c r="K15" s="55">
        <v>20038918</v>
      </c>
      <c r="L15" s="55" t="s">
        <v>198</v>
      </c>
      <c r="M15" s="141" t="str">
        <f t="shared" si="0"/>
        <v>CC-INT_D</v>
      </c>
      <c r="N15" s="142" t="str">
        <f>LOOKUP(M15,'[2]Doc Set'!E:E,'[2]Doc Set'!F:F)</f>
        <v>_</v>
      </c>
      <c r="O15" s="141" t="s">
        <v>199</v>
      </c>
      <c r="P15" s="142">
        <f>+LOOKUP(O15,'[2]Doc Set'!E:E,'[2]Doc Set'!G:G)</f>
        <v>43437</v>
      </c>
      <c r="Q15" s="55" t="str">
        <f t="shared" si="1"/>
        <v>CC-INT_D</v>
      </c>
      <c r="R15" s="142">
        <f>+LOOKUP(Q15,'[2]Doc Set'!E:E,'[2]Doc Set'!H:H)</f>
        <v>43514</v>
      </c>
      <c r="S15" s="143" t="s">
        <v>200</v>
      </c>
    </row>
    <row r="16" spans="1:19" x14ac:dyDescent="0.3">
      <c r="A16" s="55" t="s">
        <v>40</v>
      </c>
      <c r="B16" s="55" t="s">
        <v>190</v>
      </c>
      <c r="C16" s="55" t="s">
        <v>191</v>
      </c>
      <c r="D16" s="138" t="s">
        <v>192</v>
      </c>
      <c r="E16" s="55" t="s">
        <v>193</v>
      </c>
      <c r="F16" s="55" t="s">
        <v>194</v>
      </c>
      <c r="G16" s="55" t="s">
        <v>240</v>
      </c>
      <c r="H16" s="55" t="s">
        <v>241</v>
      </c>
      <c r="I16" s="139" t="s">
        <v>51</v>
      </c>
      <c r="J16" s="140" t="s">
        <v>242</v>
      </c>
      <c r="K16" s="55">
        <v>20038918</v>
      </c>
      <c r="L16" s="55" t="s">
        <v>198</v>
      </c>
      <c r="M16" s="141" t="str">
        <f t="shared" si="0"/>
        <v>CC-INT_D</v>
      </c>
      <c r="N16" s="142" t="str">
        <f>LOOKUP(M16,'[2]Doc Set'!E:E,'[2]Doc Set'!F:F)</f>
        <v>_</v>
      </c>
      <c r="O16" s="141" t="s">
        <v>199</v>
      </c>
      <c r="P16" s="142">
        <f>+LOOKUP(O16,'[2]Doc Set'!E:E,'[2]Doc Set'!G:G)</f>
        <v>43437</v>
      </c>
      <c r="Q16" s="55" t="str">
        <f t="shared" si="1"/>
        <v>CC-INT_D</v>
      </c>
      <c r="R16" s="142">
        <f>+LOOKUP(Q16,'[2]Doc Set'!E:E,'[2]Doc Set'!H:H)</f>
        <v>43514</v>
      </c>
      <c r="S16" s="143" t="s">
        <v>200</v>
      </c>
    </row>
    <row r="17" spans="1:19" x14ac:dyDescent="0.3">
      <c r="A17" s="55" t="s">
        <v>40</v>
      </c>
      <c r="B17" s="55" t="s">
        <v>190</v>
      </c>
      <c r="C17" s="55" t="s">
        <v>191</v>
      </c>
      <c r="D17" s="138" t="s">
        <v>192</v>
      </c>
      <c r="E17" s="55" t="s">
        <v>193</v>
      </c>
      <c r="F17" s="55" t="s">
        <v>194</v>
      </c>
      <c r="G17" s="55" t="s">
        <v>243</v>
      </c>
      <c r="H17" s="55" t="s">
        <v>244</v>
      </c>
      <c r="I17" s="139" t="s">
        <v>51</v>
      </c>
      <c r="J17" s="140" t="s">
        <v>245</v>
      </c>
      <c r="K17" s="55">
        <v>20038918</v>
      </c>
      <c r="L17" s="55" t="s">
        <v>198</v>
      </c>
      <c r="M17" s="141" t="str">
        <f t="shared" si="0"/>
        <v>CC-INT_D</v>
      </c>
      <c r="N17" s="142" t="str">
        <f>LOOKUP(M17,'[2]Doc Set'!E:E,'[2]Doc Set'!F:F)</f>
        <v>_</v>
      </c>
      <c r="O17" s="141" t="s">
        <v>199</v>
      </c>
      <c r="P17" s="142">
        <f>+LOOKUP(O17,'[2]Doc Set'!E:E,'[2]Doc Set'!G:G)</f>
        <v>43437</v>
      </c>
      <c r="Q17" s="55" t="str">
        <f t="shared" si="1"/>
        <v>CC-INT_D</v>
      </c>
      <c r="R17" s="142">
        <f>+LOOKUP(Q17,'[2]Doc Set'!E:E,'[2]Doc Set'!H:H)</f>
        <v>43514</v>
      </c>
      <c r="S17" s="143" t="s">
        <v>200</v>
      </c>
    </row>
    <row r="18" spans="1:19" x14ac:dyDescent="0.3">
      <c r="A18" s="55" t="s">
        <v>40</v>
      </c>
      <c r="B18" s="55" t="s">
        <v>190</v>
      </c>
      <c r="C18" s="55" t="s">
        <v>191</v>
      </c>
      <c r="D18" s="138" t="s">
        <v>192</v>
      </c>
      <c r="E18" s="55" t="s">
        <v>193</v>
      </c>
      <c r="F18" s="55" t="s">
        <v>194</v>
      </c>
      <c r="G18" s="55" t="s">
        <v>246</v>
      </c>
      <c r="H18" s="55" t="s">
        <v>247</v>
      </c>
      <c r="I18" s="139" t="s">
        <v>51</v>
      </c>
      <c r="J18" s="140" t="s">
        <v>248</v>
      </c>
      <c r="K18" s="55">
        <v>20038918</v>
      </c>
      <c r="L18" s="55" t="s">
        <v>198</v>
      </c>
      <c r="M18" s="141" t="str">
        <f t="shared" si="0"/>
        <v>CC-INT_D</v>
      </c>
      <c r="N18" s="142" t="str">
        <f>LOOKUP(M18,'[2]Doc Set'!E:E,'[2]Doc Set'!F:F)</f>
        <v>_</v>
      </c>
      <c r="O18" s="141" t="s">
        <v>199</v>
      </c>
      <c r="P18" s="142">
        <f>+LOOKUP(O18,'[2]Doc Set'!E:E,'[2]Doc Set'!G:G)</f>
        <v>43437</v>
      </c>
      <c r="Q18" s="55" t="str">
        <f t="shared" si="1"/>
        <v>CC-INT_D</v>
      </c>
      <c r="R18" s="142">
        <f>+LOOKUP(Q18,'[2]Doc Set'!E:E,'[2]Doc Set'!H:H)</f>
        <v>43514</v>
      </c>
      <c r="S18" s="143" t="s">
        <v>200</v>
      </c>
    </row>
    <row r="19" spans="1:19" x14ac:dyDescent="0.3">
      <c r="A19" s="55" t="s">
        <v>40</v>
      </c>
      <c r="B19" s="55" t="s">
        <v>190</v>
      </c>
      <c r="C19" s="55" t="s">
        <v>191</v>
      </c>
      <c r="D19" s="138" t="s">
        <v>192</v>
      </c>
      <c r="E19" s="55" t="s">
        <v>193</v>
      </c>
      <c r="F19" s="55" t="s">
        <v>194</v>
      </c>
      <c r="G19" s="55" t="s">
        <v>249</v>
      </c>
      <c r="H19" s="55" t="s">
        <v>250</v>
      </c>
      <c r="I19" s="139" t="s">
        <v>51</v>
      </c>
      <c r="J19" s="140" t="s">
        <v>251</v>
      </c>
      <c r="K19" s="55">
        <v>20038918</v>
      </c>
      <c r="L19" s="55" t="s">
        <v>198</v>
      </c>
      <c r="M19" s="141" t="str">
        <f t="shared" si="0"/>
        <v>CC-INT_D</v>
      </c>
      <c r="N19" s="142" t="str">
        <f>LOOKUP(M19,'[2]Doc Set'!E:E,'[2]Doc Set'!F:F)</f>
        <v>_</v>
      </c>
      <c r="O19" s="141" t="s">
        <v>199</v>
      </c>
      <c r="P19" s="142">
        <f>+LOOKUP(O19,'[2]Doc Set'!E:E,'[2]Doc Set'!G:G)</f>
        <v>43437</v>
      </c>
      <c r="Q19" s="55" t="str">
        <f t="shared" si="1"/>
        <v>CC-INT_D</v>
      </c>
      <c r="R19" s="142">
        <f>+LOOKUP(Q19,'[2]Doc Set'!E:E,'[2]Doc Set'!H:H)</f>
        <v>43514</v>
      </c>
      <c r="S19" s="143" t="s">
        <v>200</v>
      </c>
    </row>
    <row r="20" spans="1:19" x14ac:dyDescent="0.3">
      <c r="A20" s="55" t="s">
        <v>40</v>
      </c>
      <c r="B20" s="55" t="s">
        <v>190</v>
      </c>
      <c r="C20" s="55" t="s">
        <v>191</v>
      </c>
      <c r="D20" s="138" t="s">
        <v>192</v>
      </c>
      <c r="E20" s="55" t="s">
        <v>193</v>
      </c>
      <c r="F20" s="55" t="s">
        <v>194</v>
      </c>
      <c r="G20" s="55" t="s">
        <v>252</v>
      </c>
      <c r="H20" s="55" t="s">
        <v>253</v>
      </c>
      <c r="I20" s="139" t="s">
        <v>51</v>
      </c>
      <c r="J20" s="140" t="s">
        <v>254</v>
      </c>
      <c r="K20" s="55">
        <v>20038918</v>
      </c>
      <c r="L20" s="55" t="s">
        <v>198</v>
      </c>
      <c r="M20" s="141" t="str">
        <f t="shared" si="0"/>
        <v>CC-INT_D</v>
      </c>
      <c r="N20" s="142" t="str">
        <f>LOOKUP(M20,'[2]Doc Set'!E:E,'[2]Doc Set'!F:F)</f>
        <v>_</v>
      </c>
      <c r="O20" s="141" t="s">
        <v>199</v>
      </c>
      <c r="P20" s="142">
        <f>+LOOKUP(O20,'[2]Doc Set'!E:E,'[2]Doc Set'!G:G)</f>
        <v>43437</v>
      </c>
      <c r="Q20" s="55" t="str">
        <f t="shared" si="1"/>
        <v>CC-INT_D</v>
      </c>
      <c r="R20" s="142">
        <f>+LOOKUP(Q20,'[2]Doc Set'!E:E,'[2]Doc Set'!H:H)</f>
        <v>43514</v>
      </c>
      <c r="S20" s="143" t="s">
        <v>200</v>
      </c>
    </row>
    <row r="21" spans="1:19" x14ac:dyDescent="0.3">
      <c r="A21" s="55" t="s">
        <v>40</v>
      </c>
      <c r="B21" s="55" t="s">
        <v>190</v>
      </c>
      <c r="C21" s="55" t="s">
        <v>191</v>
      </c>
      <c r="D21" s="138" t="s">
        <v>192</v>
      </c>
      <c r="E21" s="55" t="s">
        <v>193</v>
      </c>
      <c r="F21" s="55" t="s">
        <v>194</v>
      </c>
      <c r="G21" s="55" t="s">
        <v>255</v>
      </c>
      <c r="H21" s="55" t="s">
        <v>256</v>
      </c>
      <c r="I21" s="139" t="s">
        <v>51</v>
      </c>
      <c r="J21" s="140" t="s">
        <v>257</v>
      </c>
      <c r="K21" s="55">
        <v>20038918</v>
      </c>
      <c r="L21" s="55" t="s">
        <v>198</v>
      </c>
      <c r="M21" s="141" t="str">
        <f t="shared" si="0"/>
        <v>CC-INT_D</v>
      </c>
      <c r="N21" s="142" t="str">
        <f>LOOKUP(M21,'[2]Doc Set'!E:E,'[2]Doc Set'!F:F)</f>
        <v>_</v>
      </c>
      <c r="O21" s="141" t="s">
        <v>199</v>
      </c>
      <c r="P21" s="142">
        <f>+LOOKUP(O21,'[2]Doc Set'!E:E,'[2]Doc Set'!G:G)</f>
        <v>43437</v>
      </c>
      <c r="Q21" s="55" t="str">
        <f t="shared" si="1"/>
        <v>CC-INT_D</v>
      </c>
      <c r="R21" s="142">
        <f>+LOOKUP(Q21,'[2]Doc Set'!E:E,'[2]Doc Set'!H:H)</f>
        <v>43514</v>
      </c>
      <c r="S21" s="143" t="s">
        <v>200</v>
      </c>
    </row>
    <row r="22" spans="1:19" x14ac:dyDescent="0.3">
      <c r="A22" s="55" t="s">
        <v>40</v>
      </c>
      <c r="B22" s="55" t="s">
        <v>190</v>
      </c>
      <c r="C22" s="55" t="s">
        <v>191</v>
      </c>
      <c r="D22" s="138" t="s">
        <v>192</v>
      </c>
      <c r="E22" s="55" t="s">
        <v>193</v>
      </c>
      <c r="F22" s="55" t="s">
        <v>194</v>
      </c>
      <c r="G22" s="55" t="s">
        <v>258</v>
      </c>
      <c r="H22" s="55" t="s">
        <v>259</v>
      </c>
      <c r="I22" s="139" t="s">
        <v>51</v>
      </c>
      <c r="J22" s="140" t="s">
        <v>260</v>
      </c>
      <c r="K22" s="55">
        <v>20038918</v>
      </c>
      <c r="L22" s="55" t="s">
        <v>198</v>
      </c>
      <c r="M22" s="141" t="str">
        <f t="shared" si="0"/>
        <v>CC-INT_D</v>
      </c>
      <c r="N22" s="142" t="str">
        <f>LOOKUP(M22,'[2]Doc Set'!E:E,'[2]Doc Set'!F:F)</f>
        <v>_</v>
      </c>
      <c r="O22" s="141" t="s">
        <v>199</v>
      </c>
      <c r="P22" s="142">
        <f>+LOOKUP(O22,'[2]Doc Set'!E:E,'[2]Doc Set'!G:G)</f>
        <v>43437</v>
      </c>
      <c r="Q22" s="55" t="str">
        <f t="shared" si="1"/>
        <v>CC-INT_D</v>
      </c>
      <c r="R22" s="142">
        <f>+LOOKUP(Q22,'[2]Doc Set'!E:E,'[2]Doc Set'!H:H)</f>
        <v>43514</v>
      </c>
      <c r="S22" s="143" t="s">
        <v>200</v>
      </c>
    </row>
    <row r="23" spans="1:19" x14ac:dyDescent="0.3">
      <c r="A23" s="55" t="s">
        <v>40</v>
      </c>
      <c r="B23" s="55" t="s">
        <v>190</v>
      </c>
      <c r="C23" s="55" t="s">
        <v>191</v>
      </c>
      <c r="D23" s="138" t="s">
        <v>192</v>
      </c>
      <c r="E23" s="55" t="s">
        <v>193</v>
      </c>
      <c r="F23" s="55" t="s">
        <v>194</v>
      </c>
      <c r="G23" s="55" t="s">
        <v>261</v>
      </c>
      <c r="H23" s="55" t="s">
        <v>262</v>
      </c>
      <c r="I23" s="139" t="s">
        <v>51</v>
      </c>
      <c r="J23" s="140" t="s">
        <v>263</v>
      </c>
      <c r="K23" s="55">
        <v>20038918</v>
      </c>
      <c r="L23" s="55" t="s">
        <v>198</v>
      </c>
      <c r="M23" s="141" t="str">
        <f t="shared" si="0"/>
        <v>CC-INT_D</v>
      </c>
      <c r="N23" s="142" t="str">
        <f>LOOKUP(M23,'[2]Doc Set'!E:E,'[2]Doc Set'!F:F)</f>
        <v>_</v>
      </c>
      <c r="O23" s="141" t="s">
        <v>199</v>
      </c>
      <c r="P23" s="142">
        <f>+LOOKUP(O23,'[2]Doc Set'!E:E,'[2]Doc Set'!G:G)</f>
        <v>43437</v>
      </c>
      <c r="Q23" s="55" t="str">
        <f t="shared" si="1"/>
        <v>CC-INT_D</v>
      </c>
      <c r="R23" s="142">
        <f>+LOOKUP(Q23,'[2]Doc Set'!E:E,'[2]Doc Set'!H:H)</f>
        <v>43514</v>
      </c>
      <c r="S23" s="143" t="s">
        <v>200</v>
      </c>
    </row>
    <row r="24" spans="1:19" x14ac:dyDescent="0.3">
      <c r="A24" s="55" t="s">
        <v>40</v>
      </c>
      <c r="B24" s="55" t="s">
        <v>190</v>
      </c>
      <c r="C24" s="55" t="s">
        <v>191</v>
      </c>
      <c r="D24" s="138" t="s">
        <v>192</v>
      </c>
      <c r="E24" s="55" t="s">
        <v>193</v>
      </c>
      <c r="F24" s="55" t="s">
        <v>194</v>
      </c>
      <c r="G24" s="55" t="s">
        <v>264</v>
      </c>
      <c r="H24" s="55" t="s">
        <v>265</v>
      </c>
      <c r="I24" s="139" t="s">
        <v>51</v>
      </c>
      <c r="J24" s="140" t="s">
        <v>266</v>
      </c>
      <c r="K24" s="55">
        <v>20038918</v>
      </c>
      <c r="L24" s="55" t="s">
        <v>198</v>
      </c>
      <c r="M24" s="141" t="str">
        <f t="shared" si="0"/>
        <v>CC-INT_D</v>
      </c>
      <c r="N24" s="142" t="str">
        <f>LOOKUP(M24,'[2]Doc Set'!E:E,'[2]Doc Set'!F:F)</f>
        <v>_</v>
      </c>
      <c r="O24" s="141" t="s">
        <v>199</v>
      </c>
      <c r="P24" s="142">
        <f>+LOOKUP(O24,'[2]Doc Set'!E:E,'[2]Doc Set'!G:G)</f>
        <v>43437</v>
      </c>
      <c r="Q24" s="55" t="str">
        <f t="shared" si="1"/>
        <v>CC-INT_D</v>
      </c>
      <c r="R24" s="142">
        <f>+LOOKUP(Q24,'[2]Doc Set'!E:E,'[2]Doc Set'!H:H)</f>
        <v>43514</v>
      </c>
      <c r="S24" s="143" t="s">
        <v>200</v>
      </c>
    </row>
    <row r="25" spans="1:19" x14ac:dyDescent="0.3">
      <c r="A25" s="55" t="s">
        <v>40</v>
      </c>
      <c r="B25" s="55" t="s">
        <v>190</v>
      </c>
      <c r="C25" s="55" t="s">
        <v>191</v>
      </c>
      <c r="D25" s="138" t="s">
        <v>192</v>
      </c>
      <c r="E25" s="55" t="s">
        <v>193</v>
      </c>
      <c r="F25" s="55" t="s">
        <v>194</v>
      </c>
      <c r="G25" s="55" t="s">
        <v>267</v>
      </c>
      <c r="H25" s="55" t="s">
        <v>268</v>
      </c>
      <c r="I25" s="139" t="s">
        <v>51</v>
      </c>
      <c r="J25" s="140" t="s">
        <v>269</v>
      </c>
      <c r="K25" s="55">
        <v>20038918</v>
      </c>
      <c r="L25" s="55" t="s">
        <v>198</v>
      </c>
      <c r="M25" s="141" t="str">
        <f t="shared" si="0"/>
        <v>CC-INT_D</v>
      </c>
      <c r="N25" s="142" t="str">
        <f>LOOKUP(M25,'[2]Doc Set'!E:E,'[2]Doc Set'!F:F)</f>
        <v>_</v>
      </c>
      <c r="O25" s="141" t="s">
        <v>199</v>
      </c>
      <c r="P25" s="142">
        <f>+LOOKUP(O25,'[2]Doc Set'!E:E,'[2]Doc Set'!G:G)</f>
        <v>43437</v>
      </c>
      <c r="Q25" s="55" t="str">
        <f t="shared" si="1"/>
        <v>CC-INT_D</v>
      </c>
      <c r="R25" s="142">
        <f>+LOOKUP(Q25,'[2]Doc Set'!E:E,'[2]Doc Set'!H:H)</f>
        <v>43514</v>
      </c>
      <c r="S25" s="143" t="s">
        <v>200</v>
      </c>
    </row>
    <row r="26" spans="1:19" x14ac:dyDescent="0.3">
      <c r="A26" s="55" t="s">
        <v>40</v>
      </c>
      <c r="B26" s="55" t="s">
        <v>190</v>
      </c>
      <c r="C26" s="55" t="s">
        <v>191</v>
      </c>
      <c r="D26" s="138" t="s">
        <v>192</v>
      </c>
      <c r="E26" s="55" t="s">
        <v>193</v>
      </c>
      <c r="F26" s="55" t="s">
        <v>194</v>
      </c>
      <c r="G26" s="55" t="s">
        <v>270</v>
      </c>
      <c r="H26" s="55" t="s">
        <v>271</v>
      </c>
      <c r="I26" s="139" t="s">
        <v>51</v>
      </c>
      <c r="J26" s="140" t="s">
        <v>272</v>
      </c>
      <c r="K26" s="55">
        <v>20038918</v>
      </c>
      <c r="L26" s="55" t="s">
        <v>198</v>
      </c>
      <c r="M26" s="141" t="str">
        <f t="shared" si="0"/>
        <v>CC-INT_D</v>
      </c>
      <c r="N26" s="142" t="str">
        <f>LOOKUP(M26,'[2]Doc Set'!E:E,'[2]Doc Set'!F:F)</f>
        <v>_</v>
      </c>
      <c r="O26" s="141" t="s">
        <v>199</v>
      </c>
      <c r="P26" s="142">
        <f>+LOOKUP(O26,'[2]Doc Set'!E:E,'[2]Doc Set'!G:G)</f>
        <v>43437</v>
      </c>
      <c r="Q26" s="55" t="str">
        <f t="shared" si="1"/>
        <v>CC-INT_D</v>
      </c>
      <c r="R26" s="142">
        <f>+LOOKUP(Q26,'[2]Doc Set'!E:E,'[2]Doc Set'!H:H)</f>
        <v>43514</v>
      </c>
      <c r="S26" s="143" t="s">
        <v>200</v>
      </c>
    </row>
    <row r="27" spans="1:19" x14ac:dyDescent="0.3">
      <c r="A27" s="55" t="s">
        <v>40</v>
      </c>
      <c r="B27" s="55" t="s">
        <v>190</v>
      </c>
      <c r="C27" s="55" t="s">
        <v>191</v>
      </c>
      <c r="D27" s="138" t="s">
        <v>192</v>
      </c>
      <c r="E27" s="55" t="s">
        <v>193</v>
      </c>
      <c r="F27" s="55" t="s">
        <v>194</v>
      </c>
      <c r="G27" s="55" t="s">
        <v>273</v>
      </c>
      <c r="H27" s="55" t="s">
        <v>274</v>
      </c>
      <c r="I27" s="139" t="s">
        <v>51</v>
      </c>
      <c r="J27" s="140" t="s">
        <v>275</v>
      </c>
      <c r="K27" s="55">
        <v>20038918</v>
      </c>
      <c r="L27" s="55" t="s">
        <v>198</v>
      </c>
      <c r="M27" s="141" t="str">
        <f t="shared" si="0"/>
        <v>CC-INT_D</v>
      </c>
      <c r="N27" s="142" t="str">
        <f>LOOKUP(M27,'[2]Doc Set'!E:E,'[2]Doc Set'!F:F)</f>
        <v>_</v>
      </c>
      <c r="O27" s="141" t="s">
        <v>199</v>
      </c>
      <c r="P27" s="142">
        <f>+LOOKUP(O27,'[2]Doc Set'!E:E,'[2]Doc Set'!G:G)</f>
        <v>43437</v>
      </c>
      <c r="Q27" s="55" t="str">
        <f t="shared" si="1"/>
        <v>CC-INT_D</v>
      </c>
      <c r="R27" s="142">
        <f>+LOOKUP(Q27,'[2]Doc Set'!E:E,'[2]Doc Set'!H:H)</f>
        <v>43514</v>
      </c>
      <c r="S27" s="143" t="s">
        <v>200</v>
      </c>
    </row>
    <row r="28" spans="1:19" x14ac:dyDescent="0.3">
      <c r="A28" s="55" t="s">
        <v>40</v>
      </c>
      <c r="B28" s="55" t="s">
        <v>190</v>
      </c>
      <c r="C28" s="55" t="s">
        <v>191</v>
      </c>
      <c r="D28" s="138" t="s">
        <v>192</v>
      </c>
      <c r="E28" s="55" t="s">
        <v>193</v>
      </c>
      <c r="F28" s="55" t="s">
        <v>194</v>
      </c>
      <c r="G28" s="55" t="s">
        <v>276</v>
      </c>
      <c r="H28" s="55" t="s">
        <v>277</v>
      </c>
      <c r="I28" s="139" t="s">
        <v>51</v>
      </c>
      <c r="J28" s="140" t="s">
        <v>278</v>
      </c>
      <c r="K28" s="55">
        <v>20038918</v>
      </c>
      <c r="L28" s="55" t="s">
        <v>198</v>
      </c>
      <c r="M28" s="141" t="str">
        <f t="shared" si="0"/>
        <v>CC-INT_D</v>
      </c>
      <c r="N28" s="142" t="str">
        <f>LOOKUP(M28,'[2]Doc Set'!E:E,'[2]Doc Set'!F:F)</f>
        <v>_</v>
      </c>
      <c r="O28" s="141" t="s">
        <v>199</v>
      </c>
      <c r="P28" s="142">
        <f>+LOOKUP(O28,'[2]Doc Set'!E:E,'[2]Doc Set'!G:G)</f>
        <v>43437</v>
      </c>
      <c r="Q28" s="55" t="str">
        <f t="shared" si="1"/>
        <v>CC-INT_D</v>
      </c>
      <c r="R28" s="142">
        <f>+LOOKUP(Q28,'[2]Doc Set'!E:E,'[2]Doc Set'!H:H)</f>
        <v>43514</v>
      </c>
      <c r="S28" s="143" t="s">
        <v>200</v>
      </c>
    </row>
    <row r="29" spans="1:19" x14ac:dyDescent="0.3">
      <c r="A29" s="55" t="s">
        <v>40</v>
      </c>
      <c r="B29" s="55" t="s">
        <v>190</v>
      </c>
      <c r="C29" s="55" t="s">
        <v>191</v>
      </c>
      <c r="D29" s="138" t="s">
        <v>192</v>
      </c>
      <c r="E29" s="55" t="s">
        <v>193</v>
      </c>
      <c r="F29" s="55" t="s">
        <v>194</v>
      </c>
      <c r="G29" s="55" t="s">
        <v>279</v>
      </c>
      <c r="H29" s="55" t="s">
        <v>280</v>
      </c>
      <c r="I29" s="139" t="s">
        <v>51</v>
      </c>
      <c r="J29" s="140" t="s">
        <v>281</v>
      </c>
      <c r="K29" s="55">
        <v>20038918</v>
      </c>
      <c r="L29" s="55" t="s">
        <v>198</v>
      </c>
      <c r="M29" s="141" t="str">
        <f t="shared" si="0"/>
        <v>CC-INT_D</v>
      </c>
      <c r="N29" s="142" t="str">
        <f>LOOKUP(M29,'[2]Doc Set'!E:E,'[2]Doc Set'!F:F)</f>
        <v>_</v>
      </c>
      <c r="O29" s="141" t="s">
        <v>199</v>
      </c>
      <c r="P29" s="142">
        <f>+LOOKUP(O29,'[2]Doc Set'!E:E,'[2]Doc Set'!G:G)</f>
        <v>43437</v>
      </c>
      <c r="Q29" s="55" t="str">
        <f t="shared" si="1"/>
        <v>CC-INT_D</v>
      </c>
      <c r="R29" s="142">
        <f>+LOOKUP(Q29,'[2]Doc Set'!E:E,'[2]Doc Set'!H:H)</f>
        <v>43514</v>
      </c>
      <c r="S29" s="143" t="s">
        <v>200</v>
      </c>
    </row>
    <row r="30" spans="1:19" x14ac:dyDescent="0.3">
      <c r="A30" s="55" t="s">
        <v>40</v>
      </c>
      <c r="B30" s="55" t="s">
        <v>190</v>
      </c>
      <c r="C30" s="55" t="s">
        <v>191</v>
      </c>
      <c r="D30" s="138" t="s">
        <v>192</v>
      </c>
      <c r="E30" s="55" t="s">
        <v>193</v>
      </c>
      <c r="F30" s="55" t="s">
        <v>194</v>
      </c>
      <c r="G30" s="55" t="s">
        <v>282</v>
      </c>
      <c r="H30" s="55" t="s">
        <v>283</v>
      </c>
      <c r="I30" s="139" t="s">
        <v>51</v>
      </c>
      <c r="J30" s="140" t="s">
        <v>284</v>
      </c>
      <c r="K30" s="55">
        <v>20038918</v>
      </c>
      <c r="L30" s="55" t="s">
        <v>198</v>
      </c>
      <c r="M30" s="141" t="str">
        <f t="shared" si="0"/>
        <v>CC-INT_D</v>
      </c>
      <c r="N30" s="142" t="str">
        <f>LOOKUP(M30,'[2]Doc Set'!E:E,'[2]Doc Set'!F:F)</f>
        <v>_</v>
      </c>
      <c r="O30" s="141" t="s">
        <v>199</v>
      </c>
      <c r="P30" s="142">
        <f>+LOOKUP(O30,'[2]Doc Set'!E:E,'[2]Doc Set'!G:G)</f>
        <v>43437</v>
      </c>
      <c r="Q30" s="55" t="str">
        <f t="shared" si="1"/>
        <v>CC-INT_D</v>
      </c>
      <c r="R30" s="142">
        <f>+LOOKUP(Q30,'[2]Doc Set'!E:E,'[2]Doc Set'!H:H)</f>
        <v>43514</v>
      </c>
      <c r="S30" s="143" t="s">
        <v>200</v>
      </c>
    </row>
    <row r="31" spans="1:19" x14ac:dyDescent="0.3">
      <c r="A31" s="55" t="s">
        <v>40</v>
      </c>
      <c r="B31" s="55" t="s">
        <v>190</v>
      </c>
      <c r="C31" s="55" t="s">
        <v>191</v>
      </c>
      <c r="D31" s="138" t="s">
        <v>192</v>
      </c>
      <c r="E31" s="55" t="s">
        <v>193</v>
      </c>
      <c r="F31" s="55" t="s">
        <v>194</v>
      </c>
      <c r="G31" s="55" t="s">
        <v>285</v>
      </c>
      <c r="H31" s="55" t="s">
        <v>286</v>
      </c>
      <c r="I31" s="139" t="s">
        <v>51</v>
      </c>
      <c r="J31" s="140" t="s">
        <v>287</v>
      </c>
      <c r="K31" s="55">
        <v>20038918</v>
      </c>
      <c r="L31" s="55" t="s">
        <v>198</v>
      </c>
      <c r="M31" s="141" t="str">
        <f t="shared" si="0"/>
        <v>CC-INT_D</v>
      </c>
      <c r="N31" s="142" t="str">
        <f>LOOKUP(M31,'[2]Doc Set'!E:E,'[2]Doc Set'!F:F)</f>
        <v>_</v>
      </c>
      <c r="O31" s="141" t="s">
        <v>199</v>
      </c>
      <c r="P31" s="142">
        <f>+LOOKUP(O31,'[2]Doc Set'!E:E,'[2]Doc Set'!G:G)</f>
        <v>43437</v>
      </c>
      <c r="Q31" s="55" t="str">
        <f t="shared" si="1"/>
        <v>CC-INT_D</v>
      </c>
      <c r="R31" s="142">
        <f>+LOOKUP(Q31,'[2]Doc Set'!E:E,'[2]Doc Set'!H:H)</f>
        <v>43514</v>
      </c>
      <c r="S31" s="143" t="s">
        <v>200</v>
      </c>
    </row>
    <row r="32" spans="1:19" x14ac:dyDescent="0.3">
      <c r="A32" s="55" t="s">
        <v>40</v>
      </c>
      <c r="B32" s="55" t="s">
        <v>190</v>
      </c>
      <c r="C32" s="55" t="s">
        <v>191</v>
      </c>
      <c r="D32" s="138" t="s">
        <v>192</v>
      </c>
      <c r="E32" s="55" t="s">
        <v>193</v>
      </c>
      <c r="F32" s="55" t="s">
        <v>194</v>
      </c>
      <c r="G32" s="55" t="s">
        <v>288</v>
      </c>
      <c r="H32" s="55" t="s">
        <v>289</v>
      </c>
      <c r="I32" s="139" t="s">
        <v>51</v>
      </c>
      <c r="J32" s="140" t="s">
        <v>290</v>
      </c>
      <c r="K32" s="55">
        <v>20038918</v>
      </c>
      <c r="L32" s="55" t="s">
        <v>198</v>
      </c>
      <c r="M32" s="141" t="str">
        <f t="shared" si="0"/>
        <v>CC-INT_D</v>
      </c>
      <c r="N32" s="142" t="str">
        <f>LOOKUP(M32,'[2]Doc Set'!E:E,'[2]Doc Set'!F:F)</f>
        <v>_</v>
      </c>
      <c r="O32" s="141" t="s">
        <v>199</v>
      </c>
      <c r="P32" s="142">
        <f>+LOOKUP(O32,'[2]Doc Set'!E:E,'[2]Doc Set'!G:G)</f>
        <v>43437</v>
      </c>
      <c r="Q32" s="55" t="str">
        <f t="shared" si="1"/>
        <v>CC-INT_D</v>
      </c>
      <c r="R32" s="142">
        <f>+LOOKUP(Q32,'[2]Doc Set'!E:E,'[2]Doc Set'!H:H)</f>
        <v>43514</v>
      </c>
      <c r="S32" s="143" t="s">
        <v>200</v>
      </c>
    </row>
    <row r="33" spans="1:19" x14ac:dyDescent="0.3">
      <c r="A33" s="55" t="s">
        <v>40</v>
      </c>
      <c r="B33" s="55" t="s">
        <v>190</v>
      </c>
      <c r="C33" s="55" t="s">
        <v>191</v>
      </c>
      <c r="D33" s="138" t="s">
        <v>192</v>
      </c>
      <c r="E33" s="55" t="s">
        <v>193</v>
      </c>
      <c r="F33" s="55" t="s">
        <v>194</v>
      </c>
      <c r="G33" s="55" t="s">
        <v>291</v>
      </c>
      <c r="H33" s="55" t="s">
        <v>292</v>
      </c>
      <c r="I33" s="139" t="s">
        <v>51</v>
      </c>
      <c r="J33" s="140" t="s">
        <v>293</v>
      </c>
      <c r="K33" s="55">
        <v>20038918</v>
      </c>
      <c r="L33" s="55" t="s">
        <v>198</v>
      </c>
      <c r="M33" s="141" t="str">
        <f t="shared" si="0"/>
        <v>CC-INT_D</v>
      </c>
      <c r="N33" s="142" t="str">
        <f>LOOKUP(M33,'[2]Doc Set'!E:E,'[2]Doc Set'!F:F)</f>
        <v>_</v>
      </c>
      <c r="O33" s="141" t="s">
        <v>199</v>
      </c>
      <c r="P33" s="142">
        <f>+LOOKUP(O33,'[2]Doc Set'!E:E,'[2]Doc Set'!G:G)</f>
        <v>43437</v>
      </c>
      <c r="Q33" s="55" t="str">
        <f t="shared" si="1"/>
        <v>CC-INT_D</v>
      </c>
      <c r="R33" s="142">
        <f>+LOOKUP(Q33,'[2]Doc Set'!E:E,'[2]Doc Set'!H:H)</f>
        <v>43514</v>
      </c>
      <c r="S33" s="143" t="s">
        <v>200</v>
      </c>
    </row>
    <row r="34" spans="1:19" x14ac:dyDescent="0.3">
      <c r="A34" s="55" t="s">
        <v>40</v>
      </c>
      <c r="B34" s="55" t="s">
        <v>190</v>
      </c>
      <c r="C34" s="55" t="s">
        <v>191</v>
      </c>
      <c r="D34" s="138" t="s">
        <v>192</v>
      </c>
      <c r="E34" s="55" t="s">
        <v>193</v>
      </c>
      <c r="F34" s="55" t="s">
        <v>194</v>
      </c>
      <c r="G34" s="55" t="s">
        <v>294</v>
      </c>
      <c r="H34" s="55" t="s">
        <v>295</v>
      </c>
      <c r="I34" s="139" t="s">
        <v>51</v>
      </c>
      <c r="J34" s="140" t="s">
        <v>296</v>
      </c>
      <c r="K34" s="55">
        <v>20038918</v>
      </c>
      <c r="L34" s="55" t="s">
        <v>198</v>
      </c>
      <c r="M34" s="141" t="str">
        <f t="shared" si="0"/>
        <v>CC-INT_D</v>
      </c>
      <c r="N34" s="142" t="str">
        <f>LOOKUP(M34,'[2]Doc Set'!E:E,'[2]Doc Set'!F:F)</f>
        <v>_</v>
      </c>
      <c r="O34" s="141" t="s">
        <v>199</v>
      </c>
      <c r="P34" s="142">
        <f>+LOOKUP(O34,'[2]Doc Set'!E:E,'[2]Doc Set'!G:G)</f>
        <v>43437</v>
      </c>
      <c r="Q34" s="55" t="str">
        <f t="shared" si="1"/>
        <v>CC-INT_D</v>
      </c>
      <c r="R34" s="142">
        <f>+LOOKUP(Q34,'[2]Doc Set'!E:E,'[2]Doc Set'!H:H)</f>
        <v>43514</v>
      </c>
      <c r="S34" s="143" t="s">
        <v>200</v>
      </c>
    </row>
    <row r="35" spans="1:19" x14ac:dyDescent="0.3">
      <c r="A35" s="55" t="s">
        <v>40</v>
      </c>
      <c r="B35" s="55" t="s">
        <v>190</v>
      </c>
      <c r="C35" s="55" t="s">
        <v>191</v>
      </c>
      <c r="D35" s="138" t="s">
        <v>192</v>
      </c>
      <c r="E35" s="55" t="s">
        <v>193</v>
      </c>
      <c r="F35" s="55" t="s">
        <v>194</v>
      </c>
      <c r="G35" s="55" t="s">
        <v>297</v>
      </c>
      <c r="H35" s="55" t="s">
        <v>298</v>
      </c>
      <c r="I35" s="139" t="s">
        <v>51</v>
      </c>
      <c r="J35" s="140" t="s">
        <v>299</v>
      </c>
      <c r="K35" s="55">
        <v>20038918</v>
      </c>
      <c r="L35" s="55" t="s">
        <v>198</v>
      </c>
      <c r="M35" s="141" t="str">
        <f t="shared" si="0"/>
        <v>CC-INT_D</v>
      </c>
      <c r="N35" s="142" t="str">
        <f>LOOKUP(M35,'[2]Doc Set'!E:E,'[2]Doc Set'!F:F)</f>
        <v>_</v>
      </c>
      <c r="O35" s="141" t="s">
        <v>199</v>
      </c>
      <c r="P35" s="142">
        <f>+LOOKUP(O35,'[2]Doc Set'!E:E,'[2]Doc Set'!G:G)</f>
        <v>43437</v>
      </c>
      <c r="Q35" s="55" t="str">
        <f t="shared" si="1"/>
        <v>CC-INT_D</v>
      </c>
      <c r="R35" s="142">
        <f>+LOOKUP(Q35,'[2]Doc Set'!E:E,'[2]Doc Set'!H:H)</f>
        <v>43514</v>
      </c>
      <c r="S35" s="143" t="s">
        <v>200</v>
      </c>
    </row>
    <row r="36" spans="1:19" x14ac:dyDescent="0.3">
      <c r="A36" s="55" t="s">
        <v>40</v>
      </c>
      <c r="B36" s="55" t="s">
        <v>190</v>
      </c>
      <c r="C36" s="55" t="s">
        <v>191</v>
      </c>
      <c r="D36" s="138" t="s">
        <v>192</v>
      </c>
      <c r="E36" s="55" t="s">
        <v>193</v>
      </c>
      <c r="F36" s="55" t="s">
        <v>194</v>
      </c>
      <c r="G36" s="55" t="s">
        <v>300</v>
      </c>
      <c r="H36" s="55" t="s">
        <v>301</v>
      </c>
      <c r="I36" s="139" t="s">
        <v>51</v>
      </c>
      <c r="J36" s="140" t="s">
        <v>302</v>
      </c>
      <c r="K36" s="55">
        <v>20038918</v>
      </c>
      <c r="L36" s="55" t="s">
        <v>198</v>
      </c>
      <c r="M36" s="141" t="str">
        <f t="shared" si="0"/>
        <v>CC-INT_D</v>
      </c>
      <c r="N36" s="142" t="str">
        <f>LOOKUP(M36,'[2]Doc Set'!E:E,'[2]Doc Set'!F:F)</f>
        <v>_</v>
      </c>
      <c r="O36" s="141" t="s">
        <v>199</v>
      </c>
      <c r="P36" s="142">
        <f>+LOOKUP(O36,'[2]Doc Set'!E:E,'[2]Doc Set'!G:G)</f>
        <v>43437</v>
      </c>
      <c r="Q36" s="55" t="str">
        <f t="shared" si="1"/>
        <v>CC-INT_D</v>
      </c>
      <c r="R36" s="142">
        <f>+LOOKUP(Q36,'[2]Doc Set'!E:E,'[2]Doc Set'!H:H)</f>
        <v>43514</v>
      </c>
      <c r="S36" s="143" t="s">
        <v>200</v>
      </c>
    </row>
    <row r="37" spans="1:19" x14ac:dyDescent="0.3">
      <c r="A37" s="55" t="s">
        <v>40</v>
      </c>
      <c r="B37" s="55" t="s">
        <v>190</v>
      </c>
      <c r="C37" s="55" t="s">
        <v>191</v>
      </c>
      <c r="D37" s="138" t="s">
        <v>192</v>
      </c>
      <c r="E37" s="55" t="s">
        <v>193</v>
      </c>
      <c r="F37" s="55" t="s">
        <v>194</v>
      </c>
      <c r="G37" s="55" t="s">
        <v>303</v>
      </c>
      <c r="H37" s="55" t="s">
        <v>304</v>
      </c>
      <c r="I37" s="139" t="s">
        <v>51</v>
      </c>
      <c r="J37" s="140" t="s">
        <v>305</v>
      </c>
      <c r="K37" s="55">
        <v>20038918</v>
      </c>
      <c r="L37" s="55" t="s">
        <v>198</v>
      </c>
      <c r="M37" s="141" t="str">
        <f t="shared" si="0"/>
        <v>CC-INT_E</v>
      </c>
      <c r="N37" s="142" t="str">
        <f>LOOKUP(M37,'[2]Doc Set'!E:E,'[2]Doc Set'!F:F)</f>
        <v>_</v>
      </c>
      <c r="O37" s="141" t="s">
        <v>306</v>
      </c>
      <c r="P37" s="142">
        <f>+LOOKUP(O37,'[2]Doc Set'!E:E,'[2]Doc Set'!G:G)</f>
        <v>43489</v>
      </c>
      <c r="Q37" s="55" t="str">
        <f t="shared" si="1"/>
        <v>CC-INT_E</v>
      </c>
      <c r="R37" s="142">
        <f>+LOOKUP(Q37,'[2]Doc Set'!E:E,'[2]Doc Set'!H:H)</f>
        <v>43542</v>
      </c>
      <c r="S37" s="143" t="s">
        <v>200</v>
      </c>
    </row>
    <row r="38" spans="1:19" x14ac:dyDescent="0.3">
      <c r="A38" s="55" t="s">
        <v>40</v>
      </c>
      <c r="B38" s="55" t="s">
        <v>190</v>
      </c>
      <c r="C38" s="55" t="s">
        <v>191</v>
      </c>
      <c r="D38" s="138" t="s">
        <v>192</v>
      </c>
      <c r="E38" s="55" t="s">
        <v>193</v>
      </c>
      <c r="F38" s="55" t="s">
        <v>194</v>
      </c>
      <c r="G38" s="55" t="s">
        <v>307</v>
      </c>
      <c r="H38" s="55" t="s">
        <v>308</v>
      </c>
      <c r="I38" s="139" t="s">
        <v>51</v>
      </c>
      <c r="J38" s="140" t="s">
        <v>309</v>
      </c>
      <c r="K38" s="55">
        <v>20038918</v>
      </c>
      <c r="L38" s="55" t="s">
        <v>198</v>
      </c>
      <c r="M38" s="141" t="str">
        <f t="shared" si="0"/>
        <v>CC-INT_E</v>
      </c>
      <c r="N38" s="142" t="str">
        <f>LOOKUP(M38,'[2]Doc Set'!E:E,'[2]Doc Set'!F:F)</f>
        <v>_</v>
      </c>
      <c r="O38" s="141" t="s">
        <v>306</v>
      </c>
      <c r="P38" s="142">
        <f>+LOOKUP(O38,'[2]Doc Set'!E:E,'[2]Doc Set'!G:G)</f>
        <v>43489</v>
      </c>
      <c r="Q38" s="55" t="str">
        <f t="shared" si="1"/>
        <v>CC-INT_E</v>
      </c>
      <c r="R38" s="142">
        <f>+LOOKUP(Q38,'[2]Doc Set'!E:E,'[2]Doc Set'!H:H)</f>
        <v>43542</v>
      </c>
      <c r="S38" s="143" t="s">
        <v>200</v>
      </c>
    </row>
    <row r="39" spans="1:19" x14ac:dyDescent="0.3">
      <c r="A39" s="55" t="s">
        <v>40</v>
      </c>
      <c r="B39" s="55" t="s">
        <v>190</v>
      </c>
      <c r="C39" s="55" t="s">
        <v>191</v>
      </c>
      <c r="D39" s="138" t="s">
        <v>192</v>
      </c>
      <c r="E39" s="55" t="s">
        <v>193</v>
      </c>
      <c r="F39" s="55" t="s">
        <v>194</v>
      </c>
      <c r="G39" s="55" t="s">
        <v>310</v>
      </c>
      <c r="H39" s="55" t="s">
        <v>311</v>
      </c>
      <c r="I39" s="139" t="s">
        <v>51</v>
      </c>
      <c r="J39" s="140" t="s">
        <v>312</v>
      </c>
      <c r="K39" s="55">
        <v>20038918</v>
      </c>
      <c r="L39" s="55" t="s">
        <v>198</v>
      </c>
      <c r="M39" s="141" t="str">
        <f t="shared" si="0"/>
        <v>CC-INT_E</v>
      </c>
      <c r="N39" s="142" t="str">
        <f>LOOKUP(M39,'[2]Doc Set'!E:E,'[2]Doc Set'!F:F)</f>
        <v>_</v>
      </c>
      <c r="O39" s="141" t="s">
        <v>306</v>
      </c>
      <c r="P39" s="142">
        <f>+LOOKUP(O39,'[2]Doc Set'!E:E,'[2]Doc Set'!G:G)</f>
        <v>43489</v>
      </c>
      <c r="Q39" s="55" t="str">
        <f t="shared" si="1"/>
        <v>CC-INT_E</v>
      </c>
      <c r="R39" s="142">
        <f>+LOOKUP(Q39,'[2]Doc Set'!E:E,'[2]Doc Set'!H:H)</f>
        <v>43542</v>
      </c>
      <c r="S39" s="143" t="s">
        <v>200</v>
      </c>
    </row>
    <row r="40" spans="1:19" x14ac:dyDescent="0.3">
      <c r="A40" s="55" t="s">
        <v>40</v>
      </c>
      <c r="B40" s="55" t="s">
        <v>190</v>
      </c>
      <c r="C40" s="55" t="s">
        <v>191</v>
      </c>
      <c r="D40" s="138" t="s">
        <v>192</v>
      </c>
      <c r="E40" s="55" t="s">
        <v>193</v>
      </c>
      <c r="F40" s="55" t="s">
        <v>194</v>
      </c>
      <c r="G40" s="55" t="s">
        <v>313</v>
      </c>
      <c r="H40" s="55" t="s">
        <v>314</v>
      </c>
      <c r="I40" s="139" t="s">
        <v>51</v>
      </c>
      <c r="J40" s="140" t="s">
        <v>315</v>
      </c>
      <c r="K40" s="55">
        <v>20038918</v>
      </c>
      <c r="L40" s="55" t="s">
        <v>198</v>
      </c>
      <c r="M40" s="141" t="str">
        <f t="shared" si="0"/>
        <v>CC-INT_E</v>
      </c>
      <c r="N40" s="142" t="str">
        <f>LOOKUP(M40,'[2]Doc Set'!E:E,'[2]Doc Set'!F:F)</f>
        <v>_</v>
      </c>
      <c r="O40" s="141" t="s">
        <v>306</v>
      </c>
      <c r="P40" s="142">
        <f>+LOOKUP(O40,'[2]Doc Set'!E:E,'[2]Doc Set'!G:G)</f>
        <v>43489</v>
      </c>
      <c r="Q40" s="55" t="str">
        <f t="shared" si="1"/>
        <v>CC-INT_E</v>
      </c>
      <c r="R40" s="142">
        <f>+LOOKUP(Q40,'[2]Doc Set'!E:E,'[2]Doc Set'!H:H)</f>
        <v>43542</v>
      </c>
      <c r="S40" s="143" t="s">
        <v>200</v>
      </c>
    </row>
    <row r="41" spans="1:19" x14ac:dyDescent="0.3">
      <c r="A41" s="55" t="s">
        <v>40</v>
      </c>
      <c r="B41" s="55" t="s">
        <v>190</v>
      </c>
      <c r="C41" s="55" t="s">
        <v>191</v>
      </c>
      <c r="D41" s="138" t="s">
        <v>192</v>
      </c>
      <c r="E41" s="55" t="s">
        <v>193</v>
      </c>
      <c r="F41" s="55" t="s">
        <v>194</v>
      </c>
      <c r="G41" s="55" t="s">
        <v>316</v>
      </c>
      <c r="H41" s="55" t="s">
        <v>317</v>
      </c>
      <c r="I41" s="139" t="s">
        <v>51</v>
      </c>
      <c r="J41" s="140" t="s">
        <v>318</v>
      </c>
      <c r="K41" s="55">
        <v>20038918</v>
      </c>
      <c r="L41" s="55" t="s">
        <v>198</v>
      </c>
      <c r="M41" s="141" t="str">
        <f t="shared" si="0"/>
        <v>CC-INT_E</v>
      </c>
      <c r="N41" s="142" t="str">
        <f>LOOKUP(M41,'[2]Doc Set'!E:E,'[2]Doc Set'!F:F)</f>
        <v>_</v>
      </c>
      <c r="O41" s="141" t="s">
        <v>306</v>
      </c>
      <c r="P41" s="142">
        <f>+LOOKUP(O41,'[2]Doc Set'!E:E,'[2]Doc Set'!G:G)</f>
        <v>43489</v>
      </c>
      <c r="Q41" s="55" t="str">
        <f t="shared" si="1"/>
        <v>CC-INT_E</v>
      </c>
      <c r="R41" s="142">
        <f>+LOOKUP(Q41,'[2]Doc Set'!E:E,'[2]Doc Set'!H:H)</f>
        <v>43542</v>
      </c>
      <c r="S41" s="143" t="s">
        <v>200</v>
      </c>
    </row>
    <row r="42" spans="1:19" x14ac:dyDescent="0.3">
      <c r="A42" s="55" t="s">
        <v>40</v>
      </c>
      <c r="B42" s="55" t="s">
        <v>190</v>
      </c>
      <c r="C42" s="55" t="s">
        <v>191</v>
      </c>
      <c r="D42" s="138" t="s">
        <v>192</v>
      </c>
      <c r="E42" s="55" t="s">
        <v>193</v>
      </c>
      <c r="F42" s="55" t="s">
        <v>194</v>
      </c>
      <c r="G42" s="55" t="s">
        <v>319</v>
      </c>
      <c r="H42" s="55" t="s">
        <v>320</v>
      </c>
      <c r="I42" s="139" t="s">
        <v>51</v>
      </c>
      <c r="J42" s="140" t="s">
        <v>321</v>
      </c>
      <c r="K42" s="55">
        <v>20038918</v>
      </c>
      <c r="L42" s="55" t="s">
        <v>198</v>
      </c>
      <c r="M42" s="141" t="str">
        <f t="shared" si="0"/>
        <v>CC-INT_E</v>
      </c>
      <c r="N42" s="142" t="str">
        <f>LOOKUP(M42,'[2]Doc Set'!E:E,'[2]Doc Set'!F:F)</f>
        <v>_</v>
      </c>
      <c r="O42" s="141" t="s">
        <v>306</v>
      </c>
      <c r="P42" s="142">
        <f>+LOOKUP(O42,'[2]Doc Set'!E:E,'[2]Doc Set'!G:G)</f>
        <v>43489</v>
      </c>
      <c r="Q42" s="55" t="str">
        <f t="shared" si="1"/>
        <v>CC-INT_E</v>
      </c>
      <c r="R42" s="142">
        <f>+LOOKUP(Q42,'[2]Doc Set'!E:E,'[2]Doc Set'!H:H)</f>
        <v>43542</v>
      </c>
      <c r="S42" s="143" t="s">
        <v>200</v>
      </c>
    </row>
    <row r="43" spans="1:19" x14ac:dyDescent="0.3">
      <c r="A43" s="55" t="s">
        <v>40</v>
      </c>
      <c r="B43" s="55" t="s">
        <v>190</v>
      </c>
      <c r="C43" s="55" t="s">
        <v>191</v>
      </c>
      <c r="D43" s="138" t="s">
        <v>192</v>
      </c>
      <c r="E43" s="55" t="s">
        <v>193</v>
      </c>
      <c r="F43" s="55" t="s">
        <v>194</v>
      </c>
      <c r="G43" s="55" t="s">
        <v>322</v>
      </c>
      <c r="H43" s="55" t="s">
        <v>323</v>
      </c>
      <c r="I43" s="139" t="s">
        <v>51</v>
      </c>
      <c r="J43" s="140" t="s">
        <v>324</v>
      </c>
      <c r="K43" s="55">
        <v>20038918</v>
      </c>
      <c r="L43" s="55" t="s">
        <v>198</v>
      </c>
      <c r="M43" s="141" t="str">
        <f t="shared" si="0"/>
        <v>CC-INT_E</v>
      </c>
      <c r="N43" s="142" t="str">
        <f>LOOKUP(M43,'[2]Doc Set'!E:E,'[2]Doc Set'!F:F)</f>
        <v>_</v>
      </c>
      <c r="O43" s="141" t="s">
        <v>306</v>
      </c>
      <c r="P43" s="142">
        <f>+LOOKUP(O43,'[2]Doc Set'!E:E,'[2]Doc Set'!G:G)</f>
        <v>43489</v>
      </c>
      <c r="Q43" s="55" t="str">
        <f t="shared" si="1"/>
        <v>CC-INT_E</v>
      </c>
      <c r="R43" s="142">
        <f>+LOOKUP(Q43,'[2]Doc Set'!E:E,'[2]Doc Set'!H:H)</f>
        <v>43542</v>
      </c>
      <c r="S43" s="143" t="s">
        <v>200</v>
      </c>
    </row>
    <row r="44" spans="1:19" x14ac:dyDescent="0.3">
      <c r="A44" s="55" t="s">
        <v>40</v>
      </c>
      <c r="B44" s="55" t="s">
        <v>190</v>
      </c>
      <c r="C44" s="55" t="s">
        <v>191</v>
      </c>
      <c r="D44" s="138" t="s">
        <v>192</v>
      </c>
      <c r="E44" s="55" t="s">
        <v>193</v>
      </c>
      <c r="F44" s="55" t="s">
        <v>194</v>
      </c>
      <c r="G44" s="55" t="s">
        <v>325</v>
      </c>
      <c r="H44" s="55" t="s">
        <v>326</v>
      </c>
      <c r="I44" s="139" t="s">
        <v>51</v>
      </c>
      <c r="J44" s="140" t="s">
        <v>327</v>
      </c>
      <c r="K44" s="55">
        <v>20038918</v>
      </c>
      <c r="L44" s="55" t="s">
        <v>198</v>
      </c>
      <c r="M44" s="141" t="str">
        <f t="shared" si="0"/>
        <v>CC-INT_E</v>
      </c>
      <c r="N44" s="142" t="str">
        <f>LOOKUP(M44,'[2]Doc Set'!E:E,'[2]Doc Set'!F:F)</f>
        <v>_</v>
      </c>
      <c r="O44" s="141" t="s">
        <v>306</v>
      </c>
      <c r="P44" s="142">
        <f>+LOOKUP(O44,'[2]Doc Set'!E:E,'[2]Doc Set'!G:G)</f>
        <v>43489</v>
      </c>
      <c r="Q44" s="55" t="str">
        <f t="shared" si="1"/>
        <v>CC-INT_E</v>
      </c>
      <c r="R44" s="142">
        <f>+LOOKUP(Q44,'[2]Doc Set'!E:E,'[2]Doc Set'!H:H)</f>
        <v>43542</v>
      </c>
      <c r="S44" s="143" t="s">
        <v>200</v>
      </c>
    </row>
    <row r="45" spans="1:19" x14ac:dyDescent="0.3">
      <c r="A45" s="55" t="s">
        <v>40</v>
      </c>
      <c r="B45" s="55" t="s">
        <v>190</v>
      </c>
      <c r="C45" s="55" t="s">
        <v>191</v>
      </c>
      <c r="D45" s="138" t="s">
        <v>192</v>
      </c>
      <c r="E45" s="55" t="s">
        <v>193</v>
      </c>
      <c r="F45" s="55" t="s">
        <v>194</v>
      </c>
      <c r="G45" s="55" t="s">
        <v>328</v>
      </c>
      <c r="H45" s="55" t="s">
        <v>329</v>
      </c>
      <c r="I45" s="139" t="s">
        <v>51</v>
      </c>
      <c r="J45" s="140" t="s">
        <v>330</v>
      </c>
      <c r="K45" s="55">
        <v>20038918</v>
      </c>
      <c r="L45" s="55" t="s">
        <v>198</v>
      </c>
      <c r="M45" s="141" t="str">
        <f t="shared" si="0"/>
        <v>CC-INT_E</v>
      </c>
      <c r="N45" s="142" t="str">
        <f>LOOKUP(M45,'[2]Doc Set'!E:E,'[2]Doc Set'!F:F)</f>
        <v>_</v>
      </c>
      <c r="O45" s="141" t="s">
        <v>306</v>
      </c>
      <c r="P45" s="142">
        <f>+LOOKUP(O45,'[2]Doc Set'!E:E,'[2]Doc Set'!G:G)</f>
        <v>43489</v>
      </c>
      <c r="Q45" s="55" t="str">
        <f t="shared" si="1"/>
        <v>CC-INT_E</v>
      </c>
      <c r="R45" s="142">
        <f>+LOOKUP(Q45,'[2]Doc Set'!E:E,'[2]Doc Set'!H:H)</f>
        <v>43542</v>
      </c>
      <c r="S45" s="143" t="s">
        <v>200</v>
      </c>
    </row>
    <row r="46" spans="1:19" x14ac:dyDescent="0.3">
      <c r="A46" s="55" t="s">
        <v>40</v>
      </c>
      <c r="B46" s="55" t="s">
        <v>190</v>
      </c>
      <c r="C46" s="55" t="s">
        <v>191</v>
      </c>
      <c r="D46" s="138" t="s">
        <v>192</v>
      </c>
      <c r="E46" s="55" t="s">
        <v>193</v>
      </c>
      <c r="F46" s="55" t="s">
        <v>194</v>
      </c>
      <c r="G46" s="55" t="s">
        <v>331</v>
      </c>
      <c r="H46" s="55" t="s">
        <v>332</v>
      </c>
      <c r="I46" s="139" t="s">
        <v>51</v>
      </c>
      <c r="J46" s="140" t="s">
        <v>333</v>
      </c>
      <c r="K46" s="55">
        <v>20038918</v>
      </c>
      <c r="L46" s="55" t="s">
        <v>198</v>
      </c>
      <c r="M46" s="141" t="str">
        <f t="shared" si="0"/>
        <v>CC-INT_E</v>
      </c>
      <c r="N46" s="142" t="str">
        <f>LOOKUP(M46,'[2]Doc Set'!E:E,'[2]Doc Set'!F:F)</f>
        <v>_</v>
      </c>
      <c r="O46" s="141" t="s">
        <v>306</v>
      </c>
      <c r="P46" s="142">
        <f>+LOOKUP(O46,'[2]Doc Set'!E:E,'[2]Doc Set'!G:G)</f>
        <v>43489</v>
      </c>
      <c r="Q46" s="55" t="str">
        <f t="shared" si="1"/>
        <v>CC-INT_E</v>
      </c>
      <c r="R46" s="142">
        <f>+LOOKUP(Q46,'[2]Doc Set'!E:E,'[2]Doc Set'!H:H)</f>
        <v>43542</v>
      </c>
      <c r="S46" s="143" t="s">
        <v>200</v>
      </c>
    </row>
    <row r="47" spans="1:19" x14ac:dyDescent="0.3">
      <c r="A47" s="55" t="s">
        <v>40</v>
      </c>
      <c r="B47" s="55" t="s">
        <v>190</v>
      </c>
      <c r="C47" s="55" t="s">
        <v>191</v>
      </c>
      <c r="D47" s="138" t="s">
        <v>192</v>
      </c>
      <c r="E47" s="55" t="s">
        <v>193</v>
      </c>
      <c r="F47" s="55" t="s">
        <v>194</v>
      </c>
      <c r="G47" s="55" t="s">
        <v>334</v>
      </c>
      <c r="H47" s="55" t="s">
        <v>335</v>
      </c>
      <c r="I47" s="139" t="s">
        <v>51</v>
      </c>
      <c r="J47" s="140" t="s">
        <v>336</v>
      </c>
      <c r="K47" s="55">
        <v>20038918</v>
      </c>
      <c r="L47" s="55" t="s">
        <v>198</v>
      </c>
      <c r="M47" s="141" t="str">
        <f t="shared" si="0"/>
        <v>CC-INT_E</v>
      </c>
      <c r="N47" s="142" t="str">
        <f>LOOKUP(M47,'[2]Doc Set'!E:E,'[2]Doc Set'!F:F)</f>
        <v>_</v>
      </c>
      <c r="O47" s="141" t="s">
        <v>306</v>
      </c>
      <c r="P47" s="142">
        <f>+LOOKUP(O47,'[2]Doc Set'!E:E,'[2]Doc Set'!G:G)</f>
        <v>43489</v>
      </c>
      <c r="Q47" s="55" t="str">
        <f t="shared" si="1"/>
        <v>CC-INT_E</v>
      </c>
      <c r="R47" s="142">
        <f>+LOOKUP(Q47,'[2]Doc Set'!E:E,'[2]Doc Set'!H:H)</f>
        <v>43542</v>
      </c>
      <c r="S47" s="143" t="s">
        <v>200</v>
      </c>
    </row>
    <row r="48" spans="1:19" x14ac:dyDescent="0.3">
      <c r="A48" s="55" t="s">
        <v>40</v>
      </c>
      <c r="B48" s="55" t="s">
        <v>190</v>
      </c>
      <c r="C48" s="55" t="s">
        <v>191</v>
      </c>
      <c r="D48" s="138" t="s">
        <v>192</v>
      </c>
      <c r="E48" s="55" t="s">
        <v>193</v>
      </c>
      <c r="F48" s="55" t="s">
        <v>194</v>
      </c>
      <c r="G48" s="55" t="s">
        <v>337</v>
      </c>
      <c r="H48" s="55" t="s">
        <v>338</v>
      </c>
      <c r="I48" s="139" t="s">
        <v>51</v>
      </c>
      <c r="J48" s="140" t="s">
        <v>339</v>
      </c>
      <c r="K48" s="55">
        <v>20038918</v>
      </c>
      <c r="L48" s="55" t="s">
        <v>198</v>
      </c>
      <c r="M48" s="141" t="str">
        <f t="shared" si="0"/>
        <v>CC-INT_E</v>
      </c>
      <c r="N48" s="142" t="str">
        <f>LOOKUP(M48,'[2]Doc Set'!E:E,'[2]Doc Set'!F:F)</f>
        <v>_</v>
      </c>
      <c r="O48" s="141" t="s">
        <v>306</v>
      </c>
      <c r="P48" s="142">
        <f>+LOOKUP(O48,'[2]Doc Set'!E:E,'[2]Doc Set'!G:G)</f>
        <v>43489</v>
      </c>
      <c r="Q48" s="55" t="str">
        <f t="shared" si="1"/>
        <v>CC-INT_E</v>
      </c>
      <c r="R48" s="142">
        <f>+LOOKUP(Q48,'[2]Doc Set'!E:E,'[2]Doc Set'!H:H)</f>
        <v>43542</v>
      </c>
      <c r="S48" s="143" t="s">
        <v>200</v>
      </c>
    </row>
    <row r="49" spans="1:19" x14ac:dyDescent="0.3">
      <c r="A49" s="55" t="s">
        <v>40</v>
      </c>
      <c r="B49" s="55" t="s">
        <v>190</v>
      </c>
      <c r="C49" s="55" t="s">
        <v>191</v>
      </c>
      <c r="D49" s="138" t="s">
        <v>192</v>
      </c>
      <c r="E49" s="55" t="s">
        <v>193</v>
      </c>
      <c r="F49" s="55" t="s">
        <v>194</v>
      </c>
      <c r="G49" s="55" t="s">
        <v>340</v>
      </c>
      <c r="H49" s="55" t="s">
        <v>341</v>
      </c>
      <c r="I49" s="139" t="s">
        <v>51</v>
      </c>
      <c r="J49" s="140" t="s">
        <v>342</v>
      </c>
      <c r="K49" s="55">
        <v>20038918</v>
      </c>
      <c r="L49" s="55" t="s">
        <v>198</v>
      </c>
      <c r="M49" s="141" t="str">
        <f t="shared" si="0"/>
        <v>CC-INT_E</v>
      </c>
      <c r="N49" s="142" t="str">
        <f>LOOKUP(M49,'[2]Doc Set'!E:E,'[2]Doc Set'!F:F)</f>
        <v>_</v>
      </c>
      <c r="O49" s="141" t="s">
        <v>306</v>
      </c>
      <c r="P49" s="142">
        <f>+LOOKUP(O49,'[2]Doc Set'!E:E,'[2]Doc Set'!G:G)</f>
        <v>43489</v>
      </c>
      <c r="Q49" s="55" t="str">
        <f t="shared" si="1"/>
        <v>CC-INT_E</v>
      </c>
      <c r="R49" s="142">
        <f>+LOOKUP(Q49,'[2]Doc Set'!E:E,'[2]Doc Set'!H:H)</f>
        <v>43542</v>
      </c>
      <c r="S49" s="143" t="s">
        <v>200</v>
      </c>
    </row>
    <row r="50" spans="1:19" x14ac:dyDescent="0.3">
      <c r="A50" s="55" t="s">
        <v>40</v>
      </c>
      <c r="B50" s="55" t="s">
        <v>190</v>
      </c>
      <c r="C50" s="55" t="s">
        <v>191</v>
      </c>
      <c r="D50" s="138" t="s">
        <v>192</v>
      </c>
      <c r="E50" s="55" t="s">
        <v>193</v>
      </c>
      <c r="F50" s="55" t="s">
        <v>194</v>
      </c>
      <c r="G50" s="55" t="s">
        <v>343</v>
      </c>
      <c r="H50" s="55" t="s">
        <v>344</v>
      </c>
      <c r="I50" s="139" t="s">
        <v>51</v>
      </c>
      <c r="J50" s="140" t="s">
        <v>345</v>
      </c>
      <c r="K50" s="55">
        <v>20038918</v>
      </c>
      <c r="L50" s="55" t="s">
        <v>198</v>
      </c>
      <c r="M50" s="141" t="str">
        <f t="shared" si="0"/>
        <v>CC-INT_E</v>
      </c>
      <c r="N50" s="142" t="str">
        <f>LOOKUP(M50,'[2]Doc Set'!E:E,'[2]Doc Set'!F:F)</f>
        <v>_</v>
      </c>
      <c r="O50" s="141" t="s">
        <v>306</v>
      </c>
      <c r="P50" s="142">
        <f>+LOOKUP(O50,'[2]Doc Set'!E:E,'[2]Doc Set'!G:G)</f>
        <v>43489</v>
      </c>
      <c r="Q50" s="55" t="str">
        <f t="shared" si="1"/>
        <v>CC-INT_E</v>
      </c>
      <c r="R50" s="142">
        <f>+LOOKUP(Q50,'[2]Doc Set'!E:E,'[2]Doc Set'!H:H)</f>
        <v>43542</v>
      </c>
      <c r="S50" s="143" t="s">
        <v>200</v>
      </c>
    </row>
    <row r="51" spans="1:19" x14ac:dyDescent="0.3">
      <c r="A51" s="55" t="s">
        <v>40</v>
      </c>
      <c r="B51" s="55" t="s">
        <v>190</v>
      </c>
      <c r="C51" s="55" t="s">
        <v>191</v>
      </c>
      <c r="D51" s="138" t="s">
        <v>192</v>
      </c>
      <c r="E51" s="55" t="s">
        <v>193</v>
      </c>
      <c r="F51" s="55" t="s">
        <v>194</v>
      </c>
      <c r="G51" s="55" t="s">
        <v>346</v>
      </c>
      <c r="H51" s="55" t="s">
        <v>347</v>
      </c>
      <c r="I51" s="139" t="s">
        <v>51</v>
      </c>
      <c r="J51" s="140" t="s">
        <v>348</v>
      </c>
      <c r="K51" s="55">
        <v>20038918</v>
      </c>
      <c r="L51" s="55" t="s">
        <v>198</v>
      </c>
      <c r="M51" s="141" t="str">
        <f t="shared" si="0"/>
        <v>CC-INT_E</v>
      </c>
      <c r="N51" s="142" t="str">
        <f>LOOKUP(M51,'[2]Doc Set'!E:E,'[2]Doc Set'!F:F)</f>
        <v>_</v>
      </c>
      <c r="O51" s="141" t="s">
        <v>306</v>
      </c>
      <c r="P51" s="142">
        <f>+LOOKUP(O51,'[2]Doc Set'!E:E,'[2]Doc Set'!G:G)</f>
        <v>43489</v>
      </c>
      <c r="Q51" s="55" t="str">
        <f t="shared" si="1"/>
        <v>CC-INT_E</v>
      </c>
      <c r="R51" s="142">
        <f>+LOOKUP(Q51,'[2]Doc Set'!E:E,'[2]Doc Set'!H:H)</f>
        <v>43542</v>
      </c>
      <c r="S51" s="143" t="s">
        <v>200</v>
      </c>
    </row>
    <row r="52" spans="1:19" x14ac:dyDescent="0.3">
      <c r="A52" s="55" t="s">
        <v>40</v>
      </c>
      <c r="B52" s="55" t="s">
        <v>190</v>
      </c>
      <c r="C52" s="55" t="s">
        <v>191</v>
      </c>
      <c r="D52" s="138" t="s">
        <v>192</v>
      </c>
      <c r="E52" s="55" t="s">
        <v>193</v>
      </c>
      <c r="F52" s="55" t="s">
        <v>194</v>
      </c>
      <c r="G52" s="55" t="s">
        <v>349</v>
      </c>
      <c r="H52" s="55" t="s">
        <v>350</v>
      </c>
      <c r="I52" s="139" t="s">
        <v>51</v>
      </c>
      <c r="J52" s="140" t="s">
        <v>351</v>
      </c>
      <c r="K52" s="55">
        <v>20038918</v>
      </c>
      <c r="L52" s="55" t="s">
        <v>198</v>
      </c>
      <c r="M52" s="141" t="str">
        <f t="shared" si="0"/>
        <v>CC-INT_E</v>
      </c>
      <c r="N52" s="142" t="str">
        <f>LOOKUP(M52,'[2]Doc Set'!E:E,'[2]Doc Set'!F:F)</f>
        <v>_</v>
      </c>
      <c r="O52" s="141" t="s">
        <v>306</v>
      </c>
      <c r="P52" s="142">
        <f>+LOOKUP(O52,'[2]Doc Set'!E:E,'[2]Doc Set'!G:G)</f>
        <v>43489</v>
      </c>
      <c r="Q52" s="55" t="str">
        <f t="shared" si="1"/>
        <v>CC-INT_E</v>
      </c>
      <c r="R52" s="142">
        <f>+LOOKUP(Q52,'[2]Doc Set'!E:E,'[2]Doc Set'!H:H)</f>
        <v>43542</v>
      </c>
      <c r="S52" s="143" t="s">
        <v>200</v>
      </c>
    </row>
    <row r="53" spans="1:19" x14ac:dyDescent="0.3">
      <c r="A53" s="55" t="s">
        <v>40</v>
      </c>
      <c r="B53" s="55" t="s">
        <v>190</v>
      </c>
      <c r="C53" s="55" t="s">
        <v>191</v>
      </c>
      <c r="D53" s="138" t="s">
        <v>192</v>
      </c>
      <c r="E53" s="55" t="s">
        <v>193</v>
      </c>
      <c r="F53" s="55" t="s">
        <v>194</v>
      </c>
      <c r="G53" s="55" t="s">
        <v>352</v>
      </c>
      <c r="H53" s="55" t="s">
        <v>353</v>
      </c>
      <c r="I53" s="139" t="s">
        <v>51</v>
      </c>
      <c r="J53" s="140" t="s">
        <v>354</v>
      </c>
      <c r="K53" s="55">
        <v>20038918</v>
      </c>
      <c r="L53" s="55" t="s">
        <v>198</v>
      </c>
      <c r="M53" s="141" t="str">
        <f t="shared" si="0"/>
        <v>CC-INT_E</v>
      </c>
      <c r="N53" s="142" t="str">
        <f>LOOKUP(M53,'[2]Doc Set'!E:E,'[2]Doc Set'!F:F)</f>
        <v>_</v>
      </c>
      <c r="O53" s="141" t="s">
        <v>306</v>
      </c>
      <c r="P53" s="142">
        <f>+LOOKUP(O53,'[2]Doc Set'!E:E,'[2]Doc Set'!G:G)</f>
        <v>43489</v>
      </c>
      <c r="Q53" s="55" t="str">
        <f t="shared" si="1"/>
        <v>CC-INT_E</v>
      </c>
      <c r="R53" s="142">
        <f>+LOOKUP(Q53,'[2]Doc Set'!E:E,'[2]Doc Set'!H:H)</f>
        <v>43542</v>
      </c>
      <c r="S53" s="143" t="s">
        <v>200</v>
      </c>
    </row>
    <row r="54" spans="1:19" x14ac:dyDescent="0.3">
      <c r="A54" s="55" t="s">
        <v>40</v>
      </c>
      <c r="B54" s="55" t="s">
        <v>190</v>
      </c>
      <c r="C54" s="55" t="s">
        <v>191</v>
      </c>
      <c r="D54" s="138" t="s">
        <v>192</v>
      </c>
      <c r="E54" s="55" t="s">
        <v>193</v>
      </c>
      <c r="F54" s="55" t="s">
        <v>194</v>
      </c>
      <c r="G54" s="55" t="s">
        <v>355</v>
      </c>
      <c r="H54" s="55" t="s">
        <v>356</v>
      </c>
      <c r="I54" s="139" t="s">
        <v>51</v>
      </c>
      <c r="J54" s="140" t="s">
        <v>357</v>
      </c>
      <c r="K54" s="55">
        <v>20038918</v>
      </c>
      <c r="L54" s="55" t="s">
        <v>198</v>
      </c>
      <c r="M54" s="141" t="str">
        <f t="shared" si="0"/>
        <v>CC-INT_E</v>
      </c>
      <c r="N54" s="142" t="str">
        <f>LOOKUP(M54,'[2]Doc Set'!E:E,'[2]Doc Set'!F:F)</f>
        <v>_</v>
      </c>
      <c r="O54" s="141" t="s">
        <v>306</v>
      </c>
      <c r="P54" s="142">
        <f>+LOOKUP(O54,'[2]Doc Set'!E:E,'[2]Doc Set'!G:G)</f>
        <v>43489</v>
      </c>
      <c r="Q54" s="55" t="str">
        <f t="shared" si="1"/>
        <v>CC-INT_E</v>
      </c>
      <c r="R54" s="142">
        <f>+LOOKUP(Q54,'[2]Doc Set'!E:E,'[2]Doc Set'!H:H)</f>
        <v>43542</v>
      </c>
      <c r="S54" s="143" t="s">
        <v>200</v>
      </c>
    </row>
    <row r="55" spans="1:19" x14ac:dyDescent="0.3">
      <c r="A55" s="55" t="s">
        <v>40</v>
      </c>
      <c r="B55" s="55" t="s">
        <v>190</v>
      </c>
      <c r="C55" s="55" t="s">
        <v>191</v>
      </c>
      <c r="D55" s="138" t="s">
        <v>192</v>
      </c>
      <c r="E55" s="55" t="s">
        <v>193</v>
      </c>
      <c r="F55" s="55" t="s">
        <v>194</v>
      </c>
      <c r="G55" s="55" t="s">
        <v>358</v>
      </c>
      <c r="H55" s="55" t="s">
        <v>359</v>
      </c>
      <c r="I55" s="139" t="s">
        <v>51</v>
      </c>
      <c r="J55" s="140" t="s">
        <v>360</v>
      </c>
      <c r="K55" s="55">
        <v>20038918</v>
      </c>
      <c r="L55" s="55" t="s">
        <v>198</v>
      </c>
      <c r="M55" s="141" t="str">
        <f t="shared" si="0"/>
        <v>CC-INT_E</v>
      </c>
      <c r="N55" s="142" t="str">
        <f>LOOKUP(M55,'[2]Doc Set'!E:E,'[2]Doc Set'!F:F)</f>
        <v>_</v>
      </c>
      <c r="O55" s="141" t="s">
        <v>306</v>
      </c>
      <c r="P55" s="142">
        <f>+LOOKUP(O55,'[2]Doc Set'!E:E,'[2]Doc Set'!G:G)</f>
        <v>43489</v>
      </c>
      <c r="Q55" s="55" t="str">
        <f t="shared" si="1"/>
        <v>CC-INT_E</v>
      </c>
      <c r="R55" s="142">
        <f>+LOOKUP(Q55,'[2]Doc Set'!E:E,'[2]Doc Set'!H:H)</f>
        <v>43542</v>
      </c>
      <c r="S55" s="143" t="s">
        <v>200</v>
      </c>
    </row>
    <row r="56" spans="1:19" x14ac:dyDescent="0.3">
      <c r="A56" s="55" t="s">
        <v>40</v>
      </c>
      <c r="B56" s="55" t="s">
        <v>190</v>
      </c>
      <c r="C56" s="55" t="s">
        <v>191</v>
      </c>
      <c r="D56" s="138" t="s">
        <v>192</v>
      </c>
      <c r="E56" s="55" t="s">
        <v>193</v>
      </c>
      <c r="F56" s="55" t="s">
        <v>194</v>
      </c>
      <c r="G56" s="55" t="s">
        <v>361</v>
      </c>
      <c r="H56" s="55" t="s">
        <v>362</v>
      </c>
      <c r="I56" s="139" t="s">
        <v>51</v>
      </c>
      <c r="J56" s="140" t="s">
        <v>363</v>
      </c>
      <c r="K56" s="55">
        <v>20038918</v>
      </c>
      <c r="L56" s="55" t="s">
        <v>198</v>
      </c>
      <c r="M56" s="141" t="str">
        <f t="shared" si="0"/>
        <v>CC-INT_E</v>
      </c>
      <c r="N56" s="142" t="str">
        <f>LOOKUP(M56,'[2]Doc Set'!E:E,'[2]Doc Set'!F:F)</f>
        <v>_</v>
      </c>
      <c r="O56" s="141" t="s">
        <v>306</v>
      </c>
      <c r="P56" s="142">
        <f>+LOOKUP(O56,'[2]Doc Set'!E:E,'[2]Doc Set'!G:G)</f>
        <v>43489</v>
      </c>
      <c r="Q56" s="55" t="str">
        <f t="shared" si="1"/>
        <v>CC-INT_E</v>
      </c>
      <c r="R56" s="142">
        <f>+LOOKUP(Q56,'[2]Doc Set'!E:E,'[2]Doc Set'!H:H)</f>
        <v>43542</v>
      </c>
      <c r="S56" s="143" t="s">
        <v>200</v>
      </c>
    </row>
    <row r="57" spans="1:19" x14ac:dyDescent="0.3">
      <c r="A57" s="55" t="s">
        <v>40</v>
      </c>
      <c r="B57" s="55" t="s">
        <v>190</v>
      </c>
      <c r="C57" s="55" t="s">
        <v>191</v>
      </c>
      <c r="D57" s="138" t="s">
        <v>192</v>
      </c>
      <c r="E57" s="55" t="s">
        <v>193</v>
      </c>
      <c r="F57" s="55" t="s">
        <v>194</v>
      </c>
      <c r="G57" s="55" t="s">
        <v>364</v>
      </c>
      <c r="H57" s="55" t="s">
        <v>365</v>
      </c>
      <c r="I57" s="139" t="s">
        <v>51</v>
      </c>
      <c r="J57" s="140" t="s">
        <v>366</v>
      </c>
      <c r="K57" s="55">
        <v>20038918</v>
      </c>
      <c r="L57" s="55" t="s">
        <v>198</v>
      </c>
      <c r="M57" s="141" t="str">
        <f t="shared" si="0"/>
        <v>CC-INT_E</v>
      </c>
      <c r="N57" s="142" t="str">
        <f>LOOKUP(M57,'[2]Doc Set'!E:E,'[2]Doc Set'!F:F)</f>
        <v>_</v>
      </c>
      <c r="O57" s="141" t="s">
        <v>306</v>
      </c>
      <c r="P57" s="142">
        <f>+LOOKUP(O57,'[2]Doc Set'!E:E,'[2]Doc Set'!G:G)</f>
        <v>43489</v>
      </c>
      <c r="Q57" s="55" t="str">
        <f t="shared" si="1"/>
        <v>CC-INT_E</v>
      </c>
      <c r="R57" s="142">
        <f>+LOOKUP(Q57,'[2]Doc Set'!E:E,'[2]Doc Set'!H:H)</f>
        <v>43542</v>
      </c>
      <c r="S57" s="143" t="s">
        <v>200</v>
      </c>
    </row>
    <row r="58" spans="1:19" x14ac:dyDescent="0.3">
      <c r="A58" s="55" t="s">
        <v>40</v>
      </c>
      <c r="B58" s="55" t="s">
        <v>190</v>
      </c>
      <c r="C58" s="55" t="s">
        <v>191</v>
      </c>
      <c r="D58" s="138" t="s">
        <v>192</v>
      </c>
      <c r="E58" s="55" t="s">
        <v>193</v>
      </c>
      <c r="F58" s="55" t="s">
        <v>194</v>
      </c>
      <c r="G58" s="55" t="s">
        <v>367</v>
      </c>
      <c r="H58" s="55" t="s">
        <v>368</v>
      </c>
      <c r="I58" s="139" t="s">
        <v>51</v>
      </c>
      <c r="J58" s="140" t="s">
        <v>369</v>
      </c>
      <c r="K58" s="55">
        <v>20038918</v>
      </c>
      <c r="L58" s="55" t="s">
        <v>198</v>
      </c>
      <c r="M58" s="141" t="str">
        <f t="shared" si="0"/>
        <v>CC-INT_E</v>
      </c>
      <c r="N58" s="142" t="str">
        <f>LOOKUP(M58,'[2]Doc Set'!E:E,'[2]Doc Set'!F:F)</f>
        <v>_</v>
      </c>
      <c r="O58" s="141" t="s">
        <v>306</v>
      </c>
      <c r="P58" s="142">
        <f>+LOOKUP(O58,'[2]Doc Set'!E:E,'[2]Doc Set'!G:G)</f>
        <v>43489</v>
      </c>
      <c r="Q58" s="55" t="str">
        <f t="shared" si="1"/>
        <v>CC-INT_E</v>
      </c>
      <c r="R58" s="142">
        <f>+LOOKUP(Q58,'[2]Doc Set'!E:E,'[2]Doc Set'!H:H)</f>
        <v>43542</v>
      </c>
      <c r="S58" s="143" t="s">
        <v>200</v>
      </c>
    </row>
    <row r="59" spans="1:19" x14ac:dyDescent="0.3">
      <c r="A59" s="55" t="s">
        <v>40</v>
      </c>
      <c r="B59" s="55" t="s">
        <v>190</v>
      </c>
      <c r="C59" s="55" t="s">
        <v>191</v>
      </c>
      <c r="D59" s="138" t="s">
        <v>192</v>
      </c>
      <c r="E59" s="55" t="s">
        <v>193</v>
      </c>
      <c r="F59" s="55" t="s">
        <v>194</v>
      </c>
      <c r="G59" s="55" t="s">
        <v>370</v>
      </c>
      <c r="H59" s="55" t="s">
        <v>371</v>
      </c>
      <c r="I59" s="139" t="s">
        <v>51</v>
      </c>
      <c r="J59" s="140" t="s">
        <v>372</v>
      </c>
      <c r="K59" s="55">
        <v>20038918</v>
      </c>
      <c r="L59" s="55" t="s">
        <v>198</v>
      </c>
      <c r="M59" s="141" t="str">
        <f t="shared" si="0"/>
        <v>CC-INT_E</v>
      </c>
      <c r="N59" s="142" t="str">
        <f>LOOKUP(M59,'[2]Doc Set'!E:E,'[2]Doc Set'!F:F)</f>
        <v>_</v>
      </c>
      <c r="O59" s="141" t="s">
        <v>306</v>
      </c>
      <c r="P59" s="142">
        <f>+LOOKUP(O59,'[2]Doc Set'!E:E,'[2]Doc Set'!G:G)</f>
        <v>43489</v>
      </c>
      <c r="Q59" s="55" t="str">
        <f t="shared" si="1"/>
        <v>CC-INT_E</v>
      </c>
      <c r="R59" s="142">
        <f>+LOOKUP(Q59,'[2]Doc Set'!E:E,'[2]Doc Set'!H:H)</f>
        <v>43542</v>
      </c>
      <c r="S59" s="143" t="s">
        <v>200</v>
      </c>
    </row>
    <row r="60" spans="1:19" x14ac:dyDescent="0.3">
      <c r="A60" s="55" t="s">
        <v>40</v>
      </c>
      <c r="B60" s="55" t="s">
        <v>190</v>
      </c>
      <c r="C60" s="55" t="s">
        <v>191</v>
      </c>
      <c r="D60" s="138" t="s">
        <v>192</v>
      </c>
      <c r="E60" s="55" t="s">
        <v>193</v>
      </c>
      <c r="F60" s="55" t="s">
        <v>194</v>
      </c>
      <c r="G60" s="55" t="s">
        <v>373</v>
      </c>
      <c r="H60" s="55" t="s">
        <v>374</v>
      </c>
      <c r="I60" s="139" t="s">
        <v>51</v>
      </c>
      <c r="J60" s="140" t="s">
        <v>375</v>
      </c>
      <c r="K60" s="55">
        <v>20038918</v>
      </c>
      <c r="L60" s="55" t="s">
        <v>198</v>
      </c>
      <c r="M60" s="141" t="str">
        <f t="shared" si="0"/>
        <v>CC-INT_E</v>
      </c>
      <c r="N60" s="142" t="str">
        <f>LOOKUP(M60,'[2]Doc Set'!E:E,'[2]Doc Set'!F:F)</f>
        <v>_</v>
      </c>
      <c r="O60" s="141" t="s">
        <v>306</v>
      </c>
      <c r="P60" s="142">
        <f>+LOOKUP(O60,'[2]Doc Set'!E:E,'[2]Doc Set'!G:G)</f>
        <v>43489</v>
      </c>
      <c r="Q60" s="55" t="str">
        <f t="shared" si="1"/>
        <v>CC-INT_E</v>
      </c>
      <c r="R60" s="142">
        <f>+LOOKUP(Q60,'[2]Doc Set'!E:E,'[2]Doc Set'!H:H)</f>
        <v>43542</v>
      </c>
      <c r="S60" s="143" t="s">
        <v>200</v>
      </c>
    </row>
    <row r="61" spans="1:19" x14ac:dyDescent="0.3">
      <c r="A61" s="55" t="s">
        <v>40</v>
      </c>
      <c r="B61" s="55" t="s">
        <v>190</v>
      </c>
      <c r="C61" s="55" t="s">
        <v>191</v>
      </c>
      <c r="D61" s="138" t="s">
        <v>192</v>
      </c>
      <c r="E61" s="55" t="s">
        <v>193</v>
      </c>
      <c r="F61" s="55" t="s">
        <v>194</v>
      </c>
      <c r="G61" s="55" t="s">
        <v>376</v>
      </c>
      <c r="H61" s="55" t="s">
        <v>377</v>
      </c>
      <c r="I61" s="139" t="s">
        <v>51</v>
      </c>
      <c r="J61" s="140" t="s">
        <v>378</v>
      </c>
      <c r="K61" s="55">
        <v>20038918</v>
      </c>
      <c r="L61" s="55" t="s">
        <v>198</v>
      </c>
      <c r="M61" s="141" t="str">
        <f t="shared" si="0"/>
        <v>CC-INT_E</v>
      </c>
      <c r="N61" s="142" t="str">
        <f>LOOKUP(M61,'[2]Doc Set'!E:E,'[2]Doc Set'!F:F)</f>
        <v>_</v>
      </c>
      <c r="O61" s="141" t="s">
        <v>306</v>
      </c>
      <c r="P61" s="142">
        <f>+LOOKUP(O61,'[2]Doc Set'!E:E,'[2]Doc Set'!G:G)</f>
        <v>43489</v>
      </c>
      <c r="Q61" s="55" t="str">
        <f t="shared" si="1"/>
        <v>CC-INT_E</v>
      </c>
      <c r="R61" s="142">
        <f>+LOOKUP(Q61,'[2]Doc Set'!E:E,'[2]Doc Set'!H:H)</f>
        <v>43542</v>
      </c>
      <c r="S61" s="143" t="s">
        <v>200</v>
      </c>
    </row>
    <row r="62" spans="1:19" x14ac:dyDescent="0.3">
      <c r="A62" s="55" t="s">
        <v>40</v>
      </c>
      <c r="B62" s="55" t="s">
        <v>190</v>
      </c>
      <c r="C62" s="55" t="s">
        <v>191</v>
      </c>
      <c r="D62" s="138" t="s">
        <v>192</v>
      </c>
      <c r="E62" s="55" t="s">
        <v>193</v>
      </c>
      <c r="F62" s="55" t="s">
        <v>194</v>
      </c>
      <c r="G62" s="55" t="s">
        <v>379</v>
      </c>
      <c r="H62" s="55" t="s">
        <v>380</v>
      </c>
      <c r="I62" s="139" t="s">
        <v>51</v>
      </c>
      <c r="J62" s="140" t="s">
        <v>381</v>
      </c>
      <c r="K62" s="55">
        <v>20038918</v>
      </c>
      <c r="L62" s="55" t="s">
        <v>198</v>
      </c>
      <c r="M62" s="141" t="str">
        <f t="shared" si="0"/>
        <v>CC-INT_E</v>
      </c>
      <c r="N62" s="142" t="str">
        <f>LOOKUP(M62,'[2]Doc Set'!E:E,'[2]Doc Set'!F:F)</f>
        <v>_</v>
      </c>
      <c r="O62" s="141" t="s">
        <v>306</v>
      </c>
      <c r="P62" s="142">
        <f>+LOOKUP(O62,'[2]Doc Set'!E:E,'[2]Doc Set'!G:G)</f>
        <v>43489</v>
      </c>
      <c r="Q62" s="55" t="str">
        <f t="shared" si="1"/>
        <v>CC-INT_E</v>
      </c>
      <c r="R62" s="142">
        <f>+LOOKUP(Q62,'[2]Doc Set'!E:E,'[2]Doc Set'!H:H)</f>
        <v>43542</v>
      </c>
      <c r="S62" s="143" t="s">
        <v>200</v>
      </c>
    </row>
    <row r="63" spans="1:19" x14ac:dyDescent="0.3">
      <c r="A63" s="55" t="s">
        <v>40</v>
      </c>
      <c r="B63" s="55" t="s">
        <v>190</v>
      </c>
      <c r="C63" s="55" t="s">
        <v>191</v>
      </c>
      <c r="D63" s="138" t="s">
        <v>192</v>
      </c>
      <c r="E63" s="55" t="s">
        <v>193</v>
      </c>
      <c r="F63" s="55" t="s">
        <v>194</v>
      </c>
      <c r="G63" s="55" t="s">
        <v>382</v>
      </c>
      <c r="H63" s="55" t="s">
        <v>383</v>
      </c>
      <c r="I63" s="139" t="s">
        <v>51</v>
      </c>
      <c r="J63" s="140" t="s">
        <v>384</v>
      </c>
      <c r="K63" s="55">
        <v>20038918</v>
      </c>
      <c r="L63" s="55" t="s">
        <v>198</v>
      </c>
      <c r="M63" s="141" t="str">
        <f t="shared" si="0"/>
        <v>CC-INT_E</v>
      </c>
      <c r="N63" s="142" t="str">
        <f>LOOKUP(M63,'[2]Doc Set'!E:E,'[2]Doc Set'!F:F)</f>
        <v>_</v>
      </c>
      <c r="O63" s="141" t="s">
        <v>306</v>
      </c>
      <c r="P63" s="142">
        <f>+LOOKUP(O63,'[2]Doc Set'!E:E,'[2]Doc Set'!G:G)</f>
        <v>43489</v>
      </c>
      <c r="Q63" s="55" t="str">
        <f t="shared" si="1"/>
        <v>CC-INT_E</v>
      </c>
      <c r="R63" s="142">
        <f>+LOOKUP(Q63,'[2]Doc Set'!E:E,'[2]Doc Set'!H:H)</f>
        <v>43542</v>
      </c>
      <c r="S63" s="143" t="s">
        <v>200</v>
      </c>
    </row>
    <row r="64" spans="1:19" x14ac:dyDescent="0.3">
      <c r="A64" s="55" t="s">
        <v>40</v>
      </c>
      <c r="B64" s="55" t="s">
        <v>190</v>
      </c>
      <c r="C64" s="55" t="s">
        <v>191</v>
      </c>
      <c r="D64" s="138" t="s">
        <v>192</v>
      </c>
      <c r="E64" s="55" t="s">
        <v>193</v>
      </c>
      <c r="F64" s="55" t="s">
        <v>194</v>
      </c>
      <c r="G64" s="55" t="s">
        <v>385</v>
      </c>
      <c r="H64" s="55" t="s">
        <v>386</v>
      </c>
      <c r="I64" s="139" t="s">
        <v>51</v>
      </c>
      <c r="J64" s="140" t="s">
        <v>387</v>
      </c>
      <c r="K64" s="55">
        <v>20038918</v>
      </c>
      <c r="L64" s="55" t="s">
        <v>198</v>
      </c>
      <c r="M64" s="141" t="str">
        <f t="shared" si="0"/>
        <v>CC-INT_E</v>
      </c>
      <c r="N64" s="142" t="str">
        <f>LOOKUP(M64,'[2]Doc Set'!E:E,'[2]Doc Set'!F:F)</f>
        <v>_</v>
      </c>
      <c r="O64" s="141" t="s">
        <v>306</v>
      </c>
      <c r="P64" s="142">
        <f>+LOOKUP(O64,'[2]Doc Set'!E:E,'[2]Doc Set'!G:G)</f>
        <v>43489</v>
      </c>
      <c r="Q64" s="55" t="str">
        <f t="shared" si="1"/>
        <v>CC-INT_E</v>
      </c>
      <c r="R64" s="142">
        <f>+LOOKUP(Q64,'[2]Doc Set'!E:E,'[2]Doc Set'!H:H)</f>
        <v>43542</v>
      </c>
      <c r="S64" s="143" t="s">
        <v>200</v>
      </c>
    </row>
    <row r="65" spans="1:19" x14ac:dyDescent="0.3">
      <c r="A65" s="55" t="s">
        <v>40</v>
      </c>
      <c r="B65" s="55" t="s">
        <v>190</v>
      </c>
      <c r="C65" s="55" t="s">
        <v>191</v>
      </c>
      <c r="D65" s="138" t="s">
        <v>192</v>
      </c>
      <c r="E65" s="55" t="s">
        <v>193</v>
      </c>
      <c r="F65" s="55" t="s">
        <v>194</v>
      </c>
      <c r="G65" s="55" t="s">
        <v>388</v>
      </c>
      <c r="H65" s="55" t="s">
        <v>389</v>
      </c>
      <c r="I65" s="139" t="s">
        <v>51</v>
      </c>
      <c r="J65" s="140" t="s">
        <v>390</v>
      </c>
      <c r="K65" s="55">
        <v>20038918</v>
      </c>
      <c r="L65" s="55" t="s">
        <v>198</v>
      </c>
      <c r="M65" s="141" t="str">
        <f t="shared" si="0"/>
        <v>CC-INT_E</v>
      </c>
      <c r="N65" s="142" t="str">
        <f>LOOKUP(M65,'[2]Doc Set'!E:E,'[2]Doc Set'!F:F)</f>
        <v>_</v>
      </c>
      <c r="O65" s="141" t="s">
        <v>306</v>
      </c>
      <c r="P65" s="142">
        <f>+LOOKUP(O65,'[2]Doc Set'!E:E,'[2]Doc Set'!G:G)</f>
        <v>43489</v>
      </c>
      <c r="Q65" s="55" t="str">
        <f t="shared" si="1"/>
        <v>CC-INT_E</v>
      </c>
      <c r="R65" s="142">
        <f>+LOOKUP(Q65,'[2]Doc Set'!E:E,'[2]Doc Set'!H:H)</f>
        <v>43542</v>
      </c>
      <c r="S65" s="143" t="s">
        <v>200</v>
      </c>
    </row>
    <row r="66" spans="1:19" x14ac:dyDescent="0.3">
      <c r="A66" s="55" t="s">
        <v>40</v>
      </c>
      <c r="B66" s="55" t="s">
        <v>190</v>
      </c>
      <c r="C66" s="55" t="s">
        <v>191</v>
      </c>
      <c r="D66" s="138" t="s">
        <v>192</v>
      </c>
      <c r="E66" s="55" t="s">
        <v>193</v>
      </c>
      <c r="F66" s="55" t="s">
        <v>194</v>
      </c>
      <c r="G66" s="55" t="s">
        <v>391</v>
      </c>
      <c r="H66" s="55" t="s">
        <v>392</v>
      </c>
      <c r="I66" s="139" t="s">
        <v>51</v>
      </c>
      <c r="J66" s="140" t="s">
        <v>393</v>
      </c>
      <c r="K66" s="55">
        <v>20038918</v>
      </c>
      <c r="L66" s="55" t="s">
        <v>198</v>
      </c>
      <c r="M66" s="141" t="str">
        <f t="shared" si="0"/>
        <v>CC-INT_E</v>
      </c>
      <c r="N66" s="142" t="str">
        <f>LOOKUP(M66,'[2]Doc Set'!E:E,'[2]Doc Set'!F:F)</f>
        <v>_</v>
      </c>
      <c r="O66" s="141" t="s">
        <v>306</v>
      </c>
      <c r="P66" s="142">
        <f>+LOOKUP(O66,'[2]Doc Set'!E:E,'[2]Doc Set'!G:G)</f>
        <v>43489</v>
      </c>
      <c r="Q66" s="55" t="str">
        <f t="shared" si="1"/>
        <v>CC-INT_E</v>
      </c>
      <c r="R66" s="142">
        <f>+LOOKUP(Q66,'[2]Doc Set'!E:E,'[2]Doc Set'!H:H)</f>
        <v>43542</v>
      </c>
      <c r="S66" s="143" t="s">
        <v>200</v>
      </c>
    </row>
    <row r="67" spans="1:19" x14ac:dyDescent="0.3">
      <c r="A67" s="55" t="s">
        <v>40</v>
      </c>
      <c r="B67" s="55" t="s">
        <v>190</v>
      </c>
      <c r="C67" s="55" t="s">
        <v>191</v>
      </c>
      <c r="D67" s="138" t="s">
        <v>192</v>
      </c>
      <c r="E67" s="55" t="s">
        <v>193</v>
      </c>
      <c r="F67" s="55" t="s">
        <v>194</v>
      </c>
      <c r="G67" s="55" t="s">
        <v>394</v>
      </c>
      <c r="H67" s="55" t="s">
        <v>395</v>
      </c>
      <c r="I67" s="139" t="s">
        <v>51</v>
      </c>
      <c r="J67" s="140" t="s">
        <v>396</v>
      </c>
      <c r="K67" s="55">
        <v>20038918</v>
      </c>
      <c r="L67" s="55" t="s">
        <v>198</v>
      </c>
      <c r="M67" s="141" t="str">
        <f t="shared" ref="M67:M119" si="2">+O67</f>
        <v>CC-INT_E</v>
      </c>
      <c r="N67" s="142" t="str">
        <f>LOOKUP(M67,'[2]Doc Set'!E:E,'[2]Doc Set'!F:F)</f>
        <v>_</v>
      </c>
      <c r="O67" s="141" t="s">
        <v>306</v>
      </c>
      <c r="P67" s="142">
        <f>+LOOKUP(O67,'[2]Doc Set'!E:E,'[2]Doc Set'!G:G)</f>
        <v>43489</v>
      </c>
      <c r="Q67" s="55" t="str">
        <f t="shared" ref="Q67:Q119" si="3">+O67</f>
        <v>CC-INT_E</v>
      </c>
      <c r="R67" s="142">
        <f>+LOOKUP(Q67,'[2]Doc Set'!E:E,'[2]Doc Set'!H:H)</f>
        <v>43542</v>
      </c>
      <c r="S67" s="143" t="s">
        <v>200</v>
      </c>
    </row>
    <row r="68" spans="1:19" x14ac:dyDescent="0.3">
      <c r="A68" s="55" t="s">
        <v>40</v>
      </c>
      <c r="B68" s="55" t="s">
        <v>190</v>
      </c>
      <c r="C68" s="55" t="s">
        <v>191</v>
      </c>
      <c r="D68" s="138" t="s">
        <v>192</v>
      </c>
      <c r="E68" s="55" t="s">
        <v>193</v>
      </c>
      <c r="F68" s="55" t="s">
        <v>194</v>
      </c>
      <c r="G68" s="55" t="s">
        <v>397</v>
      </c>
      <c r="H68" s="55" t="s">
        <v>398</v>
      </c>
      <c r="I68" s="139" t="s">
        <v>51</v>
      </c>
      <c r="J68" s="140" t="s">
        <v>399</v>
      </c>
      <c r="K68" s="55">
        <v>20038918</v>
      </c>
      <c r="L68" s="55" t="s">
        <v>198</v>
      </c>
      <c r="M68" s="141" t="str">
        <f t="shared" si="2"/>
        <v>CC-INT_E</v>
      </c>
      <c r="N68" s="142" t="str">
        <f>LOOKUP(M68,'[2]Doc Set'!E:E,'[2]Doc Set'!F:F)</f>
        <v>_</v>
      </c>
      <c r="O68" s="141" t="s">
        <v>306</v>
      </c>
      <c r="P68" s="142">
        <f>+LOOKUP(O68,'[2]Doc Set'!E:E,'[2]Doc Set'!G:G)</f>
        <v>43489</v>
      </c>
      <c r="Q68" s="55" t="str">
        <f t="shared" si="3"/>
        <v>CC-INT_E</v>
      </c>
      <c r="R68" s="142">
        <f>+LOOKUP(Q68,'[2]Doc Set'!E:E,'[2]Doc Set'!H:H)</f>
        <v>43542</v>
      </c>
      <c r="S68" s="143" t="s">
        <v>200</v>
      </c>
    </row>
    <row r="69" spans="1:19" x14ac:dyDescent="0.3">
      <c r="A69" s="55" t="s">
        <v>40</v>
      </c>
      <c r="B69" s="55" t="s">
        <v>190</v>
      </c>
      <c r="C69" s="55" t="s">
        <v>191</v>
      </c>
      <c r="D69" s="138" t="s">
        <v>192</v>
      </c>
      <c r="E69" s="55" t="s">
        <v>193</v>
      </c>
      <c r="F69" s="55" t="s">
        <v>194</v>
      </c>
      <c r="G69" s="55" t="s">
        <v>400</v>
      </c>
      <c r="H69" s="55" t="s">
        <v>401</v>
      </c>
      <c r="I69" s="139" t="s">
        <v>51</v>
      </c>
      <c r="J69" s="140" t="s">
        <v>402</v>
      </c>
      <c r="K69" s="55">
        <v>20038918</v>
      </c>
      <c r="L69" s="55" t="s">
        <v>198</v>
      </c>
      <c r="M69" s="141" t="str">
        <f t="shared" si="2"/>
        <v>CC-INT_E</v>
      </c>
      <c r="N69" s="142" t="str">
        <f>LOOKUP(M69,'[2]Doc Set'!E:E,'[2]Doc Set'!F:F)</f>
        <v>_</v>
      </c>
      <c r="O69" s="141" t="s">
        <v>306</v>
      </c>
      <c r="P69" s="142">
        <f>+LOOKUP(O69,'[2]Doc Set'!E:E,'[2]Doc Set'!G:G)</f>
        <v>43489</v>
      </c>
      <c r="Q69" s="55" t="str">
        <f t="shared" si="3"/>
        <v>CC-INT_E</v>
      </c>
      <c r="R69" s="142">
        <f>+LOOKUP(Q69,'[2]Doc Set'!E:E,'[2]Doc Set'!H:H)</f>
        <v>43542</v>
      </c>
      <c r="S69" s="143" t="s">
        <v>200</v>
      </c>
    </row>
    <row r="70" spans="1:19" x14ac:dyDescent="0.3">
      <c r="A70" s="55" t="s">
        <v>40</v>
      </c>
      <c r="B70" s="55" t="s">
        <v>190</v>
      </c>
      <c r="C70" s="55" t="s">
        <v>191</v>
      </c>
      <c r="D70" s="138" t="s">
        <v>192</v>
      </c>
      <c r="E70" s="55" t="s">
        <v>193</v>
      </c>
      <c r="F70" s="55" t="s">
        <v>194</v>
      </c>
      <c r="G70" s="55" t="s">
        <v>403</v>
      </c>
      <c r="H70" s="55" t="s">
        <v>404</v>
      </c>
      <c r="I70" s="139" t="s">
        <v>51</v>
      </c>
      <c r="J70" s="140" t="s">
        <v>405</v>
      </c>
      <c r="K70" s="55">
        <v>20038918</v>
      </c>
      <c r="L70" s="55" t="s">
        <v>198</v>
      </c>
      <c r="M70" s="141" t="str">
        <f t="shared" si="2"/>
        <v>CC-INT_E</v>
      </c>
      <c r="N70" s="142" t="str">
        <f>LOOKUP(M70,'[2]Doc Set'!E:E,'[2]Doc Set'!F:F)</f>
        <v>_</v>
      </c>
      <c r="O70" s="141" t="s">
        <v>306</v>
      </c>
      <c r="P70" s="142">
        <f>+LOOKUP(O70,'[2]Doc Set'!E:E,'[2]Doc Set'!G:G)</f>
        <v>43489</v>
      </c>
      <c r="Q70" s="55" t="str">
        <f t="shared" si="3"/>
        <v>CC-INT_E</v>
      </c>
      <c r="R70" s="142">
        <f>+LOOKUP(Q70,'[2]Doc Set'!E:E,'[2]Doc Set'!H:H)</f>
        <v>43542</v>
      </c>
      <c r="S70" s="143" t="s">
        <v>200</v>
      </c>
    </row>
    <row r="71" spans="1:19" x14ac:dyDescent="0.3">
      <c r="A71" s="55" t="s">
        <v>40</v>
      </c>
      <c r="B71" s="55" t="s">
        <v>190</v>
      </c>
      <c r="C71" s="55" t="s">
        <v>191</v>
      </c>
      <c r="D71" s="138" t="s">
        <v>192</v>
      </c>
      <c r="E71" s="55" t="s">
        <v>193</v>
      </c>
      <c r="F71" s="55" t="s">
        <v>194</v>
      </c>
      <c r="G71" s="55" t="s">
        <v>406</v>
      </c>
      <c r="H71" s="55" t="s">
        <v>407</v>
      </c>
      <c r="I71" s="139" t="s">
        <v>51</v>
      </c>
      <c r="J71" s="140" t="s">
        <v>408</v>
      </c>
      <c r="K71" s="55">
        <v>20038918</v>
      </c>
      <c r="L71" s="55" t="s">
        <v>198</v>
      </c>
      <c r="M71" s="141" t="str">
        <f t="shared" si="2"/>
        <v>CC-INT_E</v>
      </c>
      <c r="N71" s="142" t="str">
        <f>LOOKUP(M71,'[2]Doc Set'!E:E,'[2]Doc Set'!F:F)</f>
        <v>_</v>
      </c>
      <c r="O71" s="141" t="s">
        <v>306</v>
      </c>
      <c r="P71" s="142">
        <f>+LOOKUP(O71,'[2]Doc Set'!E:E,'[2]Doc Set'!G:G)</f>
        <v>43489</v>
      </c>
      <c r="Q71" s="55" t="str">
        <f t="shared" si="3"/>
        <v>CC-INT_E</v>
      </c>
      <c r="R71" s="142">
        <f>+LOOKUP(Q71,'[2]Doc Set'!E:E,'[2]Doc Set'!H:H)</f>
        <v>43542</v>
      </c>
      <c r="S71" s="143" t="s">
        <v>200</v>
      </c>
    </row>
    <row r="72" spans="1:19" x14ac:dyDescent="0.3">
      <c r="A72" s="55" t="s">
        <v>40</v>
      </c>
      <c r="B72" s="55" t="s">
        <v>190</v>
      </c>
      <c r="C72" s="55" t="s">
        <v>191</v>
      </c>
      <c r="D72" s="138" t="s">
        <v>192</v>
      </c>
      <c r="E72" s="55" t="s">
        <v>193</v>
      </c>
      <c r="F72" s="55" t="s">
        <v>194</v>
      </c>
      <c r="G72" s="55" t="s">
        <v>409</v>
      </c>
      <c r="H72" s="55" t="s">
        <v>410</v>
      </c>
      <c r="I72" s="139" t="s">
        <v>51</v>
      </c>
      <c r="J72" s="140" t="s">
        <v>411</v>
      </c>
      <c r="K72" s="55">
        <v>20038918</v>
      </c>
      <c r="L72" s="55" t="s">
        <v>198</v>
      </c>
      <c r="M72" s="141" t="str">
        <f t="shared" si="2"/>
        <v>CC-INT_E</v>
      </c>
      <c r="N72" s="142" t="str">
        <f>LOOKUP(M72,'[2]Doc Set'!E:E,'[2]Doc Set'!F:F)</f>
        <v>_</v>
      </c>
      <c r="O72" s="141" t="s">
        <v>306</v>
      </c>
      <c r="P72" s="142">
        <f>+LOOKUP(O72,'[2]Doc Set'!E:E,'[2]Doc Set'!G:G)</f>
        <v>43489</v>
      </c>
      <c r="Q72" s="55" t="str">
        <f t="shared" si="3"/>
        <v>CC-INT_E</v>
      </c>
      <c r="R72" s="142">
        <f>+LOOKUP(Q72,'[2]Doc Set'!E:E,'[2]Doc Set'!H:H)</f>
        <v>43542</v>
      </c>
      <c r="S72" s="143" t="s">
        <v>200</v>
      </c>
    </row>
    <row r="73" spans="1:19" x14ac:dyDescent="0.3">
      <c r="A73" s="55" t="s">
        <v>40</v>
      </c>
      <c r="B73" s="55" t="s">
        <v>190</v>
      </c>
      <c r="C73" s="55" t="s">
        <v>191</v>
      </c>
      <c r="D73" s="138" t="s">
        <v>192</v>
      </c>
      <c r="E73" s="55" t="s">
        <v>193</v>
      </c>
      <c r="F73" s="55" t="s">
        <v>194</v>
      </c>
      <c r="G73" s="55" t="s">
        <v>412</v>
      </c>
      <c r="H73" s="55" t="s">
        <v>413</v>
      </c>
      <c r="I73" s="139" t="s">
        <v>51</v>
      </c>
      <c r="J73" s="140" t="s">
        <v>414</v>
      </c>
      <c r="K73" s="55">
        <v>20038918</v>
      </c>
      <c r="L73" s="55" t="s">
        <v>198</v>
      </c>
      <c r="M73" s="141" t="str">
        <f t="shared" si="2"/>
        <v>CC-INT_E</v>
      </c>
      <c r="N73" s="142" t="str">
        <f>LOOKUP(M73,'[2]Doc Set'!E:E,'[2]Doc Set'!F:F)</f>
        <v>_</v>
      </c>
      <c r="O73" s="141" t="s">
        <v>306</v>
      </c>
      <c r="P73" s="142">
        <f>+LOOKUP(O73,'[2]Doc Set'!E:E,'[2]Doc Set'!G:G)</f>
        <v>43489</v>
      </c>
      <c r="Q73" s="55" t="str">
        <f t="shared" si="3"/>
        <v>CC-INT_E</v>
      </c>
      <c r="R73" s="142">
        <f>+LOOKUP(Q73,'[2]Doc Set'!E:E,'[2]Doc Set'!H:H)</f>
        <v>43542</v>
      </c>
      <c r="S73" s="143" t="s">
        <v>200</v>
      </c>
    </row>
    <row r="74" spans="1:19" x14ac:dyDescent="0.3">
      <c r="A74" s="55" t="s">
        <v>40</v>
      </c>
      <c r="B74" s="55" t="s">
        <v>190</v>
      </c>
      <c r="C74" s="55" t="s">
        <v>191</v>
      </c>
      <c r="D74" s="138" t="s">
        <v>192</v>
      </c>
      <c r="E74" s="55" t="s">
        <v>193</v>
      </c>
      <c r="F74" s="55" t="s">
        <v>194</v>
      </c>
      <c r="G74" s="55" t="s">
        <v>415</v>
      </c>
      <c r="H74" s="55" t="s">
        <v>416</v>
      </c>
      <c r="I74" s="139" t="s">
        <v>51</v>
      </c>
      <c r="J74" s="140" t="s">
        <v>417</v>
      </c>
      <c r="K74" s="55">
        <v>20038918</v>
      </c>
      <c r="L74" s="55" t="s">
        <v>198</v>
      </c>
      <c r="M74" s="141" t="str">
        <f t="shared" si="2"/>
        <v>CC-INT_E</v>
      </c>
      <c r="N74" s="142" t="str">
        <f>LOOKUP(M74,'[2]Doc Set'!E:E,'[2]Doc Set'!F:F)</f>
        <v>_</v>
      </c>
      <c r="O74" s="141" t="s">
        <v>306</v>
      </c>
      <c r="P74" s="142">
        <f>+LOOKUP(O74,'[2]Doc Set'!E:E,'[2]Doc Set'!G:G)</f>
        <v>43489</v>
      </c>
      <c r="Q74" s="55" t="str">
        <f t="shared" si="3"/>
        <v>CC-INT_E</v>
      </c>
      <c r="R74" s="142">
        <f>+LOOKUP(Q74,'[2]Doc Set'!E:E,'[2]Doc Set'!H:H)</f>
        <v>43542</v>
      </c>
      <c r="S74" s="143" t="s">
        <v>200</v>
      </c>
    </row>
    <row r="75" spans="1:19" x14ac:dyDescent="0.3">
      <c r="A75" s="55" t="s">
        <v>40</v>
      </c>
      <c r="B75" s="55" t="s">
        <v>190</v>
      </c>
      <c r="C75" s="55" t="s">
        <v>191</v>
      </c>
      <c r="D75" s="138" t="s">
        <v>192</v>
      </c>
      <c r="E75" s="55" t="s">
        <v>193</v>
      </c>
      <c r="F75" s="55" t="s">
        <v>194</v>
      </c>
      <c r="G75" s="55" t="s">
        <v>418</v>
      </c>
      <c r="H75" s="55" t="s">
        <v>419</v>
      </c>
      <c r="I75" s="139" t="s">
        <v>51</v>
      </c>
      <c r="J75" s="140" t="s">
        <v>420</v>
      </c>
      <c r="K75" s="55">
        <v>20038918</v>
      </c>
      <c r="L75" s="55" t="s">
        <v>198</v>
      </c>
      <c r="M75" s="141" t="str">
        <f t="shared" si="2"/>
        <v>CC-INT_E</v>
      </c>
      <c r="N75" s="142" t="str">
        <f>LOOKUP(M75,'[2]Doc Set'!E:E,'[2]Doc Set'!F:F)</f>
        <v>_</v>
      </c>
      <c r="O75" s="141" t="s">
        <v>306</v>
      </c>
      <c r="P75" s="142">
        <f>+LOOKUP(O75,'[2]Doc Set'!E:E,'[2]Doc Set'!G:G)</f>
        <v>43489</v>
      </c>
      <c r="Q75" s="55" t="str">
        <f t="shared" si="3"/>
        <v>CC-INT_E</v>
      </c>
      <c r="R75" s="142">
        <f>+LOOKUP(Q75,'[2]Doc Set'!E:E,'[2]Doc Set'!H:H)</f>
        <v>43542</v>
      </c>
      <c r="S75" s="143" t="s">
        <v>200</v>
      </c>
    </row>
    <row r="76" spans="1:19" x14ac:dyDescent="0.3">
      <c r="A76" s="55" t="s">
        <v>40</v>
      </c>
      <c r="B76" s="55" t="s">
        <v>190</v>
      </c>
      <c r="C76" s="55" t="s">
        <v>191</v>
      </c>
      <c r="D76" s="138" t="s">
        <v>192</v>
      </c>
      <c r="E76" s="55" t="s">
        <v>193</v>
      </c>
      <c r="F76" s="55" t="s">
        <v>194</v>
      </c>
      <c r="G76" s="55" t="s">
        <v>421</v>
      </c>
      <c r="H76" s="55" t="s">
        <v>422</v>
      </c>
      <c r="I76" s="139" t="s">
        <v>51</v>
      </c>
      <c r="J76" s="140" t="s">
        <v>423</v>
      </c>
      <c r="K76" s="55">
        <v>20038918</v>
      </c>
      <c r="L76" s="55" t="s">
        <v>198</v>
      </c>
      <c r="M76" s="141" t="str">
        <f t="shared" si="2"/>
        <v>CC-INT_E</v>
      </c>
      <c r="N76" s="142" t="str">
        <f>LOOKUP(M76,'[2]Doc Set'!E:E,'[2]Doc Set'!F:F)</f>
        <v>_</v>
      </c>
      <c r="O76" s="141" t="s">
        <v>306</v>
      </c>
      <c r="P76" s="142">
        <f>+LOOKUP(O76,'[2]Doc Set'!E:E,'[2]Doc Set'!G:G)</f>
        <v>43489</v>
      </c>
      <c r="Q76" s="55" t="str">
        <f t="shared" si="3"/>
        <v>CC-INT_E</v>
      </c>
      <c r="R76" s="142">
        <f>+LOOKUP(Q76,'[2]Doc Set'!E:E,'[2]Doc Set'!H:H)</f>
        <v>43542</v>
      </c>
      <c r="S76" s="143" t="s">
        <v>200</v>
      </c>
    </row>
    <row r="77" spans="1:19" x14ac:dyDescent="0.3">
      <c r="A77" s="55" t="s">
        <v>40</v>
      </c>
      <c r="B77" s="55" t="s">
        <v>190</v>
      </c>
      <c r="C77" s="55" t="s">
        <v>191</v>
      </c>
      <c r="D77" s="138" t="s">
        <v>192</v>
      </c>
      <c r="E77" s="55" t="s">
        <v>193</v>
      </c>
      <c r="F77" s="55" t="s">
        <v>194</v>
      </c>
      <c r="G77" s="55" t="s">
        <v>424</v>
      </c>
      <c r="H77" s="55" t="s">
        <v>425</v>
      </c>
      <c r="I77" s="139" t="s">
        <v>51</v>
      </c>
      <c r="J77" s="140" t="s">
        <v>426</v>
      </c>
      <c r="K77" s="55">
        <v>20038918</v>
      </c>
      <c r="L77" s="55" t="s">
        <v>198</v>
      </c>
      <c r="M77" s="141" t="str">
        <f t="shared" si="2"/>
        <v>CC-INT_E</v>
      </c>
      <c r="N77" s="142" t="str">
        <f>LOOKUP(M77,'[2]Doc Set'!E:E,'[2]Doc Set'!F:F)</f>
        <v>_</v>
      </c>
      <c r="O77" s="141" t="s">
        <v>306</v>
      </c>
      <c r="P77" s="142">
        <f>+LOOKUP(O77,'[2]Doc Set'!E:E,'[2]Doc Set'!G:G)</f>
        <v>43489</v>
      </c>
      <c r="Q77" s="55" t="str">
        <f t="shared" si="3"/>
        <v>CC-INT_E</v>
      </c>
      <c r="R77" s="142">
        <f>+LOOKUP(Q77,'[2]Doc Set'!E:E,'[2]Doc Set'!H:H)</f>
        <v>43542</v>
      </c>
      <c r="S77" s="143" t="s">
        <v>200</v>
      </c>
    </row>
    <row r="78" spans="1:19" x14ac:dyDescent="0.3">
      <c r="A78" s="55" t="s">
        <v>40</v>
      </c>
      <c r="B78" s="55" t="s">
        <v>190</v>
      </c>
      <c r="C78" s="55" t="s">
        <v>191</v>
      </c>
      <c r="D78" s="138" t="s">
        <v>192</v>
      </c>
      <c r="E78" s="55" t="s">
        <v>193</v>
      </c>
      <c r="F78" s="55" t="s">
        <v>194</v>
      </c>
      <c r="G78" s="55" t="s">
        <v>427</v>
      </c>
      <c r="H78" s="55" t="s">
        <v>428</v>
      </c>
      <c r="I78" s="139" t="s">
        <v>51</v>
      </c>
      <c r="J78" s="140" t="s">
        <v>429</v>
      </c>
      <c r="K78" s="55">
        <v>20038918</v>
      </c>
      <c r="L78" s="55" t="s">
        <v>198</v>
      </c>
      <c r="M78" s="141" t="str">
        <f t="shared" si="2"/>
        <v>CC-INT_E</v>
      </c>
      <c r="N78" s="142" t="str">
        <f>LOOKUP(M78,'[2]Doc Set'!E:E,'[2]Doc Set'!F:F)</f>
        <v>_</v>
      </c>
      <c r="O78" s="141" t="s">
        <v>306</v>
      </c>
      <c r="P78" s="142">
        <f>+LOOKUP(O78,'[2]Doc Set'!E:E,'[2]Doc Set'!G:G)</f>
        <v>43489</v>
      </c>
      <c r="Q78" s="55" t="str">
        <f t="shared" si="3"/>
        <v>CC-INT_E</v>
      </c>
      <c r="R78" s="142">
        <f>+LOOKUP(Q78,'[2]Doc Set'!E:E,'[2]Doc Set'!H:H)</f>
        <v>43542</v>
      </c>
      <c r="S78" s="143" t="s">
        <v>200</v>
      </c>
    </row>
    <row r="79" spans="1:19" x14ac:dyDescent="0.3">
      <c r="A79" s="55" t="s">
        <v>40</v>
      </c>
      <c r="B79" s="55" t="s">
        <v>190</v>
      </c>
      <c r="C79" s="55" t="s">
        <v>191</v>
      </c>
      <c r="D79" s="138" t="s">
        <v>192</v>
      </c>
      <c r="E79" s="55" t="s">
        <v>193</v>
      </c>
      <c r="F79" s="55" t="s">
        <v>194</v>
      </c>
      <c r="G79" s="55" t="s">
        <v>430</v>
      </c>
      <c r="H79" s="55" t="s">
        <v>431</v>
      </c>
      <c r="I79" s="139" t="s">
        <v>51</v>
      </c>
      <c r="J79" s="140" t="s">
        <v>432</v>
      </c>
      <c r="K79" s="55">
        <v>20038918</v>
      </c>
      <c r="L79" s="55" t="s">
        <v>198</v>
      </c>
      <c r="M79" s="141" t="str">
        <f t="shared" si="2"/>
        <v>CC-INT_E</v>
      </c>
      <c r="N79" s="142" t="str">
        <f>LOOKUP(M79,'[2]Doc Set'!E:E,'[2]Doc Set'!F:F)</f>
        <v>_</v>
      </c>
      <c r="O79" s="141" t="s">
        <v>306</v>
      </c>
      <c r="P79" s="142">
        <f>+LOOKUP(O79,'[2]Doc Set'!E:E,'[2]Doc Set'!G:G)</f>
        <v>43489</v>
      </c>
      <c r="Q79" s="55" t="str">
        <f t="shared" si="3"/>
        <v>CC-INT_E</v>
      </c>
      <c r="R79" s="142">
        <f>+LOOKUP(Q79,'[2]Doc Set'!E:E,'[2]Doc Set'!H:H)</f>
        <v>43542</v>
      </c>
      <c r="S79" s="143" t="s">
        <v>200</v>
      </c>
    </row>
    <row r="80" spans="1:19" x14ac:dyDescent="0.3">
      <c r="A80" s="55" t="s">
        <v>40</v>
      </c>
      <c r="B80" s="55" t="s">
        <v>190</v>
      </c>
      <c r="C80" s="55" t="s">
        <v>191</v>
      </c>
      <c r="D80" s="138" t="s">
        <v>192</v>
      </c>
      <c r="E80" s="55" t="s">
        <v>193</v>
      </c>
      <c r="F80" s="55" t="s">
        <v>194</v>
      </c>
      <c r="G80" s="55" t="s">
        <v>433</v>
      </c>
      <c r="H80" s="55" t="s">
        <v>434</v>
      </c>
      <c r="I80" s="139" t="s">
        <v>51</v>
      </c>
      <c r="J80" s="140" t="s">
        <v>435</v>
      </c>
      <c r="K80" s="55">
        <v>20038918</v>
      </c>
      <c r="L80" s="55" t="s">
        <v>198</v>
      </c>
      <c r="M80" s="141" t="str">
        <f t="shared" si="2"/>
        <v>CC-INT_E</v>
      </c>
      <c r="N80" s="142" t="str">
        <f>LOOKUP(M80,'[2]Doc Set'!E:E,'[2]Doc Set'!F:F)</f>
        <v>_</v>
      </c>
      <c r="O80" s="141" t="s">
        <v>306</v>
      </c>
      <c r="P80" s="142">
        <f>+LOOKUP(O80,'[2]Doc Set'!E:E,'[2]Doc Set'!G:G)</f>
        <v>43489</v>
      </c>
      <c r="Q80" s="55" t="str">
        <f t="shared" si="3"/>
        <v>CC-INT_E</v>
      </c>
      <c r="R80" s="142">
        <f>+LOOKUP(Q80,'[2]Doc Set'!E:E,'[2]Doc Set'!H:H)</f>
        <v>43542</v>
      </c>
      <c r="S80" s="143" t="s">
        <v>200</v>
      </c>
    </row>
    <row r="81" spans="1:19" x14ac:dyDescent="0.3">
      <c r="A81" s="55" t="s">
        <v>40</v>
      </c>
      <c r="B81" s="55" t="s">
        <v>190</v>
      </c>
      <c r="C81" s="55" t="s">
        <v>191</v>
      </c>
      <c r="D81" s="138" t="s">
        <v>192</v>
      </c>
      <c r="E81" s="55" t="s">
        <v>193</v>
      </c>
      <c r="F81" s="55" t="s">
        <v>194</v>
      </c>
      <c r="G81" s="55" t="s">
        <v>436</v>
      </c>
      <c r="H81" s="55" t="s">
        <v>437</v>
      </c>
      <c r="I81" s="139" t="s">
        <v>51</v>
      </c>
      <c r="J81" s="140" t="s">
        <v>438</v>
      </c>
      <c r="K81" s="55">
        <v>20038918</v>
      </c>
      <c r="L81" s="55" t="s">
        <v>198</v>
      </c>
      <c r="M81" s="141" t="str">
        <f t="shared" si="2"/>
        <v>CC-INT_E</v>
      </c>
      <c r="N81" s="142" t="str">
        <f>LOOKUP(M81,'[2]Doc Set'!E:E,'[2]Doc Set'!F:F)</f>
        <v>_</v>
      </c>
      <c r="O81" s="141" t="s">
        <v>306</v>
      </c>
      <c r="P81" s="142">
        <f>+LOOKUP(O81,'[2]Doc Set'!E:E,'[2]Doc Set'!G:G)</f>
        <v>43489</v>
      </c>
      <c r="Q81" s="55" t="str">
        <f t="shared" si="3"/>
        <v>CC-INT_E</v>
      </c>
      <c r="R81" s="142">
        <f>+LOOKUP(Q81,'[2]Doc Set'!E:E,'[2]Doc Set'!H:H)</f>
        <v>43542</v>
      </c>
      <c r="S81" s="143" t="s">
        <v>200</v>
      </c>
    </row>
    <row r="82" spans="1:19" x14ac:dyDescent="0.3">
      <c r="A82" s="55" t="s">
        <v>40</v>
      </c>
      <c r="B82" s="55" t="s">
        <v>190</v>
      </c>
      <c r="C82" s="55" t="s">
        <v>191</v>
      </c>
      <c r="D82" s="138" t="s">
        <v>192</v>
      </c>
      <c r="E82" s="55" t="s">
        <v>193</v>
      </c>
      <c r="F82" s="55" t="s">
        <v>194</v>
      </c>
      <c r="G82" s="55" t="s">
        <v>439</v>
      </c>
      <c r="H82" s="55" t="s">
        <v>440</v>
      </c>
      <c r="I82" s="139" t="s">
        <v>51</v>
      </c>
      <c r="J82" s="140" t="s">
        <v>441</v>
      </c>
      <c r="K82" s="55">
        <v>20038918</v>
      </c>
      <c r="L82" s="55" t="s">
        <v>198</v>
      </c>
      <c r="M82" s="141" t="str">
        <f t="shared" si="2"/>
        <v>CC-INT_E</v>
      </c>
      <c r="N82" s="142" t="str">
        <f>LOOKUP(M82,'[2]Doc Set'!E:E,'[2]Doc Set'!F:F)</f>
        <v>_</v>
      </c>
      <c r="O82" s="141" t="s">
        <v>306</v>
      </c>
      <c r="P82" s="142">
        <f>+LOOKUP(O82,'[2]Doc Set'!E:E,'[2]Doc Set'!G:G)</f>
        <v>43489</v>
      </c>
      <c r="Q82" s="55" t="str">
        <f t="shared" si="3"/>
        <v>CC-INT_E</v>
      </c>
      <c r="R82" s="142">
        <f>+LOOKUP(Q82,'[2]Doc Set'!E:E,'[2]Doc Set'!H:H)</f>
        <v>43542</v>
      </c>
      <c r="S82" s="143" t="s">
        <v>200</v>
      </c>
    </row>
    <row r="83" spans="1:19" x14ac:dyDescent="0.3">
      <c r="A83" s="55" t="s">
        <v>40</v>
      </c>
      <c r="B83" s="55" t="s">
        <v>190</v>
      </c>
      <c r="C83" s="55" t="s">
        <v>191</v>
      </c>
      <c r="D83" s="138" t="s">
        <v>192</v>
      </c>
      <c r="E83" s="55" t="s">
        <v>193</v>
      </c>
      <c r="F83" s="55" t="s">
        <v>194</v>
      </c>
      <c r="G83" s="55" t="s">
        <v>442</v>
      </c>
      <c r="H83" s="55" t="s">
        <v>443</v>
      </c>
      <c r="I83" s="139" t="s">
        <v>51</v>
      </c>
      <c r="J83" s="140" t="s">
        <v>444</v>
      </c>
      <c r="K83" s="55">
        <v>20038918</v>
      </c>
      <c r="L83" s="55" t="s">
        <v>198</v>
      </c>
      <c r="M83" s="141" t="str">
        <f t="shared" si="2"/>
        <v>CC-INT_E</v>
      </c>
      <c r="N83" s="142" t="str">
        <f>LOOKUP(M83,'[2]Doc Set'!E:E,'[2]Doc Set'!F:F)</f>
        <v>_</v>
      </c>
      <c r="O83" s="141" t="s">
        <v>306</v>
      </c>
      <c r="P83" s="142">
        <f>+LOOKUP(O83,'[2]Doc Set'!E:E,'[2]Doc Set'!G:G)</f>
        <v>43489</v>
      </c>
      <c r="Q83" s="55" t="str">
        <f t="shared" si="3"/>
        <v>CC-INT_E</v>
      </c>
      <c r="R83" s="142">
        <f>+LOOKUP(Q83,'[2]Doc Set'!E:E,'[2]Doc Set'!H:H)</f>
        <v>43542</v>
      </c>
      <c r="S83" s="143" t="s">
        <v>200</v>
      </c>
    </row>
    <row r="84" spans="1:19" x14ac:dyDescent="0.3">
      <c r="A84" s="55" t="s">
        <v>40</v>
      </c>
      <c r="B84" s="55" t="s">
        <v>190</v>
      </c>
      <c r="C84" s="55" t="s">
        <v>191</v>
      </c>
      <c r="D84" s="138" t="s">
        <v>192</v>
      </c>
      <c r="E84" s="55" t="s">
        <v>193</v>
      </c>
      <c r="F84" s="55" t="s">
        <v>194</v>
      </c>
      <c r="G84" s="55" t="s">
        <v>445</v>
      </c>
      <c r="H84" s="55" t="s">
        <v>446</v>
      </c>
      <c r="I84" s="139" t="s">
        <v>51</v>
      </c>
      <c r="J84" s="140" t="s">
        <v>447</v>
      </c>
      <c r="K84" s="55">
        <v>20038918</v>
      </c>
      <c r="L84" s="55" t="s">
        <v>198</v>
      </c>
      <c r="M84" s="141" t="str">
        <f t="shared" si="2"/>
        <v>CC-INT_E</v>
      </c>
      <c r="N84" s="142" t="str">
        <f>LOOKUP(M84,'[2]Doc Set'!E:E,'[2]Doc Set'!F:F)</f>
        <v>_</v>
      </c>
      <c r="O84" s="141" t="s">
        <v>306</v>
      </c>
      <c r="P84" s="142">
        <f>+LOOKUP(O84,'[2]Doc Set'!E:E,'[2]Doc Set'!G:G)</f>
        <v>43489</v>
      </c>
      <c r="Q84" s="55" t="str">
        <f t="shared" si="3"/>
        <v>CC-INT_E</v>
      </c>
      <c r="R84" s="142">
        <f>+LOOKUP(Q84,'[2]Doc Set'!E:E,'[2]Doc Set'!H:H)</f>
        <v>43542</v>
      </c>
      <c r="S84" s="143" t="s">
        <v>200</v>
      </c>
    </row>
    <row r="85" spans="1:19" ht="28.8" x14ac:dyDescent="0.3">
      <c r="A85" s="55" t="s">
        <v>40</v>
      </c>
      <c r="B85" s="55" t="s">
        <v>190</v>
      </c>
      <c r="C85" s="55" t="s">
        <v>191</v>
      </c>
      <c r="D85" s="138" t="s">
        <v>192</v>
      </c>
      <c r="E85" s="55" t="s">
        <v>193</v>
      </c>
      <c r="F85" s="55" t="s">
        <v>194</v>
      </c>
      <c r="G85" s="55" t="s">
        <v>448</v>
      </c>
      <c r="H85" s="55" t="s">
        <v>449</v>
      </c>
      <c r="I85" s="139" t="s">
        <v>51</v>
      </c>
      <c r="J85" s="140" t="s">
        <v>450</v>
      </c>
      <c r="K85" s="55">
        <v>20038918</v>
      </c>
      <c r="L85" s="55" t="s">
        <v>198</v>
      </c>
      <c r="M85" s="141" t="str">
        <f t="shared" si="2"/>
        <v>CC-INT_E</v>
      </c>
      <c r="N85" s="142" t="str">
        <f>LOOKUP(M85,'[2]Doc Set'!E:E,'[2]Doc Set'!F:F)</f>
        <v>_</v>
      </c>
      <c r="O85" s="141" t="s">
        <v>306</v>
      </c>
      <c r="P85" s="142">
        <f>+LOOKUP(O85,'[2]Doc Set'!E:E,'[2]Doc Set'!G:G)</f>
        <v>43489</v>
      </c>
      <c r="Q85" s="55" t="str">
        <f t="shared" si="3"/>
        <v>CC-INT_E</v>
      </c>
      <c r="R85" s="142">
        <f>+LOOKUP(Q85,'[2]Doc Set'!E:E,'[2]Doc Set'!H:H)</f>
        <v>43542</v>
      </c>
      <c r="S85" s="143" t="s">
        <v>200</v>
      </c>
    </row>
    <row r="86" spans="1:19" x14ac:dyDescent="0.3">
      <c r="A86" s="55" t="s">
        <v>40</v>
      </c>
      <c r="B86" s="55" t="s">
        <v>190</v>
      </c>
      <c r="C86" s="55" t="s">
        <v>191</v>
      </c>
      <c r="D86" s="138" t="s">
        <v>192</v>
      </c>
      <c r="E86" s="55" t="s">
        <v>193</v>
      </c>
      <c r="F86" s="55" t="s">
        <v>451</v>
      </c>
      <c r="G86" s="55" t="s">
        <v>452</v>
      </c>
      <c r="H86" s="55" t="s">
        <v>453</v>
      </c>
      <c r="I86" s="139" t="s">
        <v>134</v>
      </c>
      <c r="J86" s="140" t="s">
        <v>454</v>
      </c>
      <c r="K86" s="55">
        <v>20038918</v>
      </c>
      <c r="L86" s="55" t="s">
        <v>198</v>
      </c>
      <c r="M86" s="141" t="str">
        <f t="shared" si="2"/>
        <v>CC-INT_D</v>
      </c>
      <c r="N86" s="142" t="str">
        <f>LOOKUP(M86,'[2]Doc Set'!E:E,'[2]Doc Set'!F:F)</f>
        <v>_</v>
      </c>
      <c r="O86" s="141" t="s">
        <v>199</v>
      </c>
      <c r="P86" s="142">
        <f>+LOOKUP(O86,'[2]Doc Set'!E:E,'[2]Doc Set'!G:G)</f>
        <v>43437</v>
      </c>
      <c r="Q86" s="55" t="str">
        <f t="shared" si="3"/>
        <v>CC-INT_D</v>
      </c>
      <c r="R86" s="142">
        <f>+LOOKUP(Q86,'[2]Doc Set'!E:E,'[2]Doc Set'!H:H)</f>
        <v>43514</v>
      </c>
      <c r="S86" s="143" t="s">
        <v>200</v>
      </c>
    </row>
    <row r="87" spans="1:19" x14ac:dyDescent="0.3">
      <c r="A87" s="55" t="s">
        <v>40</v>
      </c>
      <c r="B87" s="55" t="s">
        <v>190</v>
      </c>
      <c r="C87" s="55" t="s">
        <v>191</v>
      </c>
      <c r="D87" s="138" t="s">
        <v>192</v>
      </c>
      <c r="E87" s="55" t="s">
        <v>193</v>
      </c>
      <c r="F87" s="55" t="s">
        <v>451</v>
      </c>
      <c r="G87" s="55" t="s">
        <v>455</v>
      </c>
      <c r="H87" s="55" t="s">
        <v>456</v>
      </c>
      <c r="I87" s="139" t="s">
        <v>134</v>
      </c>
      <c r="J87" s="140" t="s">
        <v>457</v>
      </c>
      <c r="K87" s="55">
        <v>20038918</v>
      </c>
      <c r="L87" s="55" t="s">
        <v>198</v>
      </c>
      <c r="M87" s="141" t="str">
        <f t="shared" si="2"/>
        <v>CC-INT_D</v>
      </c>
      <c r="N87" s="142" t="str">
        <f>LOOKUP(M87,'[2]Doc Set'!E:E,'[2]Doc Set'!F:F)</f>
        <v>_</v>
      </c>
      <c r="O87" s="141" t="s">
        <v>199</v>
      </c>
      <c r="P87" s="142">
        <f>+LOOKUP(O87,'[2]Doc Set'!E:E,'[2]Doc Set'!G:G)</f>
        <v>43437</v>
      </c>
      <c r="Q87" s="55" t="str">
        <f t="shared" si="3"/>
        <v>CC-INT_D</v>
      </c>
      <c r="R87" s="142">
        <f>+LOOKUP(Q87,'[2]Doc Set'!E:E,'[2]Doc Set'!H:H)</f>
        <v>43514</v>
      </c>
      <c r="S87" s="143" t="s">
        <v>200</v>
      </c>
    </row>
    <row r="88" spans="1:19" x14ac:dyDescent="0.3">
      <c r="A88" s="55" t="s">
        <v>40</v>
      </c>
      <c r="B88" s="55" t="s">
        <v>190</v>
      </c>
      <c r="C88" s="55" t="s">
        <v>191</v>
      </c>
      <c r="D88" s="138" t="s">
        <v>192</v>
      </c>
      <c r="E88" s="55" t="s">
        <v>193</v>
      </c>
      <c r="F88" s="55" t="s">
        <v>451</v>
      </c>
      <c r="G88" s="55" t="s">
        <v>458</v>
      </c>
      <c r="H88" s="55" t="s">
        <v>459</v>
      </c>
      <c r="I88" s="139" t="s">
        <v>134</v>
      </c>
      <c r="J88" s="140" t="s">
        <v>460</v>
      </c>
      <c r="K88" s="55">
        <v>20038918</v>
      </c>
      <c r="L88" s="55" t="s">
        <v>198</v>
      </c>
      <c r="M88" s="141" t="str">
        <f t="shared" si="2"/>
        <v>CC-INT_D</v>
      </c>
      <c r="N88" s="142" t="str">
        <f>LOOKUP(M88,'[2]Doc Set'!E:E,'[2]Doc Set'!F:F)</f>
        <v>_</v>
      </c>
      <c r="O88" s="141" t="s">
        <v>199</v>
      </c>
      <c r="P88" s="142">
        <f>+LOOKUP(O88,'[2]Doc Set'!E:E,'[2]Doc Set'!G:G)</f>
        <v>43437</v>
      </c>
      <c r="Q88" s="55" t="str">
        <f t="shared" si="3"/>
        <v>CC-INT_D</v>
      </c>
      <c r="R88" s="142">
        <f>+LOOKUP(Q88,'[2]Doc Set'!E:E,'[2]Doc Set'!H:H)</f>
        <v>43514</v>
      </c>
      <c r="S88" s="143" t="s">
        <v>200</v>
      </c>
    </row>
    <row r="89" spans="1:19" x14ac:dyDescent="0.3">
      <c r="A89" s="55" t="s">
        <v>40</v>
      </c>
      <c r="B89" s="55" t="s">
        <v>190</v>
      </c>
      <c r="C89" s="55" t="s">
        <v>191</v>
      </c>
      <c r="D89" s="138" t="s">
        <v>192</v>
      </c>
      <c r="E89" s="55" t="s">
        <v>193</v>
      </c>
      <c r="F89" s="55" t="s">
        <v>451</v>
      </c>
      <c r="G89" s="55" t="s">
        <v>461</v>
      </c>
      <c r="H89" s="55" t="s">
        <v>462</v>
      </c>
      <c r="I89" s="139" t="s">
        <v>134</v>
      </c>
      <c r="J89" s="140" t="s">
        <v>463</v>
      </c>
      <c r="K89" s="55">
        <v>20038918</v>
      </c>
      <c r="L89" s="55" t="s">
        <v>198</v>
      </c>
      <c r="M89" s="141" t="str">
        <f t="shared" si="2"/>
        <v>CC-INT_D</v>
      </c>
      <c r="N89" s="142" t="str">
        <f>LOOKUP(M89,'[2]Doc Set'!E:E,'[2]Doc Set'!F:F)</f>
        <v>_</v>
      </c>
      <c r="O89" s="141" t="s">
        <v>199</v>
      </c>
      <c r="P89" s="142">
        <f>+LOOKUP(O89,'[2]Doc Set'!E:E,'[2]Doc Set'!G:G)</f>
        <v>43437</v>
      </c>
      <c r="Q89" s="55" t="str">
        <f t="shared" si="3"/>
        <v>CC-INT_D</v>
      </c>
      <c r="R89" s="142">
        <f>+LOOKUP(Q89,'[2]Doc Set'!E:E,'[2]Doc Set'!H:H)</f>
        <v>43514</v>
      </c>
      <c r="S89" s="143" t="s">
        <v>200</v>
      </c>
    </row>
    <row r="90" spans="1:19" x14ac:dyDescent="0.3">
      <c r="A90" s="55" t="s">
        <v>40</v>
      </c>
      <c r="B90" s="55" t="s">
        <v>190</v>
      </c>
      <c r="C90" s="55" t="s">
        <v>191</v>
      </c>
      <c r="D90" s="138" t="s">
        <v>192</v>
      </c>
      <c r="E90" s="55" t="s">
        <v>193</v>
      </c>
      <c r="F90" s="55" t="s">
        <v>451</v>
      </c>
      <c r="G90" s="55" t="s">
        <v>464</v>
      </c>
      <c r="H90" s="55" t="s">
        <v>465</v>
      </c>
      <c r="I90" s="139" t="s">
        <v>134</v>
      </c>
      <c r="J90" s="140" t="s">
        <v>466</v>
      </c>
      <c r="K90" s="55">
        <v>20038918</v>
      </c>
      <c r="L90" s="55" t="s">
        <v>198</v>
      </c>
      <c r="M90" s="141" t="str">
        <f t="shared" si="2"/>
        <v>CC-INT_D</v>
      </c>
      <c r="N90" s="142" t="str">
        <f>LOOKUP(M90,'[2]Doc Set'!E:E,'[2]Doc Set'!F:F)</f>
        <v>_</v>
      </c>
      <c r="O90" s="141" t="s">
        <v>199</v>
      </c>
      <c r="P90" s="142">
        <f>+LOOKUP(O90,'[2]Doc Set'!E:E,'[2]Doc Set'!G:G)</f>
        <v>43437</v>
      </c>
      <c r="Q90" s="55" t="str">
        <f t="shared" si="3"/>
        <v>CC-INT_D</v>
      </c>
      <c r="R90" s="142">
        <f>+LOOKUP(Q90,'[2]Doc Set'!E:E,'[2]Doc Set'!H:H)</f>
        <v>43514</v>
      </c>
      <c r="S90" s="143" t="s">
        <v>200</v>
      </c>
    </row>
    <row r="91" spans="1:19" x14ac:dyDescent="0.3">
      <c r="A91" s="55" t="s">
        <v>40</v>
      </c>
      <c r="B91" s="55" t="s">
        <v>190</v>
      </c>
      <c r="C91" s="55" t="s">
        <v>191</v>
      </c>
      <c r="D91" s="138" t="s">
        <v>192</v>
      </c>
      <c r="E91" s="55" t="s">
        <v>193</v>
      </c>
      <c r="F91" s="55" t="s">
        <v>451</v>
      </c>
      <c r="G91" s="55" t="s">
        <v>467</v>
      </c>
      <c r="H91" s="55" t="s">
        <v>468</v>
      </c>
      <c r="I91" s="139" t="s">
        <v>134</v>
      </c>
      <c r="J91" s="140" t="s">
        <v>469</v>
      </c>
      <c r="K91" s="55">
        <v>20038918</v>
      </c>
      <c r="L91" s="55" t="s">
        <v>198</v>
      </c>
      <c r="M91" s="141" t="str">
        <f t="shared" si="2"/>
        <v>CC-INT_E</v>
      </c>
      <c r="N91" s="142" t="str">
        <f>LOOKUP(M91,'[2]Doc Set'!E:E,'[2]Doc Set'!F:F)</f>
        <v>_</v>
      </c>
      <c r="O91" s="141" t="s">
        <v>306</v>
      </c>
      <c r="P91" s="142">
        <f>+LOOKUP(O91,'[2]Doc Set'!E:E,'[2]Doc Set'!G:G)</f>
        <v>43489</v>
      </c>
      <c r="Q91" s="55" t="str">
        <f t="shared" si="3"/>
        <v>CC-INT_E</v>
      </c>
      <c r="R91" s="142">
        <f>+LOOKUP(Q91,'[2]Doc Set'!E:E,'[2]Doc Set'!H:H)</f>
        <v>43542</v>
      </c>
      <c r="S91" s="143" t="s">
        <v>200</v>
      </c>
    </row>
    <row r="92" spans="1:19" x14ac:dyDescent="0.3">
      <c r="A92" s="55" t="s">
        <v>40</v>
      </c>
      <c r="B92" s="55" t="s">
        <v>190</v>
      </c>
      <c r="C92" s="55" t="s">
        <v>191</v>
      </c>
      <c r="D92" s="138" t="s">
        <v>192</v>
      </c>
      <c r="E92" s="55" t="s">
        <v>193</v>
      </c>
      <c r="F92" s="55" t="s">
        <v>451</v>
      </c>
      <c r="G92" s="55" t="s">
        <v>470</v>
      </c>
      <c r="H92" s="55" t="s">
        <v>471</v>
      </c>
      <c r="I92" s="139" t="s">
        <v>134</v>
      </c>
      <c r="J92" s="140" t="s">
        <v>472</v>
      </c>
      <c r="K92" s="55">
        <v>20038918</v>
      </c>
      <c r="L92" s="55" t="s">
        <v>198</v>
      </c>
      <c r="M92" s="141" t="str">
        <f t="shared" si="2"/>
        <v>CC-INT_E</v>
      </c>
      <c r="N92" s="142" t="str">
        <f>LOOKUP(M92,'[2]Doc Set'!E:E,'[2]Doc Set'!F:F)</f>
        <v>_</v>
      </c>
      <c r="O92" s="141" t="s">
        <v>306</v>
      </c>
      <c r="P92" s="142">
        <f>+LOOKUP(O92,'[2]Doc Set'!E:E,'[2]Doc Set'!G:G)</f>
        <v>43489</v>
      </c>
      <c r="Q92" s="55" t="str">
        <f t="shared" si="3"/>
        <v>CC-INT_E</v>
      </c>
      <c r="R92" s="142">
        <f>+LOOKUP(Q92,'[2]Doc Set'!E:E,'[2]Doc Set'!H:H)</f>
        <v>43542</v>
      </c>
      <c r="S92" s="143" t="s">
        <v>200</v>
      </c>
    </row>
    <row r="93" spans="1:19" x14ac:dyDescent="0.3">
      <c r="A93" s="55" t="s">
        <v>40</v>
      </c>
      <c r="B93" s="55" t="s">
        <v>190</v>
      </c>
      <c r="C93" s="55" t="s">
        <v>191</v>
      </c>
      <c r="D93" s="138" t="s">
        <v>192</v>
      </c>
      <c r="E93" s="55" t="s">
        <v>193</v>
      </c>
      <c r="F93" s="55" t="s">
        <v>451</v>
      </c>
      <c r="G93" s="55" t="s">
        <v>473</v>
      </c>
      <c r="H93" s="55" t="s">
        <v>474</v>
      </c>
      <c r="I93" s="139" t="s">
        <v>134</v>
      </c>
      <c r="J93" s="140" t="s">
        <v>475</v>
      </c>
      <c r="K93" s="55">
        <v>20038918</v>
      </c>
      <c r="L93" s="55" t="s">
        <v>198</v>
      </c>
      <c r="M93" s="141" t="str">
        <f t="shared" si="2"/>
        <v>CC-INT_E</v>
      </c>
      <c r="N93" s="142" t="str">
        <f>LOOKUP(M93,'[2]Doc Set'!E:E,'[2]Doc Set'!F:F)</f>
        <v>_</v>
      </c>
      <c r="O93" s="141" t="s">
        <v>306</v>
      </c>
      <c r="P93" s="142">
        <f>+LOOKUP(O93,'[2]Doc Set'!E:E,'[2]Doc Set'!G:G)</f>
        <v>43489</v>
      </c>
      <c r="Q93" s="55" t="str">
        <f t="shared" si="3"/>
        <v>CC-INT_E</v>
      </c>
      <c r="R93" s="142">
        <f>+LOOKUP(Q93,'[2]Doc Set'!E:E,'[2]Doc Set'!H:H)</f>
        <v>43542</v>
      </c>
      <c r="S93" s="143" t="s">
        <v>200</v>
      </c>
    </row>
    <row r="94" spans="1:19" x14ac:dyDescent="0.3">
      <c r="A94" s="55" t="s">
        <v>40</v>
      </c>
      <c r="B94" s="55" t="s">
        <v>190</v>
      </c>
      <c r="C94" s="55" t="s">
        <v>191</v>
      </c>
      <c r="D94" s="138" t="s">
        <v>192</v>
      </c>
      <c r="E94" s="55" t="s">
        <v>193</v>
      </c>
      <c r="F94" s="55" t="s">
        <v>451</v>
      </c>
      <c r="G94" s="55" t="s">
        <v>476</v>
      </c>
      <c r="H94" s="55" t="s">
        <v>477</v>
      </c>
      <c r="I94" s="139" t="s">
        <v>134</v>
      </c>
      <c r="J94" s="140" t="s">
        <v>478</v>
      </c>
      <c r="K94" s="55">
        <v>20038918</v>
      </c>
      <c r="L94" s="55" t="s">
        <v>198</v>
      </c>
      <c r="M94" s="141" t="str">
        <f t="shared" si="2"/>
        <v>CC-INT_E</v>
      </c>
      <c r="N94" s="142" t="str">
        <f>LOOKUP(M94,'[2]Doc Set'!E:E,'[2]Doc Set'!F:F)</f>
        <v>_</v>
      </c>
      <c r="O94" s="141" t="s">
        <v>306</v>
      </c>
      <c r="P94" s="142">
        <f>+LOOKUP(O94,'[2]Doc Set'!E:E,'[2]Doc Set'!G:G)</f>
        <v>43489</v>
      </c>
      <c r="Q94" s="55" t="str">
        <f t="shared" si="3"/>
        <v>CC-INT_E</v>
      </c>
      <c r="R94" s="142">
        <f>+LOOKUP(Q94,'[2]Doc Set'!E:E,'[2]Doc Set'!H:H)</f>
        <v>43542</v>
      </c>
      <c r="S94" s="143" t="s">
        <v>200</v>
      </c>
    </row>
    <row r="95" spans="1:19" x14ac:dyDescent="0.3">
      <c r="A95" s="55" t="s">
        <v>40</v>
      </c>
      <c r="B95" s="55" t="s">
        <v>190</v>
      </c>
      <c r="C95" s="55" t="s">
        <v>191</v>
      </c>
      <c r="D95" s="138" t="s">
        <v>192</v>
      </c>
      <c r="E95" s="55" t="s">
        <v>193</v>
      </c>
      <c r="F95" s="55" t="s">
        <v>451</v>
      </c>
      <c r="G95" s="55" t="s">
        <v>479</v>
      </c>
      <c r="H95" s="55" t="s">
        <v>480</v>
      </c>
      <c r="I95" s="139" t="s">
        <v>134</v>
      </c>
      <c r="J95" s="140" t="s">
        <v>481</v>
      </c>
      <c r="K95" s="55">
        <v>20038918</v>
      </c>
      <c r="L95" s="55" t="s">
        <v>198</v>
      </c>
      <c r="M95" s="141" t="str">
        <f t="shared" si="2"/>
        <v>CC-INT_E</v>
      </c>
      <c r="N95" s="142" t="str">
        <f>LOOKUP(M95,'[2]Doc Set'!E:E,'[2]Doc Set'!F:F)</f>
        <v>_</v>
      </c>
      <c r="O95" s="141" t="s">
        <v>306</v>
      </c>
      <c r="P95" s="142">
        <f>+LOOKUP(O95,'[2]Doc Set'!E:E,'[2]Doc Set'!G:G)</f>
        <v>43489</v>
      </c>
      <c r="Q95" s="55" t="str">
        <f t="shared" si="3"/>
        <v>CC-INT_E</v>
      </c>
      <c r="R95" s="142">
        <f>+LOOKUP(Q95,'[2]Doc Set'!E:E,'[2]Doc Set'!H:H)</f>
        <v>43542</v>
      </c>
      <c r="S95" s="143" t="s">
        <v>200</v>
      </c>
    </row>
    <row r="96" spans="1:19" x14ac:dyDescent="0.3">
      <c r="A96" s="55" t="s">
        <v>40</v>
      </c>
      <c r="B96" s="55" t="s">
        <v>190</v>
      </c>
      <c r="C96" s="55" t="s">
        <v>191</v>
      </c>
      <c r="D96" s="138" t="s">
        <v>192</v>
      </c>
      <c r="E96" s="55" t="s">
        <v>193</v>
      </c>
      <c r="F96" s="55" t="s">
        <v>451</v>
      </c>
      <c r="G96" s="55" t="s">
        <v>482</v>
      </c>
      <c r="H96" s="55" t="s">
        <v>483</v>
      </c>
      <c r="I96" s="139" t="s">
        <v>134</v>
      </c>
      <c r="J96" s="140" t="s">
        <v>484</v>
      </c>
      <c r="K96" s="55">
        <v>20038918</v>
      </c>
      <c r="L96" s="55" t="s">
        <v>198</v>
      </c>
      <c r="M96" s="141" t="str">
        <f t="shared" si="2"/>
        <v>CC-INT_E</v>
      </c>
      <c r="N96" s="142" t="str">
        <f>LOOKUP(M96,'[2]Doc Set'!E:E,'[2]Doc Set'!F:F)</f>
        <v>_</v>
      </c>
      <c r="O96" s="141" t="s">
        <v>306</v>
      </c>
      <c r="P96" s="142">
        <f>+LOOKUP(O96,'[2]Doc Set'!E:E,'[2]Doc Set'!G:G)</f>
        <v>43489</v>
      </c>
      <c r="Q96" s="55" t="str">
        <f t="shared" si="3"/>
        <v>CC-INT_E</v>
      </c>
      <c r="R96" s="142">
        <f>+LOOKUP(Q96,'[2]Doc Set'!E:E,'[2]Doc Set'!H:H)</f>
        <v>43542</v>
      </c>
      <c r="S96" s="143" t="s">
        <v>200</v>
      </c>
    </row>
    <row r="97" spans="1:19" x14ac:dyDescent="0.3">
      <c r="A97" s="55" t="s">
        <v>40</v>
      </c>
      <c r="B97" s="55" t="s">
        <v>190</v>
      </c>
      <c r="C97" s="55" t="s">
        <v>191</v>
      </c>
      <c r="D97" s="138" t="s">
        <v>192</v>
      </c>
      <c r="E97" s="55" t="s">
        <v>193</v>
      </c>
      <c r="F97" s="55" t="s">
        <v>194</v>
      </c>
      <c r="G97" s="55" t="s">
        <v>485</v>
      </c>
      <c r="H97" s="55" t="s">
        <v>486</v>
      </c>
      <c r="I97" s="139" t="s">
        <v>51</v>
      </c>
      <c r="J97" s="140" t="s">
        <v>487</v>
      </c>
      <c r="K97" s="55">
        <v>20038918</v>
      </c>
      <c r="L97" s="55" t="s">
        <v>198</v>
      </c>
      <c r="M97" s="141" t="str">
        <f t="shared" si="2"/>
        <v>CC-INT_D</v>
      </c>
      <c r="N97" s="142" t="str">
        <f>LOOKUP(M97,'[2]Doc Set'!E:E,'[2]Doc Set'!F:F)</f>
        <v>_</v>
      </c>
      <c r="O97" s="141" t="s">
        <v>199</v>
      </c>
      <c r="P97" s="142">
        <f>+LOOKUP(O97,'[2]Doc Set'!E:E,'[2]Doc Set'!G:G)</f>
        <v>43437</v>
      </c>
      <c r="Q97" s="55" t="str">
        <f t="shared" si="3"/>
        <v>CC-INT_D</v>
      </c>
      <c r="R97" s="142">
        <f>+LOOKUP(Q97,'[2]Doc Set'!E:E,'[2]Doc Set'!H:H)</f>
        <v>43514</v>
      </c>
      <c r="S97" s="143" t="s">
        <v>200</v>
      </c>
    </row>
    <row r="98" spans="1:19" x14ac:dyDescent="0.3">
      <c r="A98" s="55" t="s">
        <v>40</v>
      </c>
      <c r="B98" s="55" t="s">
        <v>190</v>
      </c>
      <c r="C98" s="55" t="s">
        <v>191</v>
      </c>
      <c r="D98" s="138" t="s">
        <v>192</v>
      </c>
      <c r="E98" s="55" t="s">
        <v>193</v>
      </c>
      <c r="F98" s="55" t="s">
        <v>194</v>
      </c>
      <c r="G98" s="55" t="s">
        <v>488</v>
      </c>
      <c r="H98" s="55" t="s">
        <v>489</v>
      </c>
      <c r="I98" s="139" t="s">
        <v>51</v>
      </c>
      <c r="J98" s="140" t="s">
        <v>490</v>
      </c>
      <c r="K98" s="55">
        <v>20038918</v>
      </c>
      <c r="L98" s="55" t="s">
        <v>198</v>
      </c>
      <c r="M98" s="141" t="str">
        <f t="shared" si="2"/>
        <v>CC-INT_D</v>
      </c>
      <c r="N98" s="142" t="str">
        <f>LOOKUP(M98,'[2]Doc Set'!E:E,'[2]Doc Set'!F:F)</f>
        <v>_</v>
      </c>
      <c r="O98" s="141" t="s">
        <v>199</v>
      </c>
      <c r="P98" s="142">
        <f>+LOOKUP(O98,'[2]Doc Set'!E:E,'[2]Doc Set'!G:G)</f>
        <v>43437</v>
      </c>
      <c r="Q98" s="55" t="str">
        <f t="shared" si="3"/>
        <v>CC-INT_D</v>
      </c>
      <c r="R98" s="142">
        <f>+LOOKUP(Q98,'[2]Doc Set'!E:E,'[2]Doc Set'!H:H)</f>
        <v>43514</v>
      </c>
      <c r="S98" s="143" t="s">
        <v>200</v>
      </c>
    </row>
    <row r="99" spans="1:19" x14ac:dyDescent="0.3">
      <c r="A99" s="55" t="s">
        <v>40</v>
      </c>
      <c r="B99" s="55" t="s">
        <v>190</v>
      </c>
      <c r="C99" s="55" t="s">
        <v>191</v>
      </c>
      <c r="D99" s="138" t="s">
        <v>192</v>
      </c>
      <c r="E99" s="55" t="s">
        <v>193</v>
      </c>
      <c r="F99" s="55" t="s">
        <v>194</v>
      </c>
      <c r="G99" s="55" t="s">
        <v>491</v>
      </c>
      <c r="H99" s="55" t="s">
        <v>492</v>
      </c>
      <c r="I99" s="139" t="s">
        <v>51</v>
      </c>
      <c r="J99" s="140" t="s">
        <v>493</v>
      </c>
      <c r="K99" s="55">
        <v>20038918</v>
      </c>
      <c r="L99" s="55" t="s">
        <v>198</v>
      </c>
      <c r="M99" s="141" t="str">
        <f t="shared" si="2"/>
        <v>CC-INT_D</v>
      </c>
      <c r="N99" s="142" t="str">
        <f>LOOKUP(M99,'[2]Doc Set'!E:E,'[2]Doc Set'!F:F)</f>
        <v>_</v>
      </c>
      <c r="O99" s="141" t="s">
        <v>199</v>
      </c>
      <c r="P99" s="142">
        <f>+LOOKUP(O99,'[2]Doc Set'!E:E,'[2]Doc Set'!G:G)</f>
        <v>43437</v>
      </c>
      <c r="Q99" s="55" t="str">
        <f t="shared" si="3"/>
        <v>CC-INT_D</v>
      </c>
      <c r="R99" s="142">
        <f>+LOOKUP(Q99,'[2]Doc Set'!E:E,'[2]Doc Set'!H:H)</f>
        <v>43514</v>
      </c>
      <c r="S99" s="143" t="s">
        <v>200</v>
      </c>
    </row>
    <row r="100" spans="1:19" x14ac:dyDescent="0.3">
      <c r="A100" s="55" t="s">
        <v>40</v>
      </c>
      <c r="B100" s="55" t="s">
        <v>190</v>
      </c>
      <c r="C100" s="55" t="s">
        <v>191</v>
      </c>
      <c r="D100" s="138" t="s">
        <v>192</v>
      </c>
      <c r="E100" s="55" t="s">
        <v>193</v>
      </c>
      <c r="F100" s="55" t="s">
        <v>194</v>
      </c>
      <c r="G100" s="55" t="s">
        <v>494</v>
      </c>
      <c r="H100" s="55" t="s">
        <v>495</v>
      </c>
      <c r="I100" s="139" t="s">
        <v>51</v>
      </c>
      <c r="J100" s="140" t="s">
        <v>496</v>
      </c>
      <c r="K100" s="55">
        <v>20038918</v>
      </c>
      <c r="L100" s="55" t="s">
        <v>198</v>
      </c>
      <c r="M100" s="141" t="str">
        <f t="shared" si="2"/>
        <v>CC-INT_D</v>
      </c>
      <c r="N100" s="142" t="str">
        <f>LOOKUP(M100,'[2]Doc Set'!E:E,'[2]Doc Set'!F:F)</f>
        <v>_</v>
      </c>
      <c r="O100" s="141" t="s">
        <v>199</v>
      </c>
      <c r="P100" s="142">
        <f>+LOOKUP(O100,'[2]Doc Set'!E:E,'[2]Doc Set'!G:G)</f>
        <v>43437</v>
      </c>
      <c r="Q100" s="55" t="str">
        <f t="shared" si="3"/>
        <v>CC-INT_D</v>
      </c>
      <c r="R100" s="142">
        <f>+LOOKUP(Q100,'[2]Doc Set'!E:E,'[2]Doc Set'!H:H)</f>
        <v>43514</v>
      </c>
      <c r="S100" s="143" t="s">
        <v>200</v>
      </c>
    </row>
    <row r="101" spans="1:19" x14ac:dyDescent="0.3">
      <c r="A101" s="55" t="s">
        <v>40</v>
      </c>
      <c r="B101" s="55" t="s">
        <v>190</v>
      </c>
      <c r="C101" s="55" t="s">
        <v>191</v>
      </c>
      <c r="D101" s="138" t="s">
        <v>192</v>
      </c>
      <c r="E101" s="55" t="s">
        <v>193</v>
      </c>
      <c r="F101" s="55" t="s">
        <v>194</v>
      </c>
      <c r="G101" s="55" t="s">
        <v>497</v>
      </c>
      <c r="H101" s="55" t="s">
        <v>498</v>
      </c>
      <c r="I101" s="139" t="s">
        <v>51</v>
      </c>
      <c r="J101" s="140" t="s">
        <v>499</v>
      </c>
      <c r="K101" s="55">
        <v>20038918</v>
      </c>
      <c r="L101" s="55" t="s">
        <v>198</v>
      </c>
      <c r="M101" s="141" t="str">
        <f t="shared" si="2"/>
        <v>CC-INT_D</v>
      </c>
      <c r="N101" s="142" t="str">
        <f>LOOKUP(M101,'[2]Doc Set'!E:E,'[2]Doc Set'!F:F)</f>
        <v>_</v>
      </c>
      <c r="O101" s="141" t="s">
        <v>199</v>
      </c>
      <c r="P101" s="142">
        <f>+LOOKUP(O101,'[2]Doc Set'!E:E,'[2]Doc Set'!G:G)</f>
        <v>43437</v>
      </c>
      <c r="Q101" s="55" t="str">
        <f t="shared" si="3"/>
        <v>CC-INT_D</v>
      </c>
      <c r="R101" s="142">
        <f>+LOOKUP(Q101,'[2]Doc Set'!E:E,'[2]Doc Set'!H:H)</f>
        <v>43514</v>
      </c>
      <c r="S101" s="143" t="s">
        <v>200</v>
      </c>
    </row>
    <row r="102" spans="1:19" x14ac:dyDescent="0.3">
      <c r="A102" s="55" t="s">
        <v>40</v>
      </c>
      <c r="B102" s="55" t="s">
        <v>190</v>
      </c>
      <c r="C102" s="55" t="s">
        <v>191</v>
      </c>
      <c r="D102" s="138" t="s">
        <v>192</v>
      </c>
      <c r="E102" s="55" t="s">
        <v>193</v>
      </c>
      <c r="F102" s="55" t="s">
        <v>194</v>
      </c>
      <c r="G102" s="55" t="s">
        <v>500</v>
      </c>
      <c r="H102" s="55" t="s">
        <v>501</v>
      </c>
      <c r="I102" s="139" t="s">
        <v>51</v>
      </c>
      <c r="J102" s="140" t="s">
        <v>502</v>
      </c>
      <c r="K102" s="55">
        <v>20038918</v>
      </c>
      <c r="L102" s="55" t="s">
        <v>198</v>
      </c>
      <c r="M102" s="141" t="str">
        <f t="shared" si="2"/>
        <v>CC-INT_E</v>
      </c>
      <c r="N102" s="142" t="str">
        <f>LOOKUP(M102,'[2]Doc Set'!E:E,'[2]Doc Set'!F:F)</f>
        <v>_</v>
      </c>
      <c r="O102" s="141" t="s">
        <v>306</v>
      </c>
      <c r="P102" s="142">
        <f>+LOOKUP(O102,'[2]Doc Set'!E:E,'[2]Doc Set'!G:G)</f>
        <v>43489</v>
      </c>
      <c r="Q102" s="55" t="str">
        <f t="shared" si="3"/>
        <v>CC-INT_E</v>
      </c>
      <c r="R102" s="142">
        <f>+LOOKUP(Q102,'[2]Doc Set'!E:E,'[2]Doc Set'!H:H)</f>
        <v>43542</v>
      </c>
      <c r="S102" s="143" t="s">
        <v>200</v>
      </c>
    </row>
    <row r="103" spans="1:19" x14ac:dyDescent="0.3">
      <c r="A103" s="55" t="s">
        <v>40</v>
      </c>
      <c r="B103" s="55" t="s">
        <v>190</v>
      </c>
      <c r="C103" s="55" t="s">
        <v>191</v>
      </c>
      <c r="D103" s="138" t="s">
        <v>192</v>
      </c>
      <c r="E103" s="55" t="s">
        <v>193</v>
      </c>
      <c r="F103" s="55" t="s">
        <v>194</v>
      </c>
      <c r="G103" s="55" t="s">
        <v>503</v>
      </c>
      <c r="H103" s="55" t="s">
        <v>504</v>
      </c>
      <c r="I103" s="139" t="s">
        <v>51</v>
      </c>
      <c r="J103" s="140" t="s">
        <v>505</v>
      </c>
      <c r="K103" s="55">
        <v>20038918</v>
      </c>
      <c r="L103" s="55" t="s">
        <v>198</v>
      </c>
      <c r="M103" s="141" t="str">
        <f t="shared" si="2"/>
        <v>CC-INT_E</v>
      </c>
      <c r="N103" s="142" t="str">
        <f>LOOKUP(M103,'[2]Doc Set'!E:E,'[2]Doc Set'!F:F)</f>
        <v>_</v>
      </c>
      <c r="O103" s="141" t="s">
        <v>306</v>
      </c>
      <c r="P103" s="142">
        <f>+LOOKUP(O103,'[2]Doc Set'!E:E,'[2]Doc Set'!G:G)</f>
        <v>43489</v>
      </c>
      <c r="Q103" s="55" t="str">
        <f t="shared" si="3"/>
        <v>CC-INT_E</v>
      </c>
      <c r="R103" s="142">
        <f>+LOOKUP(Q103,'[2]Doc Set'!E:E,'[2]Doc Set'!H:H)</f>
        <v>43542</v>
      </c>
      <c r="S103" s="143" t="s">
        <v>200</v>
      </c>
    </row>
    <row r="104" spans="1:19" x14ac:dyDescent="0.3">
      <c r="A104" s="55" t="s">
        <v>40</v>
      </c>
      <c r="B104" s="55" t="s">
        <v>190</v>
      </c>
      <c r="C104" s="55" t="s">
        <v>191</v>
      </c>
      <c r="D104" s="138" t="s">
        <v>192</v>
      </c>
      <c r="E104" s="55" t="s">
        <v>193</v>
      </c>
      <c r="F104" s="55" t="s">
        <v>194</v>
      </c>
      <c r="G104" s="55" t="s">
        <v>506</v>
      </c>
      <c r="H104" s="55" t="s">
        <v>507</v>
      </c>
      <c r="I104" s="139" t="s">
        <v>51</v>
      </c>
      <c r="J104" s="140" t="s">
        <v>508</v>
      </c>
      <c r="K104" s="55">
        <v>20038918</v>
      </c>
      <c r="L104" s="55" t="s">
        <v>198</v>
      </c>
      <c r="M104" s="141" t="str">
        <f t="shared" si="2"/>
        <v>CC-INT_E</v>
      </c>
      <c r="N104" s="142" t="str">
        <f>LOOKUP(M104,'[2]Doc Set'!E:E,'[2]Doc Set'!F:F)</f>
        <v>_</v>
      </c>
      <c r="O104" s="141" t="s">
        <v>306</v>
      </c>
      <c r="P104" s="142">
        <f>+LOOKUP(O104,'[2]Doc Set'!E:E,'[2]Doc Set'!G:G)</f>
        <v>43489</v>
      </c>
      <c r="Q104" s="55" t="str">
        <f t="shared" si="3"/>
        <v>CC-INT_E</v>
      </c>
      <c r="R104" s="142">
        <f>+LOOKUP(Q104,'[2]Doc Set'!E:E,'[2]Doc Set'!H:H)</f>
        <v>43542</v>
      </c>
      <c r="S104" s="143" t="s">
        <v>200</v>
      </c>
    </row>
    <row r="105" spans="1:19" x14ac:dyDescent="0.3">
      <c r="A105" s="55" t="s">
        <v>40</v>
      </c>
      <c r="B105" s="55" t="s">
        <v>190</v>
      </c>
      <c r="C105" s="55" t="s">
        <v>191</v>
      </c>
      <c r="D105" s="138" t="s">
        <v>192</v>
      </c>
      <c r="E105" s="55" t="s">
        <v>193</v>
      </c>
      <c r="F105" s="55" t="s">
        <v>194</v>
      </c>
      <c r="G105" s="55" t="s">
        <v>509</v>
      </c>
      <c r="H105" s="55" t="s">
        <v>510</v>
      </c>
      <c r="I105" s="139" t="s">
        <v>51</v>
      </c>
      <c r="J105" s="140" t="s">
        <v>511</v>
      </c>
      <c r="K105" s="55">
        <v>20038918</v>
      </c>
      <c r="L105" s="55" t="s">
        <v>198</v>
      </c>
      <c r="M105" s="141" t="str">
        <f t="shared" si="2"/>
        <v>CC-INT_E</v>
      </c>
      <c r="N105" s="142" t="str">
        <f>LOOKUP(M105,'[2]Doc Set'!E:E,'[2]Doc Set'!F:F)</f>
        <v>_</v>
      </c>
      <c r="O105" s="141" t="s">
        <v>306</v>
      </c>
      <c r="P105" s="142">
        <f>+LOOKUP(O105,'[2]Doc Set'!E:E,'[2]Doc Set'!G:G)</f>
        <v>43489</v>
      </c>
      <c r="Q105" s="55" t="str">
        <f t="shared" si="3"/>
        <v>CC-INT_E</v>
      </c>
      <c r="R105" s="142">
        <f>+LOOKUP(Q105,'[2]Doc Set'!E:E,'[2]Doc Set'!H:H)</f>
        <v>43542</v>
      </c>
      <c r="S105" s="143" t="s">
        <v>200</v>
      </c>
    </row>
    <row r="106" spans="1:19" x14ac:dyDescent="0.3">
      <c r="A106" s="55" t="s">
        <v>40</v>
      </c>
      <c r="B106" s="55" t="s">
        <v>190</v>
      </c>
      <c r="C106" s="55" t="s">
        <v>191</v>
      </c>
      <c r="D106" s="138" t="s">
        <v>192</v>
      </c>
      <c r="E106" s="55" t="s">
        <v>193</v>
      </c>
      <c r="F106" s="55" t="s">
        <v>194</v>
      </c>
      <c r="G106" s="55" t="s">
        <v>512</v>
      </c>
      <c r="H106" s="55" t="s">
        <v>513</v>
      </c>
      <c r="I106" s="139" t="s">
        <v>51</v>
      </c>
      <c r="J106" s="140" t="s">
        <v>514</v>
      </c>
      <c r="K106" s="55">
        <v>20038918</v>
      </c>
      <c r="L106" s="55" t="s">
        <v>198</v>
      </c>
      <c r="M106" s="141" t="str">
        <f t="shared" si="2"/>
        <v>CC-INT_E</v>
      </c>
      <c r="N106" s="142" t="str">
        <f>LOOKUP(M106,'[2]Doc Set'!E:E,'[2]Doc Set'!F:F)</f>
        <v>_</v>
      </c>
      <c r="O106" s="141" t="s">
        <v>306</v>
      </c>
      <c r="P106" s="142">
        <f>+LOOKUP(O106,'[2]Doc Set'!E:E,'[2]Doc Set'!G:G)</f>
        <v>43489</v>
      </c>
      <c r="Q106" s="55" t="str">
        <f t="shared" si="3"/>
        <v>CC-INT_E</v>
      </c>
      <c r="R106" s="142">
        <f>+LOOKUP(Q106,'[2]Doc Set'!E:E,'[2]Doc Set'!H:H)</f>
        <v>43542</v>
      </c>
      <c r="S106" s="143" t="s">
        <v>200</v>
      </c>
    </row>
    <row r="107" spans="1:19" x14ac:dyDescent="0.3">
      <c r="A107" s="55" t="s">
        <v>40</v>
      </c>
      <c r="B107" s="55" t="s">
        <v>190</v>
      </c>
      <c r="C107" s="55" t="s">
        <v>191</v>
      </c>
      <c r="D107" s="138" t="s">
        <v>192</v>
      </c>
      <c r="E107" s="55" t="s">
        <v>193</v>
      </c>
      <c r="F107" s="55" t="s">
        <v>194</v>
      </c>
      <c r="G107" s="55" t="s">
        <v>515</v>
      </c>
      <c r="H107" s="55" t="s">
        <v>516</v>
      </c>
      <c r="I107" s="139" t="s">
        <v>51</v>
      </c>
      <c r="J107" s="140" t="s">
        <v>517</v>
      </c>
      <c r="K107" s="55">
        <v>20038918</v>
      </c>
      <c r="L107" s="55" t="s">
        <v>198</v>
      </c>
      <c r="M107" s="141" t="str">
        <f t="shared" si="2"/>
        <v>CC-INT_E</v>
      </c>
      <c r="N107" s="142" t="str">
        <f>LOOKUP(M107,'[2]Doc Set'!E:E,'[2]Doc Set'!F:F)</f>
        <v>_</v>
      </c>
      <c r="O107" s="141" t="s">
        <v>306</v>
      </c>
      <c r="P107" s="142">
        <f>+LOOKUP(O107,'[2]Doc Set'!E:E,'[2]Doc Set'!G:G)</f>
        <v>43489</v>
      </c>
      <c r="Q107" s="55" t="str">
        <f t="shared" si="3"/>
        <v>CC-INT_E</v>
      </c>
      <c r="R107" s="142">
        <f>+LOOKUP(Q107,'[2]Doc Set'!E:E,'[2]Doc Set'!H:H)</f>
        <v>43542</v>
      </c>
      <c r="S107" s="143" t="s">
        <v>200</v>
      </c>
    </row>
    <row r="108" spans="1:19" x14ac:dyDescent="0.3">
      <c r="A108" s="55" t="s">
        <v>40</v>
      </c>
      <c r="B108" s="55" t="s">
        <v>190</v>
      </c>
      <c r="C108" s="55" t="s">
        <v>191</v>
      </c>
      <c r="D108" s="138" t="s">
        <v>192</v>
      </c>
      <c r="E108" s="55" t="s">
        <v>193</v>
      </c>
      <c r="F108" s="55" t="s">
        <v>194</v>
      </c>
      <c r="G108" s="55" t="s">
        <v>518</v>
      </c>
      <c r="H108" s="55" t="s">
        <v>519</v>
      </c>
      <c r="I108" s="139" t="s">
        <v>51</v>
      </c>
      <c r="J108" s="140" t="s">
        <v>520</v>
      </c>
      <c r="K108" s="55">
        <v>20038918</v>
      </c>
      <c r="L108" s="55" t="s">
        <v>198</v>
      </c>
      <c r="M108" s="141" t="str">
        <f t="shared" si="2"/>
        <v>CC-INT_E</v>
      </c>
      <c r="N108" s="142" t="str">
        <f>LOOKUP(M108,'[2]Doc Set'!E:E,'[2]Doc Set'!F:F)</f>
        <v>_</v>
      </c>
      <c r="O108" s="141" t="s">
        <v>306</v>
      </c>
      <c r="P108" s="142">
        <f>+LOOKUP(O108,'[2]Doc Set'!E:E,'[2]Doc Set'!G:G)</f>
        <v>43489</v>
      </c>
      <c r="Q108" s="55" t="str">
        <f t="shared" si="3"/>
        <v>CC-INT_E</v>
      </c>
      <c r="R108" s="142">
        <f>+LOOKUP(Q108,'[2]Doc Set'!E:E,'[2]Doc Set'!H:H)</f>
        <v>43542</v>
      </c>
      <c r="S108" s="143" t="s">
        <v>200</v>
      </c>
    </row>
    <row r="109" spans="1:19" x14ac:dyDescent="0.3">
      <c r="A109" s="55" t="s">
        <v>40</v>
      </c>
      <c r="B109" s="55" t="s">
        <v>190</v>
      </c>
      <c r="C109" s="55" t="s">
        <v>191</v>
      </c>
      <c r="D109" s="138" t="s">
        <v>192</v>
      </c>
      <c r="E109" s="55" t="s">
        <v>193</v>
      </c>
      <c r="F109" s="55" t="s">
        <v>521</v>
      </c>
      <c r="G109" s="55" t="s">
        <v>522</v>
      </c>
      <c r="H109" s="55" t="s">
        <v>523</v>
      </c>
      <c r="I109" s="139" t="s">
        <v>134</v>
      </c>
      <c r="J109" s="140" t="s">
        <v>524</v>
      </c>
      <c r="K109" s="55">
        <v>20038918</v>
      </c>
      <c r="L109" s="55" t="s">
        <v>198</v>
      </c>
      <c r="M109" s="141" t="str">
        <f t="shared" si="2"/>
        <v>CC-INT_D</v>
      </c>
      <c r="N109" s="142" t="str">
        <f>LOOKUP(M109,'[2]Doc Set'!E:E,'[2]Doc Set'!F:F)</f>
        <v>_</v>
      </c>
      <c r="O109" s="141" t="s">
        <v>199</v>
      </c>
      <c r="P109" s="142">
        <f>+LOOKUP(O109,'[2]Doc Set'!E:E,'[2]Doc Set'!G:G)</f>
        <v>43437</v>
      </c>
      <c r="Q109" s="55" t="str">
        <f t="shared" si="3"/>
        <v>CC-INT_D</v>
      </c>
      <c r="R109" s="142">
        <f>+LOOKUP(Q109,'[2]Doc Set'!E:E,'[2]Doc Set'!H:H)</f>
        <v>43514</v>
      </c>
      <c r="S109" s="143" t="s">
        <v>200</v>
      </c>
    </row>
    <row r="110" spans="1:19" x14ac:dyDescent="0.3">
      <c r="A110" s="55" t="s">
        <v>40</v>
      </c>
      <c r="B110" s="55" t="s">
        <v>190</v>
      </c>
      <c r="C110" s="55" t="s">
        <v>191</v>
      </c>
      <c r="D110" s="138" t="s">
        <v>192</v>
      </c>
      <c r="E110" s="55" t="s">
        <v>193</v>
      </c>
      <c r="F110" s="55" t="s">
        <v>521</v>
      </c>
      <c r="G110" s="55" t="s">
        <v>525</v>
      </c>
      <c r="H110" s="55" t="s">
        <v>526</v>
      </c>
      <c r="I110" s="139" t="s">
        <v>134</v>
      </c>
      <c r="J110" s="140" t="s">
        <v>527</v>
      </c>
      <c r="K110" s="55">
        <v>20038918</v>
      </c>
      <c r="L110" s="55" t="s">
        <v>198</v>
      </c>
      <c r="M110" s="141" t="str">
        <f t="shared" si="2"/>
        <v>CC-INT_D</v>
      </c>
      <c r="N110" s="142" t="str">
        <f>LOOKUP(M110,'[2]Doc Set'!E:E,'[2]Doc Set'!F:F)</f>
        <v>_</v>
      </c>
      <c r="O110" s="141" t="s">
        <v>199</v>
      </c>
      <c r="P110" s="142">
        <f>+LOOKUP(O110,'[2]Doc Set'!E:E,'[2]Doc Set'!G:G)</f>
        <v>43437</v>
      </c>
      <c r="Q110" s="55" t="str">
        <f t="shared" si="3"/>
        <v>CC-INT_D</v>
      </c>
      <c r="R110" s="142">
        <f>+LOOKUP(Q110,'[2]Doc Set'!E:E,'[2]Doc Set'!H:H)</f>
        <v>43514</v>
      </c>
      <c r="S110" s="143" t="s">
        <v>200</v>
      </c>
    </row>
    <row r="111" spans="1:19" ht="28.8" x14ac:dyDescent="0.3">
      <c r="A111" s="55" t="s">
        <v>40</v>
      </c>
      <c r="B111" s="55" t="s">
        <v>190</v>
      </c>
      <c r="C111" s="55" t="s">
        <v>191</v>
      </c>
      <c r="D111" s="138" t="s">
        <v>192</v>
      </c>
      <c r="E111" s="55" t="s">
        <v>193</v>
      </c>
      <c r="F111" s="55" t="s">
        <v>521</v>
      </c>
      <c r="G111" s="55" t="s">
        <v>528</v>
      </c>
      <c r="H111" s="55" t="s">
        <v>529</v>
      </c>
      <c r="I111" s="139" t="s">
        <v>134</v>
      </c>
      <c r="J111" s="140" t="s">
        <v>530</v>
      </c>
      <c r="K111" s="55">
        <v>20038918</v>
      </c>
      <c r="L111" s="55" t="s">
        <v>198</v>
      </c>
      <c r="M111" s="141" t="str">
        <f t="shared" si="2"/>
        <v>CC-INT_D</v>
      </c>
      <c r="N111" s="142" t="str">
        <f>LOOKUP(M111,'[2]Doc Set'!E:E,'[2]Doc Set'!F:F)</f>
        <v>_</v>
      </c>
      <c r="O111" s="141" t="s">
        <v>199</v>
      </c>
      <c r="P111" s="142">
        <f>+LOOKUP(O111,'[2]Doc Set'!E:E,'[2]Doc Set'!G:G)</f>
        <v>43437</v>
      </c>
      <c r="Q111" s="55" t="str">
        <f t="shared" si="3"/>
        <v>CC-INT_D</v>
      </c>
      <c r="R111" s="142">
        <f>+LOOKUP(Q111,'[2]Doc Set'!E:E,'[2]Doc Set'!H:H)</f>
        <v>43514</v>
      </c>
      <c r="S111" s="143" t="s">
        <v>200</v>
      </c>
    </row>
    <row r="112" spans="1:19" x14ac:dyDescent="0.3">
      <c r="A112" s="55" t="s">
        <v>40</v>
      </c>
      <c r="B112" s="55" t="s">
        <v>190</v>
      </c>
      <c r="C112" s="55" t="s">
        <v>191</v>
      </c>
      <c r="D112" s="138" t="s">
        <v>192</v>
      </c>
      <c r="E112" s="55" t="s">
        <v>193</v>
      </c>
      <c r="F112" s="55" t="s">
        <v>521</v>
      </c>
      <c r="G112" s="55" t="s">
        <v>531</v>
      </c>
      <c r="H112" s="55" t="s">
        <v>532</v>
      </c>
      <c r="I112" s="139" t="s">
        <v>51</v>
      </c>
      <c r="J112" s="140" t="s">
        <v>533</v>
      </c>
      <c r="K112" s="55">
        <v>20038918</v>
      </c>
      <c r="L112" s="55" t="s">
        <v>198</v>
      </c>
      <c r="M112" s="141" t="str">
        <f t="shared" si="2"/>
        <v>CC-INT_E</v>
      </c>
      <c r="N112" s="142" t="str">
        <f>LOOKUP(M112,'[2]Doc Set'!E:E,'[2]Doc Set'!F:F)</f>
        <v>_</v>
      </c>
      <c r="O112" s="141" t="s">
        <v>306</v>
      </c>
      <c r="P112" s="142">
        <f>+LOOKUP(O112,'[2]Doc Set'!E:E,'[2]Doc Set'!G:G)</f>
        <v>43489</v>
      </c>
      <c r="Q112" s="55" t="str">
        <f t="shared" si="3"/>
        <v>CC-INT_E</v>
      </c>
      <c r="R112" s="142">
        <f>+LOOKUP(Q112,'[2]Doc Set'!E:E,'[2]Doc Set'!H:H)</f>
        <v>43542</v>
      </c>
      <c r="S112" s="143" t="s">
        <v>200</v>
      </c>
    </row>
    <row r="113" spans="1:19" ht="28.8" x14ac:dyDescent="0.3">
      <c r="A113" s="55" t="s">
        <v>40</v>
      </c>
      <c r="B113" s="55" t="s">
        <v>190</v>
      </c>
      <c r="C113" s="55" t="s">
        <v>191</v>
      </c>
      <c r="D113" s="138" t="s">
        <v>192</v>
      </c>
      <c r="E113" s="55" t="s">
        <v>193</v>
      </c>
      <c r="F113" s="55" t="s">
        <v>521</v>
      </c>
      <c r="G113" s="55" t="s">
        <v>534</v>
      </c>
      <c r="H113" s="55" t="s">
        <v>535</v>
      </c>
      <c r="I113" s="139" t="s">
        <v>51</v>
      </c>
      <c r="J113" s="140" t="s">
        <v>536</v>
      </c>
      <c r="K113" s="55">
        <v>20038918</v>
      </c>
      <c r="L113" s="55" t="s">
        <v>198</v>
      </c>
      <c r="M113" s="141" t="str">
        <f t="shared" si="2"/>
        <v>CC-INT_E</v>
      </c>
      <c r="N113" s="142" t="str">
        <f>LOOKUP(M113,'[2]Doc Set'!E:E,'[2]Doc Set'!F:F)</f>
        <v>_</v>
      </c>
      <c r="O113" s="141" t="s">
        <v>306</v>
      </c>
      <c r="P113" s="142">
        <f>+LOOKUP(O113,'[2]Doc Set'!E:E,'[2]Doc Set'!G:G)</f>
        <v>43489</v>
      </c>
      <c r="Q113" s="55" t="str">
        <f t="shared" si="3"/>
        <v>CC-INT_E</v>
      </c>
      <c r="R113" s="142">
        <f>+LOOKUP(Q113,'[2]Doc Set'!E:E,'[2]Doc Set'!H:H)</f>
        <v>43542</v>
      </c>
      <c r="S113" s="143" t="s">
        <v>200</v>
      </c>
    </row>
    <row r="114" spans="1:19" ht="28.8" x14ac:dyDescent="0.3">
      <c r="A114" s="55" t="s">
        <v>40</v>
      </c>
      <c r="B114" s="55" t="s">
        <v>190</v>
      </c>
      <c r="C114" s="55" t="s">
        <v>191</v>
      </c>
      <c r="D114" s="138" t="s">
        <v>192</v>
      </c>
      <c r="E114" s="55" t="s">
        <v>193</v>
      </c>
      <c r="F114" s="55" t="s">
        <v>521</v>
      </c>
      <c r="G114" s="55" t="s">
        <v>537</v>
      </c>
      <c r="H114" s="55" t="s">
        <v>538</v>
      </c>
      <c r="I114" s="139" t="s">
        <v>51</v>
      </c>
      <c r="J114" s="140" t="s">
        <v>539</v>
      </c>
      <c r="K114" s="55">
        <v>20038918</v>
      </c>
      <c r="L114" s="55" t="s">
        <v>198</v>
      </c>
      <c r="M114" s="141" t="str">
        <f t="shared" si="2"/>
        <v>CC-INT_E</v>
      </c>
      <c r="N114" s="142" t="str">
        <f>LOOKUP(M114,'[2]Doc Set'!E:E,'[2]Doc Set'!F:F)</f>
        <v>_</v>
      </c>
      <c r="O114" s="141" t="s">
        <v>306</v>
      </c>
      <c r="P114" s="142">
        <f>+LOOKUP(O114,'[2]Doc Set'!E:E,'[2]Doc Set'!G:G)</f>
        <v>43489</v>
      </c>
      <c r="Q114" s="55" t="str">
        <f t="shared" si="3"/>
        <v>CC-INT_E</v>
      </c>
      <c r="R114" s="142">
        <f>+LOOKUP(Q114,'[2]Doc Set'!E:E,'[2]Doc Set'!H:H)</f>
        <v>43542</v>
      </c>
      <c r="S114" s="143" t="s">
        <v>200</v>
      </c>
    </row>
    <row r="115" spans="1:19" ht="28.8" x14ac:dyDescent="0.3">
      <c r="A115" s="55" t="s">
        <v>40</v>
      </c>
      <c r="B115" s="55" t="s">
        <v>190</v>
      </c>
      <c r="C115" s="55" t="s">
        <v>191</v>
      </c>
      <c r="D115" s="138" t="s">
        <v>192</v>
      </c>
      <c r="E115" s="55" t="s">
        <v>193</v>
      </c>
      <c r="F115" s="55" t="s">
        <v>521</v>
      </c>
      <c r="G115" s="55" t="s">
        <v>540</v>
      </c>
      <c r="H115" s="55" t="s">
        <v>541</v>
      </c>
      <c r="I115" s="139" t="s">
        <v>51</v>
      </c>
      <c r="J115" s="140" t="s">
        <v>542</v>
      </c>
      <c r="K115" s="55">
        <v>20038918</v>
      </c>
      <c r="L115" s="55" t="s">
        <v>198</v>
      </c>
      <c r="M115" s="141" t="str">
        <f t="shared" si="2"/>
        <v>CC-INT_E</v>
      </c>
      <c r="N115" s="142" t="str">
        <f>LOOKUP(M115,'[2]Doc Set'!E:E,'[2]Doc Set'!F:F)</f>
        <v>_</v>
      </c>
      <c r="O115" s="141" t="s">
        <v>306</v>
      </c>
      <c r="P115" s="142">
        <f>+LOOKUP(O115,'[2]Doc Set'!E:E,'[2]Doc Set'!G:G)</f>
        <v>43489</v>
      </c>
      <c r="Q115" s="55" t="str">
        <f t="shared" si="3"/>
        <v>CC-INT_E</v>
      </c>
      <c r="R115" s="142">
        <f>+LOOKUP(Q115,'[2]Doc Set'!E:E,'[2]Doc Set'!H:H)</f>
        <v>43542</v>
      </c>
      <c r="S115" s="143" t="s">
        <v>200</v>
      </c>
    </row>
    <row r="116" spans="1:19" ht="28.8" x14ac:dyDescent="0.3">
      <c r="A116" s="55" t="s">
        <v>40</v>
      </c>
      <c r="B116" s="55" t="s">
        <v>190</v>
      </c>
      <c r="C116" s="55" t="s">
        <v>191</v>
      </c>
      <c r="D116" s="138" t="s">
        <v>192</v>
      </c>
      <c r="E116" s="55" t="s">
        <v>193</v>
      </c>
      <c r="F116" s="55" t="s">
        <v>521</v>
      </c>
      <c r="G116" s="55" t="s">
        <v>543</v>
      </c>
      <c r="H116" s="55" t="s">
        <v>544</v>
      </c>
      <c r="I116" s="139" t="s">
        <v>51</v>
      </c>
      <c r="J116" s="140" t="s">
        <v>545</v>
      </c>
      <c r="K116" s="55">
        <v>20038918</v>
      </c>
      <c r="L116" s="55" t="s">
        <v>198</v>
      </c>
      <c r="M116" s="141" t="str">
        <f t="shared" si="2"/>
        <v>CC-INT_E</v>
      </c>
      <c r="N116" s="142" t="str">
        <f>LOOKUP(M116,'[2]Doc Set'!E:E,'[2]Doc Set'!F:F)</f>
        <v>_</v>
      </c>
      <c r="O116" s="141" t="s">
        <v>306</v>
      </c>
      <c r="P116" s="142">
        <f>+LOOKUP(O116,'[2]Doc Set'!E:E,'[2]Doc Set'!G:G)</f>
        <v>43489</v>
      </c>
      <c r="Q116" s="55" t="str">
        <f t="shared" si="3"/>
        <v>CC-INT_E</v>
      </c>
      <c r="R116" s="142">
        <f>+LOOKUP(Q116,'[2]Doc Set'!E:E,'[2]Doc Set'!H:H)</f>
        <v>43542</v>
      </c>
      <c r="S116" s="143" t="s">
        <v>200</v>
      </c>
    </row>
    <row r="117" spans="1:19" ht="28.8" x14ac:dyDescent="0.3">
      <c r="A117" s="55" t="s">
        <v>40</v>
      </c>
      <c r="B117" s="55" t="s">
        <v>190</v>
      </c>
      <c r="C117" s="55" t="s">
        <v>191</v>
      </c>
      <c r="D117" s="138" t="s">
        <v>192</v>
      </c>
      <c r="E117" s="55" t="s">
        <v>193</v>
      </c>
      <c r="F117" s="55" t="s">
        <v>521</v>
      </c>
      <c r="G117" s="55" t="s">
        <v>546</v>
      </c>
      <c r="H117" s="55" t="s">
        <v>547</v>
      </c>
      <c r="I117" s="139" t="s">
        <v>51</v>
      </c>
      <c r="J117" s="140" t="s">
        <v>548</v>
      </c>
      <c r="K117" s="55">
        <v>20038918</v>
      </c>
      <c r="L117" s="55" t="s">
        <v>198</v>
      </c>
      <c r="M117" s="141" t="str">
        <f t="shared" si="2"/>
        <v>CC-INT_E</v>
      </c>
      <c r="N117" s="142" t="str">
        <f>LOOKUP(M117,'[2]Doc Set'!E:E,'[2]Doc Set'!F:F)</f>
        <v>_</v>
      </c>
      <c r="O117" s="141" t="s">
        <v>306</v>
      </c>
      <c r="P117" s="142">
        <f>+LOOKUP(O117,'[2]Doc Set'!E:E,'[2]Doc Set'!G:G)</f>
        <v>43489</v>
      </c>
      <c r="Q117" s="55" t="str">
        <f t="shared" si="3"/>
        <v>CC-INT_E</v>
      </c>
      <c r="R117" s="142">
        <f>+LOOKUP(Q117,'[2]Doc Set'!E:E,'[2]Doc Set'!H:H)</f>
        <v>43542</v>
      </c>
      <c r="S117" s="143" t="s">
        <v>200</v>
      </c>
    </row>
    <row r="118" spans="1:19" ht="28.8" x14ac:dyDescent="0.3">
      <c r="A118" s="55" t="s">
        <v>40</v>
      </c>
      <c r="B118" s="55" t="s">
        <v>190</v>
      </c>
      <c r="C118" s="55" t="s">
        <v>191</v>
      </c>
      <c r="D118" s="138" t="s">
        <v>192</v>
      </c>
      <c r="E118" s="55" t="s">
        <v>193</v>
      </c>
      <c r="F118" s="55" t="s">
        <v>521</v>
      </c>
      <c r="G118" s="55" t="s">
        <v>549</v>
      </c>
      <c r="H118" s="55" t="s">
        <v>550</v>
      </c>
      <c r="I118" s="139" t="s">
        <v>51</v>
      </c>
      <c r="J118" s="140" t="s">
        <v>551</v>
      </c>
      <c r="K118" s="55">
        <v>20038918</v>
      </c>
      <c r="L118" s="55" t="s">
        <v>198</v>
      </c>
      <c r="M118" s="141" t="str">
        <f t="shared" si="2"/>
        <v>CC-INT_E</v>
      </c>
      <c r="N118" s="142" t="str">
        <f>LOOKUP(M118,'[2]Doc Set'!E:E,'[2]Doc Set'!F:F)</f>
        <v>_</v>
      </c>
      <c r="O118" s="141" t="s">
        <v>306</v>
      </c>
      <c r="P118" s="142">
        <f>+LOOKUP(O118,'[2]Doc Set'!E:E,'[2]Doc Set'!G:G)</f>
        <v>43489</v>
      </c>
      <c r="Q118" s="55" t="str">
        <f t="shared" si="3"/>
        <v>CC-INT_E</v>
      </c>
      <c r="R118" s="142">
        <f>+LOOKUP(Q118,'[2]Doc Set'!E:E,'[2]Doc Set'!H:H)</f>
        <v>43542</v>
      </c>
      <c r="S118" s="143" t="s">
        <v>200</v>
      </c>
    </row>
    <row r="119" spans="1:19" ht="28.8" x14ac:dyDescent="0.3">
      <c r="A119" s="55" t="s">
        <v>40</v>
      </c>
      <c r="B119" s="55" t="s">
        <v>190</v>
      </c>
      <c r="C119" s="55" t="s">
        <v>191</v>
      </c>
      <c r="D119" s="138" t="s">
        <v>192</v>
      </c>
      <c r="E119" s="55" t="s">
        <v>193</v>
      </c>
      <c r="F119" s="55" t="s">
        <v>521</v>
      </c>
      <c r="G119" s="55" t="s">
        <v>552</v>
      </c>
      <c r="H119" s="55" t="s">
        <v>553</v>
      </c>
      <c r="I119" s="139" t="s">
        <v>51</v>
      </c>
      <c r="J119" s="140" t="s">
        <v>554</v>
      </c>
      <c r="K119" s="55">
        <v>20038918</v>
      </c>
      <c r="L119" s="55" t="s">
        <v>198</v>
      </c>
      <c r="M119" s="141" t="str">
        <f t="shared" si="2"/>
        <v>CC-INT_E</v>
      </c>
      <c r="N119" s="142" t="str">
        <f>LOOKUP(M119,'[2]Doc Set'!E:E,'[2]Doc Set'!F:F)</f>
        <v>_</v>
      </c>
      <c r="O119" s="141" t="s">
        <v>306</v>
      </c>
      <c r="P119" s="142">
        <f>+LOOKUP(O119,'[2]Doc Set'!E:E,'[2]Doc Set'!G:G)</f>
        <v>43489</v>
      </c>
      <c r="Q119" s="55" t="str">
        <f t="shared" si="3"/>
        <v>CC-INT_E</v>
      </c>
      <c r="R119" s="142">
        <f>+LOOKUP(Q119,'[2]Doc Set'!E:E,'[2]Doc Set'!H:H)</f>
        <v>43542</v>
      </c>
      <c r="S119" s="143" t="s">
        <v>200</v>
      </c>
    </row>
    <row r="120" spans="1:19" s="153" customFormat="1" ht="28.8" x14ac:dyDescent="0.3">
      <c r="A120" s="144" t="s">
        <v>40</v>
      </c>
      <c r="B120" s="144" t="s">
        <v>190</v>
      </c>
      <c r="C120" s="144" t="s">
        <v>191</v>
      </c>
      <c r="D120" s="145" t="s">
        <v>192</v>
      </c>
      <c r="E120" s="144" t="s">
        <v>193</v>
      </c>
      <c r="F120" s="144" t="s">
        <v>555</v>
      </c>
      <c r="G120" s="144" t="s">
        <v>53</v>
      </c>
      <c r="H120" s="144" t="s">
        <v>556</v>
      </c>
      <c r="I120" s="146" t="s">
        <v>51</v>
      </c>
      <c r="J120" s="147" t="s">
        <v>557</v>
      </c>
      <c r="K120" s="144">
        <v>20038918</v>
      </c>
      <c r="L120" s="148" t="s">
        <v>558</v>
      </c>
      <c r="M120" s="149" t="s">
        <v>559</v>
      </c>
      <c r="N120" s="150">
        <f>LOOKUP(M120,'[2]Doc Set'!E:E,'[2]Doc Set'!F:F)</f>
        <v>43185</v>
      </c>
      <c r="O120" s="151" t="s">
        <v>560</v>
      </c>
      <c r="P120" s="150">
        <f>+LOOKUP(O120,'[2]Doc Set'!E:E,'[2]Doc Set'!G:G)</f>
        <v>43278</v>
      </c>
      <c r="Q120" s="144" t="str">
        <f>+O120</f>
        <v>CC-SS_B</v>
      </c>
      <c r="R120" s="150">
        <f>+LOOKUP(Q120,'[2]Doc Set'!E:E,'[2]Doc Set'!H:H)</f>
        <v>43308</v>
      </c>
      <c r="S120" s="152" t="s">
        <v>200</v>
      </c>
    </row>
    <row r="121" spans="1:19" s="153" customFormat="1" ht="28.8" x14ac:dyDescent="0.3">
      <c r="A121" s="144" t="s">
        <v>40</v>
      </c>
      <c r="B121" s="144" t="s">
        <v>190</v>
      </c>
      <c r="C121" s="144" t="s">
        <v>191</v>
      </c>
      <c r="D121" s="145" t="s">
        <v>192</v>
      </c>
      <c r="E121" s="144" t="s">
        <v>193</v>
      </c>
      <c r="F121" s="144" t="s">
        <v>555</v>
      </c>
      <c r="G121" s="144" t="s">
        <v>561</v>
      </c>
      <c r="H121" s="144" t="s">
        <v>562</v>
      </c>
      <c r="I121" s="146" t="s">
        <v>51</v>
      </c>
      <c r="J121" s="147" t="s">
        <v>563</v>
      </c>
      <c r="K121" s="144">
        <v>20038918</v>
      </c>
      <c r="L121" s="148" t="s">
        <v>558</v>
      </c>
      <c r="M121" s="151" t="str">
        <f t="shared" ref="M121:M127" si="4">+O121</f>
        <v>CC-SS_B</v>
      </c>
      <c r="N121" s="150" t="str">
        <f>LOOKUP(M121,'[2]Doc Set'!E:E,'[2]Doc Set'!F:F)</f>
        <v>_</v>
      </c>
      <c r="O121" s="151" t="s">
        <v>560</v>
      </c>
      <c r="P121" s="150">
        <f>+LOOKUP(O121,'[2]Doc Set'!E:E,'[2]Doc Set'!G:G)</f>
        <v>43278</v>
      </c>
      <c r="Q121" s="144" t="str">
        <f t="shared" ref="Q121:Q169" si="5">+O121</f>
        <v>CC-SS_B</v>
      </c>
      <c r="R121" s="150">
        <f>+LOOKUP(Q121,'[2]Doc Set'!E:E,'[2]Doc Set'!H:H)</f>
        <v>43308</v>
      </c>
      <c r="S121" s="152" t="s">
        <v>200</v>
      </c>
    </row>
    <row r="122" spans="1:19" s="153" customFormat="1" x14ac:dyDescent="0.3">
      <c r="A122" s="144" t="s">
        <v>40</v>
      </c>
      <c r="B122" s="144" t="s">
        <v>190</v>
      </c>
      <c r="C122" s="144" t="s">
        <v>191</v>
      </c>
      <c r="D122" s="145" t="s">
        <v>192</v>
      </c>
      <c r="E122" s="144" t="s">
        <v>193</v>
      </c>
      <c r="F122" s="144" t="s">
        <v>555</v>
      </c>
      <c r="G122" s="144" t="s">
        <v>564</v>
      </c>
      <c r="H122" s="144" t="s">
        <v>565</v>
      </c>
      <c r="I122" s="146" t="s">
        <v>51</v>
      </c>
      <c r="J122" s="147" t="s">
        <v>566</v>
      </c>
      <c r="K122" s="144">
        <v>20038918</v>
      </c>
      <c r="L122" s="148" t="s">
        <v>558</v>
      </c>
      <c r="M122" s="151" t="str">
        <f t="shared" si="4"/>
        <v>CC-SS_B</v>
      </c>
      <c r="N122" s="150" t="str">
        <f>LOOKUP(M122,'[2]Doc Set'!E:E,'[2]Doc Set'!F:F)</f>
        <v>_</v>
      </c>
      <c r="O122" s="151" t="s">
        <v>560</v>
      </c>
      <c r="P122" s="150">
        <f>+LOOKUP(O122,'[2]Doc Set'!E:E,'[2]Doc Set'!G:G)</f>
        <v>43278</v>
      </c>
      <c r="Q122" s="144" t="str">
        <f t="shared" si="5"/>
        <v>CC-SS_B</v>
      </c>
      <c r="R122" s="150">
        <f>+LOOKUP(Q122,'[2]Doc Set'!E:E,'[2]Doc Set'!H:H)</f>
        <v>43308</v>
      </c>
      <c r="S122" s="152" t="s">
        <v>200</v>
      </c>
    </row>
    <row r="123" spans="1:19" s="153" customFormat="1" ht="28.8" x14ac:dyDescent="0.3">
      <c r="A123" s="144" t="s">
        <v>40</v>
      </c>
      <c r="B123" s="144" t="s">
        <v>190</v>
      </c>
      <c r="C123" s="144" t="s">
        <v>191</v>
      </c>
      <c r="D123" s="145" t="s">
        <v>192</v>
      </c>
      <c r="E123" s="144" t="s">
        <v>193</v>
      </c>
      <c r="F123" s="144" t="s">
        <v>555</v>
      </c>
      <c r="G123" s="144" t="s">
        <v>567</v>
      </c>
      <c r="H123" s="144" t="s">
        <v>568</v>
      </c>
      <c r="I123" s="146" t="s">
        <v>51</v>
      </c>
      <c r="J123" s="147" t="s">
        <v>569</v>
      </c>
      <c r="K123" s="144">
        <v>20038918</v>
      </c>
      <c r="L123" s="148" t="s">
        <v>558</v>
      </c>
      <c r="M123" s="151" t="str">
        <f t="shared" si="4"/>
        <v>CC-SS_B</v>
      </c>
      <c r="N123" s="150" t="str">
        <f>LOOKUP(M123,'[2]Doc Set'!E:E,'[2]Doc Set'!F:F)</f>
        <v>_</v>
      </c>
      <c r="O123" s="151" t="s">
        <v>560</v>
      </c>
      <c r="P123" s="150">
        <f>+LOOKUP(O123,'[2]Doc Set'!E:E,'[2]Doc Set'!G:G)</f>
        <v>43278</v>
      </c>
      <c r="Q123" s="144" t="str">
        <f t="shared" si="5"/>
        <v>CC-SS_B</v>
      </c>
      <c r="R123" s="150">
        <f>+LOOKUP(Q123,'[2]Doc Set'!E:E,'[2]Doc Set'!H:H)</f>
        <v>43308</v>
      </c>
      <c r="S123" s="152" t="s">
        <v>200</v>
      </c>
    </row>
    <row r="124" spans="1:19" s="153" customFormat="1" x14ac:dyDescent="0.3">
      <c r="A124" s="144" t="s">
        <v>40</v>
      </c>
      <c r="B124" s="144" t="s">
        <v>190</v>
      </c>
      <c r="C124" s="144" t="s">
        <v>191</v>
      </c>
      <c r="D124" s="145" t="s">
        <v>192</v>
      </c>
      <c r="E124" s="144" t="s">
        <v>193</v>
      </c>
      <c r="F124" s="144" t="s">
        <v>555</v>
      </c>
      <c r="G124" s="144" t="s">
        <v>570</v>
      </c>
      <c r="H124" s="144" t="s">
        <v>571</v>
      </c>
      <c r="I124" s="146" t="s">
        <v>51</v>
      </c>
      <c r="J124" s="147" t="s">
        <v>572</v>
      </c>
      <c r="K124" s="144">
        <v>20038918</v>
      </c>
      <c r="L124" s="148" t="s">
        <v>558</v>
      </c>
      <c r="M124" s="151" t="str">
        <f t="shared" si="4"/>
        <v>CC-SS_B</v>
      </c>
      <c r="N124" s="150" t="str">
        <f>LOOKUP(M124,'[2]Doc Set'!E:E,'[2]Doc Set'!F:F)</f>
        <v>_</v>
      </c>
      <c r="O124" s="151" t="s">
        <v>560</v>
      </c>
      <c r="P124" s="150">
        <f>+LOOKUP(O124,'[2]Doc Set'!E:E,'[2]Doc Set'!G:G)</f>
        <v>43278</v>
      </c>
      <c r="Q124" s="144" t="str">
        <f t="shared" si="5"/>
        <v>CC-SS_B</v>
      </c>
      <c r="R124" s="150">
        <f>+LOOKUP(Q124,'[2]Doc Set'!E:E,'[2]Doc Set'!H:H)</f>
        <v>43308</v>
      </c>
      <c r="S124" s="152" t="s">
        <v>200</v>
      </c>
    </row>
    <row r="125" spans="1:19" s="153" customFormat="1" ht="28.8" x14ac:dyDescent="0.3">
      <c r="A125" s="144" t="s">
        <v>40</v>
      </c>
      <c r="B125" s="144" t="s">
        <v>190</v>
      </c>
      <c r="C125" s="144" t="s">
        <v>191</v>
      </c>
      <c r="D125" s="145" t="s">
        <v>192</v>
      </c>
      <c r="E125" s="144" t="s">
        <v>193</v>
      </c>
      <c r="F125" s="144" t="s">
        <v>555</v>
      </c>
      <c r="G125" s="144" t="s">
        <v>573</v>
      </c>
      <c r="H125" s="144" t="s">
        <v>574</v>
      </c>
      <c r="I125" s="146" t="s">
        <v>51</v>
      </c>
      <c r="J125" s="147" t="s">
        <v>575</v>
      </c>
      <c r="K125" s="144">
        <v>20038918</v>
      </c>
      <c r="L125" s="148" t="s">
        <v>558</v>
      </c>
      <c r="M125" s="151" t="str">
        <f t="shared" si="4"/>
        <v>CC-SS_B</v>
      </c>
      <c r="N125" s="150" t="str">
        <f>LOOKUP(M125,'[2]Doc Set'!E:E,'[2]Doc Set'!F:F)</f>
        <v>_</v>
      </c>
      <c r="O125" s="151" t="s">
        <v>560</v>
      </c>
      <c r="P125" s="150">
        <f>+LOOKUP(O125,'[2]Doc Set'!E:E,'[2]Doc Set'!G:G)</f>
        <v>43278</v>
      </c>
      <c r="Q125" s="144" t="str">
        <f t="shared" si="5"/>
        <v>CC-SS_B</v>
      </c>
      <c r="R125" s="150">
        <f>+LOOKUP(Q125,'[2]Doc Set'!E:E,'[2]Doc Set'!H:H)</f>
        <v>43308</v>
      </c>
      <c r="S125" s="152" t="s">
        <v>200</v>
      </c>
    </row>
    <row r="126" spans="1:19" s="153" customFormat="1" ht="28.8" x14ac:dyDescent="0.3">
      <c r="A126" s="144" t="s">
        <v>40</v>
      </c>
      <c r="B126" s="144" t="s">
        <v>190</v>
      </c>
      <c r="C126" s="144" t="s">
        <v>191</v>
      </c>
      <c r="D126" s="145" t="s">
        <v>192</v>
      </c>
      <c r="E126" s="144" t="s">
        <v>193</v>
      </c>
      <c r="F126" s="144" t="s">
        <v>555</v>
      </c>
      <c r="G126" s="144" t="s">
        <v>576</v>
      </c>
      <c r="H126" s="144" t="s">
        <v>577</v>
      </c>
      <c r="I126" s="146" t="s">
        <v>51</v>
      </c>
      <c r="J126" s="147" t="s">
        <v>578</v>
      </c>
      <c r="K126" s="144">
        <v>20038918</v>
      </c>
      <c r="L126" s="148" t="s">
        <v>558</v>
      </c>
      <c r="M126" s="151" t="str">
        <f t="shared" si="4"/>
        <v>CC-SS_B</v>
      </c>
      <c r="N126" s="150" t="str">
        <f>LOOKUP(M126,'[2]Doc Set'!E:E,'[2]Doc Set'!F:F)</f>
        <v>_</v>
      </c>
      <c r="O126" s="151" t="s">
        <v>560</v>
      </c>
      <c r="P126" s="150">
        <f>+LOOKUP(O126,'[2]Doc Set'!E:E,'[2]Doc Set'!G:G)</f>
        <v>43278</v>
      </c>
      <c r="Q126" s="144" t="str">
        <f t="shared" si="5"/>
        <v>CC-SS_B</v>
      </c>
      <c r="R126" s="150">
        <f>+LOOKUP(Q126,'[2]Doc Set'!E:E,'[2]Doc Set'!H:H)</f>
        <v>43308</v>
      </c>
      <c r="S126" s="152" t="s">
        <v>200</v>
      </c>
    </row>
    <row r="127" spans="1:19" s="153" customFormat="1" ht="28.8" x14ac:dyDescent="0.3">
      <c r="A127" s="144" t="s">
        <v>40</v>
      </c>
      <c r="B127" s="144" t="s">
        <v>190</v>
      </c>
      <c r="C127" s="144" t="s">
        <v>191</v>
      </c>
      <c r="D127" s="145" t="s">
        <v>192</v>
      </c>
      <c r="E127" s="144" t="s">
        <v>193</v>
      </c>
      <c r="F127" s="144" t="s">
        <v>555</v>
      </c>
      <c r="G127" s="144" t="s">
        <v>579</v>
      </c>
      <c r="H127" s="144" t="s">
        <v>580</v>
      </c>
      <c r="I127" s="146" t="s">
        <v>51</v>
      </c>
      <c r="J127" s="147" t="s">
        <v>581</v>
      </c>
      <c r="K127" s="144">
        <v>20038918</v>
      </c>
      <c r="L127" s="148" t="s">
        <v>558</v>
      </c>
      <c r="M127" s="151" t="str">
        <f t="shared" si="4"/>
        <v>CC-SS_B</v>
      </c>
      <c r="N127" s="150" t="str">
        <f>LOOKUP(M127,'[2]Doc Set'!E:E,'[2]Doc Set'!F:F)</f>
        <v>_</v>
      </c>
      <c r="O127" s="151" t="s">
        <v>560</v>
      </c>
      <c r="P127" s="150">
        <f>+LOOKUP(O127,'[2]Doc Set'!E:E,'[2]Doc Set'!G:G)</f>
        <v>43278</v>
      </c>
      <c r="Q127" s="144" t="str">
        <f t="shared" si="5"/>
        <v>CC-SS_B</v>
      </c>
      <c r="R127" s="150">
        <f>+LOOKUP(Q127,'[2]Doc Set'!E:E,'[2]Doc Set'!H:H)</f>
        <v>43308</v>
      </c>
      <c r="S127" s="152" t="s">
        <v>200</v>
      </c>
    </row>
    <row r="128" spans="1:19" s="153" customFormat="1" ht="28.8" x14ac:dyDescent="0.3">
      <c r="A128" s="144" t="s">
        <v>40</v>
      </c>
      <c r="B128" s="144" t="s">
        <v>190</v>
      </c>
      <c r="C128" s="144" t="s">
        <v>191</v>
      </c>
      <c r="D128" s="145" t="s">
        <v>192</v>
      </c>
      <c r="E128" s="144" t="s">
        <v>193</v>
      </c>
      <c r="F128" s="144" t="s">
        <v>555</v>
      </c>
      <c r="G128" s="144" t="s">
        <v>582</v>
      </c>
      <c r="H128" s="144" t="s">
        <v>583</v>
      </c>
      <c r="I128" s="146" t="s">
        <v>51</v>
      </c>
      <c r="J128" s="147" t="s">
        <v>584</v>
      </c>
      <c r="K128" s="144">
        <v>20038918</v>
      </c>
      <c r="L128" s="148" t="s">
        <v>558</v>
      </c>
      <c r="M128" s="149" t="s">
        <v>559</v>
      </c>
      <c r="N128" s="150">
        <f>LOOKUP(M128,'[2]Doc Set'!E:E,'[2]Doc Set'!F:F)</f>
        <v>43185</v>
      </c>
      <c r="O128" s="151" t="s">
        <v>560</v>
      </c>
      <c r="P128" s="150">
        <f>+LOOKUP(O128,'[2]Doc Set'!E:E,'[2]Doc Set'!G:G)</f>
        <v>43278</v>
      </c>
      <c r="Q128" s="144" t="str">
        <f t="shared" si="5"/>
        <v>CC-SS_B</v>
      </c>
      <c r="R128" s="150">
        <f>+LOOKUP(Q128,'[2]Doc Set'!E:E,'[2]Doc Set'!H:H)</f>
        <v>43308</v>
      </c>
      <c r="S128" s="152" t="s">
        <v>200</v>
      </c>
    </row>
    <row r="129" spans="1:19" s="153" customFormat="1" ht="28.8" x14ac:dyDescent="0.3">
      <c r="A129" s="144" t="s">
        <v>40</v>
      </c>
      <c r="B129" s="144" t="s">
        <v>190</v>
      </c>
      <c r="C129" s="144" t="s">
        <v>191</v>
      </c>
      <c r="D129" s="145" t="s">
        <v>192</v>
      </c>
      <c r="E129" s="144" t="s">
        <v>193</v>
      </c>
      <c r="F129" s="144" t="s">
        <v>555</v>
      </c>
      <c r="G129" s="144" t="s">
        <v>585</v>
      </c>
      <c r="H129" s="144" t="s">
        <v>586</v>
      </c>
      <c r="I129" s="146" t="s">
        <v>51</v>
      </c>
      <c r="J129" s="147" t="s">
        <v>587</v>
      </c>
      <c r="K129" s="144">
        <v>20038918</v>
      </c>
      <c r="L129" s="148" t="s">
        <v>558</v>
      </c>
      <c r="M129" s="149" t="s">
        <v>559</v>
      </c>
      <c r="N129" s="150">
        <f>LOOKUP(M129,'[2]Doc Set'!E:E,'[2]Doc Set'!F:F)</f>
        <v>43185</v>
      </c>
      <c r="O129" s="151" t="s">
        <v>560</v>
      </c>
      <c r="P129" s="150">
        <f>+LOOKUP(O129,'[2]Doc Set'!E:E,'[2]Doc Set'!G:G)</f>
        <v>43278</v>
      </c>
      <c r="Q129" s="144" t="str">
        <f t="shared" si="5"/>
        <v>CC-SS_B</v>
      </c>
      <c r="R129" s="150">
        <f>+LOOKUP(Q129,'[2]Doc Set'!E:E,'[2]Doc Set'!H:H)</f>
        <v>43308</v>
      </c>
      <c r="S129" s="152" t="s">
        <v>200</v>
      </c>
    </row>
    <row r="130" spans="1:19" s="153" customFormat="1" ht="28.8" x14ac:dyDescent="0.3">
      <c r="A130" s="144" t="s">
        <v>40</v>
      </c>
      <c r="B130" s="144" t="s">
        <v>190</v>
      </c>
      <c r="C130" s="144" t="s">
        <v>191</v>
      </c>
      <c r="D130" s="145" t="s">
        <v>192</v>
      </c>
      <c r="E130" s="144" t="s">
        <v>193</v>
      </c>
      <c r="F130" s="144" t="s">
        <v>555</v>
      </c>
      <c r="G130" s="144" t="s">
        <v>588</v>
      </c>
      <c r="H130" s="144" t="s">
        <v>589</v>
      </c>
      <c r="I130" s="146" t="s">
        <v>51</v>
      </c>
      <c r="J130" s="147" t="s">
        <v>590</v>
      </c>
      <c r="K130" s="144">
        <v>20038918</v>
      </c>
      <c r="L130" s="148" t="s">
        <v>558</v>
      </c>
      <c r="M130" s="149" t="s">
        <v>559</v>
      </c>
      <c r="N130" s="150">
        <f>LOOKUP(M130,'[2]Doc Set'!E:E,'[2]Doc Set'!F:F)</f>
        <v>43185</v>
      </c>
      <c r="O130" s="151" t="s">
        <v>560</v>
      </c>
      <c r="P130" s="150">
        <f>+LOOKUP(O130,'[2]Doc Set'!E:E,'[2]Doc Set'!G:G)</f>
        <v>43278</v>
      </c>
      <c r="Q130" s="144" t="str">
        <f t="shared" si="5"/>
        <v>CC-SS_B</v>
      </c>
      <c r="R130" s="150">
        <f>+LOOKUP(Q130,'[2]Doc Set'!E:E,'[2]Doc Set'!H:H)</f>
        <v>43308</v>
      </c>
      <c r="S130" s="152" t="s">
        <v>200</v>
      </c>
    </row>
    <row r="131" spans="1:19" s="153" customFormat="1" ht="28.8" x14ac:dyDescent="0.3">
      <c r="A131" s="144" t="s">
        <v>40</v>
      </c>
      <c r="B131" s="144" t="s">
        <v>190</v>
      </c>
      <c r="C131" s="144" t="s">
        <v>191</v>
      </c>
      <c r="D131" s="145" t="s">
        <v>192</v>
      </c>
      <c r="E131" s="144" t="s">
        <v>193</v>
      </c>
      <c r="F131" s="144" t="s">
        <v>555</v>
      </c>
      <c r="G131" s="144" t="s">
        <v>591</v>
      </c>
      <c r="H131" s="144" t="s">
        <v>592</v>
      </c>
      <c r="I131" s="146" t="s">
        <v>51</v>
      </c>
      <c r="J131" s="147" t="s">
        <v>593</v>
      </c>
      <c r="K131" s="144">
        <v>20038918</v>
      </c>
      <c r="L131" s="148" t="s">
        <v>558</v>
      </c>
      <c r="M131" s="149" t="s">
        <v>559</v>
      </c>
      <c r="N131" s="150">
        <f>LOOKUP(M131,'[2]Doc Set'!E:E,'[2]Doc Set'!F:F)</f>
        <v>43185</v>
      </c>
      <c r="O131" s="151" t="s">
        <v>560</v>
      </c>
      <c r="P131" s="150">
        <f>+LOOKUP(O131,'[2]Doc Set'!E:E,'[2]Doc Set'!G:G)</f>
        <v>43278</v>
      </c>
      <c r="Q131" s="144" t="str">
        <f t="shared" si="5"/>
        <v>CC-SS_B</v>
      </c>
      <c r="R131" s="150">
        <f>+LOOKUP(Q131,'[2]Doc Set'!E:E,'[2]Doc Set'!H:H)</f>
        <v>43308</v>
      </c>
      <c r="S131" s="152" t="s">
        <v>200</v>
      </c>
    </row>
    <row r="132" spans="1:19" s="153" customFormat="1" ht="28.8" x14ac:dyDescent="0.3">
      <c r="A132" s="144" t="s">
        <v>40</v>
      </c>
      <c r="B132" s="144" t="s">
        <v>190</v>
      </c>
      <c r="C132" s="144" t="s">
        <v>191</v>
      </c>
      <c r="D132" s="145" t="s">
        <v>192</v>
      </c>
      <c r="E132" s="144" t="s">
        <v>193</v>
      </c>
      <c r="F132" s="144" t="s">
        <v>555</v>
      </c>
      <c r="G132" s="144" t="s">
        <v>594</v>
      </c>
      <c r="H132" s="144" t="s">
        <v>595</v>
      </c>
      <c r="I132" s="146" t="s">
        <v>51</v>
      </c>
      <c r="J132" s="147" t="s">
        <v>596</v>
      </c>
      <c r="K132" s="144">
        <v>20038918</v>
      </c>
      <c r="L132" s="148" t="s">
        <v>558</v>
      </c>
      <c r="M132" s="151" t="str">
        <f>+O132</f>
        <v>CC-SS_B</v>
      </c>
      <c r="N132" s="150" t="str">
        <f>LOOKUP(M132,'[2]Doc Set'!E:E,'[2]Doc Set'!F:F)</f>
        <v>_</v>
      </c>
      <c r="O132" s="151" t="s">
        <v>560</v>
      </c>
      <c r="P132" s="150">
        <f>+LOOKUP(O132,'[2]Doc Set'!E:E,'[2]Doc Set'!G:G)</f>
        <v>43278</v>
      </c>
      <c r="Q132" s="144" t="str">
        <f t="shared" si="5"/>
        <v>CC-SS_B</v>
      </c>
      <c r="R132" s="150">
        <f>+LOOKUP(Q132,'[2]Doc Set'!E:E,'[2]Doc Set'!H:H)</f>
        <v>43308</v>
      </c>
      <c r="S132" s="152" t="s">
        <v>200</v>
      </c>
    </row>
    <row r="133" spans="1:19" s="153" customFormat="1" ht="28.8" x14ac:dyDescent="0.3">
      <c r="A133" s="144" t="s">
        <v>40</v>
      </c>
      <c r="B133" s="144" t="s">
        <v>190</v>
      </c>
      <c r="C133" s="144" t="s">
        <v>191</v>
      </c>
      <c r="D133" s="145" t="s">
        <v>192</v>
      </c>
      <c r="E133" s="144" t="s">
        <v>193</v>
      </c>
      <c r="F133" s="144" t="s">
        <v>555</v>
      </c>
      <c r="G133" s="144" t="s">
        <v>597</v>
      </c>
      <c r="H133" s="144" t="s">
        <v>598</v>
      </c>
      <c r="I133" s="146" t="s">
        <v>51</v>
      </c>
      <c r="J133" s="147" t="s">
        <v>599</v>
      </c>
      <c r="K133" s="144">
        <v>20038918</v>
      </c>
      <c r="L133" s="148" t="s">
        <v>558</v>
      </c>
      <c r="M133" s="149" t="s">
        <v>559</v>
      </c>
      <c r="N133" s="150">
        <f>LOOKUP(M133,'[2]Doc Set'!E:E,'[2]Doc Set'!F:F)</f>
        <v>43185</v>
      </c>
      <c r="O133" s="151" t="s">
        <v>560</v>
      </c>
      <c r="P133" s="150">
        <f>+LOOKUP(O133,'[2]Doc Set'!E:E,'[2]Doc Set'!G:G)</f>
        <v>43278</v>
      </c>
      <c r="Q133" s="144" t="str">
        <f t="shared" si="5"/>
        <v>CC-SS_B</v>
      </c>
      <c r="R133" s="150">
        <f>+LOOKUP(Q133,'[2]Doc Set'!E:E,'[2]Doc Set'!H:H)</f>
        <v>43308</v>
      </c>
      <c r="S133" s="152" t="s">
        <v>200</v>
      </c>
    </row>
    <row r="134" spans="1:19" s="153" customFormat="1" ht="28.8" x14ac:dyDescent="0.3">
      <c r="A134" s="144" t="s">
        <v>40</v>
      </c>
      <c r="B134" s="144" t="s">
        <v>190</v>
      </c>
      <c r="C134" s="144" t="s">
        <v>191</v>
      </c>
      <c r="D134" s="145" t="s">
        <v>192</v>
      </c>
      <c r="E134" s="144" t="s">
        <v>193</v>
      </c>
      <c r="F134" s="144" t="s">
        <v>555</v>
      </c>
      <c r="G134" s="144" t="s">
        <v>600</v>
      </c>
      <c r="H134" s="144" t="s">
        <v>601</v>
      </c>
      <c r="I134" s="146" t="s">
        <v>51</v>
      </c>
      <c r="J134" s="147" t="s">
        <v>602</v>
      </c>
      <c r="K134" s="144">
        <v>20038918</v>
      </c>
      <c r="L134" s="148" t="s">
        <v>558</v>
      </c>
      <c r="M134" s="151" t="str">
        <f>+O134</f>
        <v>CC-SS_B</v>
      </c>
      <c r="N134" s="150" t="str">
        <f>LOOKUP(M134,'[2]Doc Set'!E:E,'[2]Doc Set'!F:F)</f>
        <v>_</v>
      </c>
      <c r="O134" s="151" t="s">
        <v>560</v>
      </c>
      <c r="P134" s="150">
        <f>+LOOKUP(O134,'[2]Doc Set'!E:E,'[2]Doc Set'!G:G)</f>
        <v>43278</v>
      </c>
      <c r="Q134" s="144" t="str">
        <f t="shared" si="5"/>
        <v>CC-SS_B</v>
      </c>
      <c r="R134" s="150">
        <f>+LOOKUP(Q134,'[2]Doc Set'!E:E,'[2]Doc Set'!H:H)</f>
        <v>43308</v>
      </c>
      <c r="S134" s="152" t="s">
        <v>200</v>
      </c>
    </row>
    <row r="135" spans="1:19" s="153" customFormat="1" ht="28.8" x14ac:dyDescent="0.3">
      <c r="A135" s="144" t="s">
        <v>40</v>
      </c>
      <c r="B135" s="144" t="s">
        <v>190</v>
      </c>
      <c r="C135" s="144" t="s">
        <v>191</v>
      </c>
      <c r="D135" s="145" t="s">
        <v>192</v>
      </c>
      <c r="E135" s="144" t="s">
        <v>193</v>
      </c>
      <c r="F135" s="144" t="s">
        <v>555</v>
      </c>
      <c r="G135" s="144" t="s">
        <v>603</v>
      </c>
      <c r="H135" s="144" t="s">
        <v>604</v>
      </c>
      <c r="I135" s="146" t="s">
        <v>51</v>
      </c>
      <c r="J135" s="147" t="s">
        <v>605</v>
      </c>
      <c r="K135" s="144">
        <v>20038918</v>
      </c>
      <c r="L135" s="148" t="s">
        <v>558</v>
      </c>
      <c r="M135" s="149" t="s">
        <v>559</v>
      </c>
      <c r="N135" s="150">
        <f>LOOKUP(M135,'[2]Doc Set'!E:E,'[2]Doc Set'!F:F)</f>
        <v>43185</v>
      </c>
      <c r="O135" s="151" t="s">
        <v>560</v>
      </c>
      <c r="P135" s="150">
        <f>+LOOKUP(O135,'[2]Doc Set'!E:E,'[2]Doc Set'!G:G)</f>
        <v>43278</v>
      </c>
      <c r="Q135" s="144" t="str">
        <f t="shared" si="5"/>
        <v>CC-SS_B</v>
      </c>
      <c r="R135" s="150">
        <f>+LOOKUP(Q135,'[2]Doc Set'!E:E,'[2]Doc Set'!H:H)</f>
        <v>43308</v>
      </c>
      <c r="S135" s="152" t="s">
        <v>200</v>
      </c>
    </row>
    <row r="136" spans="1:19" s="153" customFormat="1" ht="28.8" x14ac:dyDescent="0.3">
      <c r="A136" s="144" t="s">
        <v>40</v>
      </c>
      <c r="B136" s="144" t="s">
        <v>190</v>
      </c>
      <c r="C136" s="144" t="s">
        <v>191</v>
      </c>
      <c r="D136" s="145" t="s">
        <v>192</v>
      </c>
      <c r="E136" s="144" t="s">
        <v>193</v>
      </c>
      <c r="F136" s="144" t="s">
        <v>555</v>
      </c>
      <c r="G136" s="144" t="s">
        <v>606</v>
      </c>
      <c r="H136" s="144" t="s">
        <v>607</v>
      </c>
      <c r="I136" s="146" t="s">
        <v>51</v>
      </c>
      <c r="J136" s="147" t="s">
        <v>608</v>
      </c>
      <c r="K136" s="144">
        <v>20038918</v>
      </c>
      <c r="L136" s="148" t="s">
        <v>558</v>
      </c>
      <c r="M136" s="151" t="str">
        <f t="shared" ref="M136:M169" si="6">+O136</f>
        <v>CC-SS_B</v>
      </c>
      <c r="N136" s="150" t="str">
        <f>LOOKUP(M136,'[2]Doc Set'!E:E,'[2]Doc Set'!F:F)</f>
        <v>_</v>
      </c>
      <c r="O136" s="151" t="s">
        <v>560</v>
      </c>
      <c r="P136" s="150">
        <f>+LOOKUP(O136,'[2]Doc Set'!E:E,'[2]Doc Set'!G:G)</f>
        <v>43278</v>
      </c>
      <c r="Q136" s="144" t="str">
        <f t="shared" si="5"/>
        <v>CC-SS_B</v>
      </c>
      <c r="R136" s="150">
        <f>+LOOKUP(Q136,'[2]Doc Set'!E:E,'[2]Doc Set'!H:H)</f>
        <v>43308</v>
      </c>
      <c r="S136" s="152" t="s">
        <v>200</v>
      </c>
    </row>
    <row r="137" spans="1:19" s="153" customFormat="1" x14ac:dyDescent="0.3">
      <c r="A137" s="144" t="s">
        <v>40</v>
      </c>
      <c r="B137" s="144" t="s">
        <v>190</v>
      </c>
      <c r="C137" s="144" t="s">
        <v>191</v>
      </c>
      <c r="D137" s="145" t="s">
        <v>192</v>
      </c>
      <c r="E137" s="144" t="s">
        <v>193</v>
      </c>
      <c r="F137" s="144" t="s">
        <v>609</v>
      </c>
      <c r="G137" s="144" t="s">
        <v>610</v>
      </c>
      <c r="H137" s="144" t="s">
        <v>611</v>
      </c>
      <c r="I137" s="146" t="s">
        <v>51</v>
      </c>
      <c r="J137" s="147" t="s">
        <v>612</v>
      </c>
      <c r="K137" s="144">
        <v>20038918</v>
      </c>
      <c r="L137" s="144" t="s">
        <v>198</v>
      </c>
      <c r="M137" s="151" t="str">
        <f t="shared" si="6"/>
        <v>CC-SS_B</v>
      </c>
      <c r="N137" s="150" t="str">
        <f>LOOKUP(M137,'[2]Doc Set'!E:E,'[2]Doc Set'!F:F)</f>
        <v>_</v>
      </c>
      <c r="O137" s="151" t="s">
        <v>560</v>
      </c>
      <c r="P137" s="150">
        <f>+LOOKUP(O137,'[2]Doc Set'!E:E,'[2]Doc Set'!G:G)</f>
        <v>43278</v>
      </c>
      <c r="Q137" s="144" t="str">
        <f t="shared" si="5"/>
        <v>CC-SS_B</v>
      </c>
      <c r="R137" s="150">
        <f>+LOOKUP(Q137,'[2]Doc Set'!E:E,'[2]Doc Set'!H:H)</f>
        <v>43308</v>
      </c>
      <c r="S137" s="152" t="s">
        <v>200</v>
      </c>
    </row>
    <row r="138" spans="1:19" s="153" customFormat="1" x14ac:dyDescent="0.3">
      <c r="A138" s="144" t="s">
        <v>40</v>
      </c>
      <c r="B138" s="144" t="s">
        <v>190</v>
      </c>
      <c r="C138" s="144" t="s">
        <v>191</v>
      </c>
      <c r="D138" s="145" t="s">
        <v>192</v>
      </c>
      <c r="E138" s="144" t="s">
        <v>193</v>
      </c>
      <c r="F138" s="144" t="s">
        <v>613</v>
      </c>
      <c r="G138" s="144" t="s">
        <v>614</v>
      </c>
      <c r="H138" s="144" t="s">
        <v>615</v>
      </c>
      <c r="I138" s="146" t="s">
        <v>51</v>
      </c>
      <c r="J138" s="147" t="s">
        <v>616</v>
      </c>
      <c r="K138" s="144">
        <v>20038918</v>
      </c>
      <c r="L138" s="144" t="s">
        <v>198</v>
      </c>
      <c r="M138" s="151" t="str">
        <f t="shared" si="6"/>
        <v>CC-SS_B</v>
      </c>
      <c r="N138" s="150" t="str">
        <f>LOOKUP(M138,'[2]Doc Set'!E:E,'[2]Doc Set'!F:F)</f>
        <v>_</v>
      </c>
      <c r="O138" s="151" t="s">
        <v>560</v>
      </c>
      <c r="P138" s="150">
        <f>+LOOKUP(O138,'[2]Doc Set'!E:E,'[2]Doc Set'!G:G)</f>
        <v>43278</v>
      </c>
      <c r="Q138" s="144" t="str">
        <f t="shared" si="5"/>
        <v>CC-SS_B</v>
      </c>
      <c r="R138" s="150">
        <f>+LOOKUP(Q138,'[2]Doc Set'!E:E,'[2]Doc Set'!H:H)</f>
        <v>43308</v>
      </c>
      <c r="S138" s="152" t="s">
        <v>200</v>
      </c>
    </row>
    <row r="139" spans="1:19" s="153" customFormat="1" x14ac:dyDescent="0.3">
      <c r="A139" s="144" t="s">
        <v>40</v>
      </c>
      <c r="B139" s="144" t="s">
        <v>190</v>
      </c>
      <c r="C139" s="144" t="s">
        <v>191</v>
      </c>
      <c r="D139" s="145" t="s">
        <v>192</v>
      </c>
      <c r="E139" s="144" t="s">
        <v>193</v>
      </c>
      <c r="F139" s="144" t="s">
        <v>609</v>
      </c>
      <c r="G139" s="144" t="s">
        <v>617</v>
      </c>
      <c r="H139" s="144" t="s">
        <v>618</v>
      </c>
      <c r="I139" s="146" t="s">
        <v>51</v>
      </c>
      <c r="J139" s="147" t="s">
        <v>619</v>
      </c>
      <c r="K139" s="144">
        <v>20038918</v>
      </c>
      <c r="L139" s="144" t="s">
        <v>198</v>
      </c>
      <c r="M139" s="151" t="str">
        <f t="shared" si="6"/>
        <v>CC-SS_B</v>
      </c>
      <c r="N139" s="150" t="str">
        <f>LOOKUP(M139,'[2]Doc Set'!E:E,'[2]Doc Set'!F:F)</f>
        <v>_</v>
      </c>
      <c r="O139" s="151" t="s">
        <v>560</v>
      </c>
      <c r="P139" s="150">
        <f>+LOOKUP(O139,'[2]Doc Set'!E:E,'[2]Doc Set'!G:G)</f>
        <v>43278</v>
      </c>
      <c r="Q139" s="144" t="str">
        <f t="shared" si="5"/>
        <v>CC-SS_B</v>
      </c>
      <c r="R139" s="150">
        <f>+LOOKUP(Q139,'[2]Doc Set'!E:E,'[2]Doc Set'!H:H)</f>
        <v>43308</v>
      </c>
      <c r="S139" s="152" t="s">
        <v>200</v>
      </c>
    </row>
    <row r="140" spans="1:19" s="153" customFormat="1" x14ac:dyDescent="0.3">
      <c r="A140" s="144" t="s">
        <v>40</v>
      </c>
      <c r="B140" s="144" t="s">
        <v>190</v>
      </c>
      <c r="C140" s="144" t="s">
        <v>191</v>
      </c>
      <c r="D140" s="145" t="s">
        <v>192</v>
      </c>
      <c r="E140" s="144" t="s">
        <v>193</v>
      </c>
      <c r="F140" s="144" t="s">
        <v>609</v>
      </c>
      <c r="G140" s="144" t="s">
        <v>620</v>
      </c>
      <c r="H140" s="144" t="s">
        <v>621</v>
      </c>
      <c r="I140" s="146" t="s">
        <v>51</v>
      </c>
      <c r="J140" s="147" t="s">
        <v>622</v>
      </c>
      <c r="K140" s="144">
        <v>20038918</v>
      </c>
      <c r="L140" s="144" t="s">
        <v>198</v>
      </c>
      <c r="M140" s="151" t="str">
        <f t="shared" si="6"/>
        <v>CC-SS_B</v>
      </c>
      <c r="N140" s="150" t="str">
        <f>LOOKUP(M140,'[2]Doc Set'!E:E,'[2]Doc Set'!F:F)</f>
        <v>_</v>
      </c>
      <c r="O140" s="151" t="s">
        <v>560</v>
      </c>
      <c r="P140" s="150">
        <f>+LOOKUP(O140,'[2]Doc Set'!E:E,'[2]Doc Set'!G:G)</f>
        <v>43278</v>
      </c>
      <c r="Q140" s="144" t="str">
        <f t="shared" si="5"/>
        <v>CC-SS_B</v>
      </c>
      <c r="R140" s="150">
        <f>+LOOKUP(Q140,'[2]Doc Set'!E:E,'[2]Doc Set'!H:H)</f>
        <v>43308</v>
      </c>
      <c r="S140" s="152" t="s">
        <v>200</v>
      </c>
    </row>
    <row r="141" spans="1:19" s="153" customFormat="1" x14ac:dyDescent="0.3">
      <c r="A141" s="144" t="s">
        <v>40</v>
      </c>
      <c r="B141" s="144" t="s">
        <v>190</v>
      </c>
      <c r="C141" s="144" t="s">
        <v>191</v>
      </c>
      <c r="D141" s="145" t="s">
        <v>192</v>
      </c>
      <c r="E141" s="144" t="s">
        <v>193</v>
      </c>
      <c r="F141" s="144" t="s">
        <v>609</v>
      </c>
      <c r="G141" s="144" t="s">
        <v>623</v>
      </c>
      <c r="H141" s="144" t="s">
        <v>624</v>
      </c>
      <c r="I141" s="146" t="s">
        <v>51</v>
      </c>
      <c r="J141" s="147" t="s">
        <v>625</v>
      </c>
      <c r="K141" s="144">
        <v>20038918</v>
      </c>
      <c r="L141" s="144" t="s">
        <v>198</v>
      </c>
      <c r="M141" s="151" t="str">
        <f t="shared" si="6"/>
        <v>CC-SS_B</v>
      </c>
      <c r="N141" s="150" t="str">
        <f>LOOKUP(M141,'[2]Doc Set'!E:E,'[2]Doc Set'!F:F)</f>
        <v>_</v>
      </c>
      <c r="O141" s="151" t="s">
        <v>560</v>
      </c>
      <c r="P141" s="150">
        <f>+LOOKUP(O141,'[2]Doc Set'!E:E,'[2]Doc Set'!G:G)</f>
        <v>43278</v>
      </c>
      <c r="Q141" s="144" t="str">
        <f t="shared" si="5"/>
        <v>CC-SS_B</v>
      </c>
      <c r="R141" s="150">
        <f>+LOOKUP(Q141,'[2]Doc Set'!E:E,'[2]Doc Set'!H:H)</f>
        <v>43308</v>
      </c>
      <c r="S141" s="152" t="s">
        <v>200</v>
      </c>
    </row>
    <row r="142" spans="1:19" s="153" customFormat="1" x14ac:dyDescent="0.3">
      <c r="A142" s="144" t="s">
        <v>40</v>
      </c>
      <c r="B142" s="144" t="s">
        <v>190</v>
      </c>
      <c r="C142" s="144" t="s">
        <v>191</v>
      </c>
      <c r="D142" s="145" t="s">
        <v>192</v>
      </c>
      <c r="E142" s="144" t="s">
        <v>193</v>
      </c>
      <c r="F142" s="144" t="s">
        <v>609</v>
      </c>
      <c r="G142" s="144" t="s">
        <v>626</v>
      </c>
      <c r="H142" s="144" t="s">
        <v>627</v>
      </c>
      <c r="I142" s="146" t="s">
        <v>51</v>
      </c>
      <c r="J142" s="147" t="s">
        <v>628</v>
      </c>
      <c r="K142" s="144">
        <v>20038918</v>
      </c>
      <c r="L142" s="144" t="s">
        <v>198</v>
      </c>
      <c r="M142" s="151" t="str">
        <f t="shared" si="6"/>
        <v>CC-SS_B</v>
      </c>
      <c r="N142" s="150" t="str">
        <f>LOOKUP(M142,'[2]Doc Set'!E:E,'[2]Doc Set'!F:F)</f>
        <v>_</v>
      </c>
      <c r="O142" s="151" t="s">
        <v>560</v>
      </c>
      <c r="P142" s="150">
        <f>+LOOKUP(O142,'[2]Doc Set'!E:E,'[2]Doc Set'!G:G)</f>
        <v>43278</v>
      </c>
      <c r="Q142" s="144" t="str">
        <f t="shared" si="5"/>
        <v>CC-SS_B</v>
      </c>
      <c r="R142" s="150">
        <f>+LOOKUP(Q142,'[2]Doc Set'!E:E,'[2]Doc Set'!H:H)</f>
        <v>43308</v>
      </c>
      <c r="S142" s="152" t="s">
        <v>200</v>
      </c>
    </row>
    <row r="143" spans="1:19" s="153" customFormat="1" x14ac:dyDescent="0.3">
      <c r="A143" s="144" t="s">
        <v>40</v>
      </c>
      <c r="B143" s="144" t="s">
        <v>190</v>
      </c>
      <c r="C143" s="144" t="s">
        <v>191</v>
      </c>
      <c r="D143" s="145" t="s">
        <v>192</v>
      </c>
      <c r="E143" s="144" t="s">
        <v>193</v>
      </c>
      <c r="F143" s="144" t="s">
        <v>609</v>
      </c>
      <c r="G143" s="144" t="s">
        <v>629</v>
      </c>
      <c r="H143" s="144" t="s">
        <v>630</v>
      </c>
      <c r="I143" s="146" t="s">
        <v>51</v>
      </c>
      <c r="J143" s="147" t="s">
        <v>631</v>
      </c>
      <c r="K143" s="144">
        <v>20038918</v>
      </c>
      <c r="L143" s="144" t="s">
        <v>198</v>
      </c>
      <c r="M143" s="151" t="str">
        <f t="shared" si="6"/>
        <v>CC-SS_B</v>
      </c>
      <c r="N143" s="150" t="str">
        <f>LOOKUP(M143,'[2]Doc Set'!E:E,'[2]Doc Set'!F:F)</f>
        <v>_</v>
      </c>
      <c r="O143" s="151" t="s">
        <v>560</v>
      </c>
      <c r="P143" s="150">
        <f>+LOOKUP(O143,'[2]Doc Set'!E:E,'[2]Doc Set'!G:G)</f>
        <v>43278</v>
      </c>
      <c r="Q143" s="144" t="str">
        <f t="shared" si="5"/>
        <v>CC-SS_B</v>
      </c>
      <c r="R143" s="150">
        <f>+LOOKUP(Q143,'[2]Doc Set'!E:E,'[2]Doc Set'!H:H)</f>
        <v>43308</v>
      </c>
      <c r="S143" s="152" t="s">
        <v>200</v>
      </c>
    </row>
    <row r="144" spans="1:19" s="153" customFormat="1" x14ac:dyDescent="0.3">
      <c r="A144" s="144" t="s">
        <v>40</v>
      </c>
      <c r="B144" s="144" t="s">
        <v>190</v>
      </c>
      <c r="C144" s="144" t="s">
        <v>191</v>
      </c>
      <c r="D144" s="145" t="s">
        <v>192</v>
      </c>
      <c r="E144" s="144" t="s">
        <v>193</v>
      </c>
      <c r="F144" s="144" t="s">
        <v>609</v>
      </c>
      <c r="G144" s="144" t="s">
        <v>632</v>
      </c>
      <c r="H144" s="144" t="s">
        <v>633</v>
      </c>
      <c r="I144" s="146" t="s">
        <v>51</v>
      </c>
      <c r="J144" s="147" t="s">
        <v>634</v>
      </c>
      <c r="K144" s="144">
        <v>20038918</v>
      </c>
      <c r="L144" s="144" t="s">
        <v>198</v>
      </c>
      <c r="M144" s="151" t="str">
        <f t="shared" si="6"/>
        <v>CC-SS_B</v>
      </c>
      <c r="N144" s="150" t="str">
        <f>LOOKUP(M144,'[2]Doc Set'!E:E,'[2]Doc Set'!F:F)</f>
        <v>_</v>
      </c>
      <c r="O144" s="151" t="s">
        <v>560</v>
      </c>
      <c r="P144" s="150">
        <f>+LOOKUP(O144,'[2]Doc Set'!E:E,'[2]Doc Set'!G:G)</f>
        <v>43278</v>
      </c>
      <c r="Q144" s="144" t="str">
        <f t="shared" si="5"/>
        <v>CC-SS_B</v>
      </c>
      <c r="R144" s="150">
        <f>+LOOKUP(Q144,'[2]Doc Set'!E:E,'[2]Doc Set'!H:H)</f>
        <v>43308</v>
      </c>
      <c r="S144" s="152" t="s">
        <v>200</v>
      </c>
    </row>
    <row r="145" spans="1:19" s="153" customFormat="1" x14ac:dyDescent="0.3">
      <c r="A145" s="144" t="s">
        <v>40</v>
      </c>
      <c r="B145" s="144" t="s">
        <v>190</v>
      </c>
      <c r="C145" s="144" t="s">
        <v>191</v>
      </c>
      <c r="D145" s="145" t="s">
        <v>192</v>
      </c>
      <c r="E145" s="144" t="s">
        <v>193</v>
      </c>
      <c r="F145" s="144" t="s">
        <v>609</v>
      </c>
      <c r="G145" s="144" t="s">
        <v>635</v>
      </c>
      <c r="H145" s="144" t="s">
        <v>636</v>
      </c>
      <c r="I145" s="146" t="s">
        <v>51</v>
      </c>
      <c r="J145" s="147" t="s">
        <v>637</v>
      </c>
      <c r="K145" s="144">
        <v>20038918</v>
      </c>
      <c r="L145" s="144" t="s">
        <v>198</v>
      </c>
      <c r="M145" s="151" t="str">
        <f t="shared" si="6"/>
        <v>CC-SS_B</v>
      </c>
      <c r="N145" s="150" t="str">
        <f>LOOKUP(M145,'[2]Doc Set'!E:E,'[2]Doc Set'!F:F)</f>
        <v>_</v>
      </c>
      <c r="O145" s="151" t="s">
        <v>560</v>
      </c>
      <c r="P145" s="150">
        <f>+LOOKUP(O145,'[2]Doc Set'!E:E,'[2]Doc Set'!G:G)</f>
        <v>43278</v>
      </c>
      <c r="Q145" s="144" t="str">
        <f t="shared" si="5"/>
        <v>CC-SS_B</v>
      </c>
      <c r="R145" s="150">
        <f>+LOOKUP(Q145,'[2]Doc Set'!E:E,'[2]Doc Set'!H:H)</f>
        <v>43308</v>
      </c>
      <c r="S145" s="152" t="s">
        <v>200</v>
      </c>
    </row>
    <row r="146" spans="1:19" s="153" customFormat="1" x14ac:dyDescent="0.3">
      <c r="A146" s="144" t="s">
        <v>40</v>
      </c>
      <c r="B146" s="144" t="s">
        <v>190</v>
      </c>
      <c r="C146" s="144" t="s">
        <v>191</v>
      </c>
      <c r="D146" s="145" t="s">
        <v>192</v>
      </c>
      <c r="E146" s="144" t="s">
        <v>193</v>
      </c>
      <c r="F146" s="144" t="s">
        <v>609</v>
      </c>
      <c r="G146" s="144" t="s">
        <v>638</v>
      </c>
      <c r="H146" s="144" t="s">
        <v>639</v>
      </c>
      <c r="I146" s="146" t="s">
        <v>51</v>
      </c>
      <c r="J146" s="147" t="s">
        <v>640</v>
      </c>
      <c r="K146" s="144">
        <v>20038918</v>
      </c>
      <c r="L146" s="144" t="s">
        <v>198</v>
      </c>
      <c r="M146" s="151" t="str">
        <f t="shared" si="6"/>
        <v>CC-SS_B</v>
      </c>
      <c r="N146" s="150" t="str">
        <f>LOOKUP(M146,'[2]Doc Set'!E:E,'[2]Doc Set'!F:F)</f>
        <v>_</v>
      </c>
      <c r="O146" s="151" t="s">
        <v>560</v>
      </c>
      <c r="P146" s="150">
        <f>+LOOKUP(O146,'[2]Doc Set'!E:E,'[2]Doc Set'!G:G)</f>
        <v>43278</v>
      </c>
      <c r="Q146" s="144" t="str">
        <f t="shared" si="5"/>
        <v>CC-SS_B</v>
      </c>
      <c r="R146" s="150">
        <f>+LOOKUP(Q146,'[2]Doc Set'!E:E,'[2]Doc Set'!H:H)</f>
        <v>43308</v>
      </c>
      <c r="S146" s="152" t="s">
        <v>200</v>
      </c>
    </row>
    <row r="147" spans="1:19" s="153" customFormat="1" x14ac:dyDescent="0.3">
      <c r="A147" s="144" t="s">
        <v>40</v>
      </c>
      <c r="B147" s="144" t="s">
        <v>190</v>
      </c>
      <c r="C147" s="144" t="s">
        <v>191</v>
      </c>
      <c r="D147" s="145" t="s">
        <v>192</v>
      </c>
      <c r="E147" s="144" t="s">
        <v>193</v>
      </c>
      <c r="F147" s="144" t="s">
        <v>609</v>
      </c>
      <c r="G147" s="144" t="s">
        <v>641</v>
      </c>
      <c r="H147" s="144" t="s">
        <v>642</v>
      </c>
      <c r="I147" s="146" t="s">
        <v>51</v>
      </c>
      <c r="J147" s="147" t="s">
        <v>643</v>
      </c>
      <c r="K147" s="144">
        <v>20038918</v>
      </c>
      <c r="L147" s="144" t="s">
        <v>198</v>
      </c>
      <c r="M147" s="151" t="str">
        <f t="shared" si="6"/>
        <v>CC-SS_B</v>
      </c>
      <c r="N147" s="150" t="str">
        <f>LOOKUP(M147,'[2]Doc Set'!E:E,'[2]Doc Set'!F:F)</f>
        <v>_</v>
      </c>
      <c r="O147" s="151" t="s">
        <v>560</v>
      </c>
      <c r="P147" s="150">
        <f>+LOOKUP(O147,'[2]Doc Set'!E:E,'[2]Doc Set'!G:G)</f>
        <v>43278</v>
      </c>
      <c r="Q147" s="144" t="str">
        <f t="shared" si="5"/>
        <v>CC-SS_B</v>
      </c>
      <c r="R147" s="150">
        <f>+LOOKUP(Q147,'[2]Doc Set'!E:E,'[2]Doc Set'!H:H)</f>
        <v>43308</v>
      </c>
      <c r="S147" s="152" t="s">
        <v>200</v>
      </c>
    </row>
    <row r="148" spans="1:19" s="153" customFormat="1" x14ac:dyDescent="0.3">
      <c r="A148" s="144" t="s">
        <v>40</v>
      </c>
      <c r="B148" s="144" t="s">
        <v>190</v>
      </c>
      <c r="C148" s="144" t="s">
        <v>191</v>
      </c>
      <c r="D148" s="145" t="s">
        <v>192</v>
      </c>
      <c r="E148" s="144" t="s">
        <v>193</v>
      </c>
      <c r="F148" s="144" t="s">
        <v>609</v>
      </c>
      <c r="G148" s="144" t="s">
        <v>644</v>
      </c>
      <c r="H148" s="144" t="s">
        <v>645</v>
      </c>
      <c r="I148" s="146" t="s">
        <v>51</v>
      </c>
      <c r="J148" s="147" t="s">
        <v>646</v>
      </c>
      <c r="K148" s="144">
        <v>20038918</v>
      </c>
      <c r="L148" s="144" t="s">
        <v>198</v>
      </c>
      <c r="M148" s="151" t="str">
        <f t="shared" si="6"/>
        <v>CC-SS_C</v>
      </c>
      <c r="N148" s="150" t="str">
        <f>LOOKUP(M148,'[2]Doc Set'!E:E,'[2]Doc Set'!F:F)</f>
        <v>_</v>
      </c>
      <c r="O148" s="151" t="s">
        <v>647</v>
      </c>
      <c r="P148" s="150">
        <f>+LOOKUP(O148,'[2]Doc Set'!E:E,'[2]Doc Set'!G:G)</f>
        <v>43343</v>
      </c>
      <c r="Q148" s="144" t="str">
        <f t="shared" si="5"/>
        <v>CC-SS_C</v>
      </c>
      <c r="R148" s="150">
        <f>+LOOKUP(Q148,'[2]Doc Set'!E:E,'[2]Doc Set'!H:H)</f>
        <v>43371</v>
      </c>
      <c r="S148" s="152" t="s">
        <v>200</v>
      </c>
    </row>
    <row r="149" spans="1:19" s="153" customFormat="1" x14ac:dyDescent="0.3">
      <c r="A149" s="144" t="s">
        <v>40</v>
      </c>
      <c r="B149" s="144" t="s">
        <v>190</v>
      </c>
      <c r="C149" s="144" t="s">
        <v>191</v>
      </c>
      <c r="D149" s="145" t="s">
        <v>192</v>
      </c>
      <c r="E149" s="144" t="s">
        <v>193</v>
      </c>
      <c r="F149" s="144" t="s">
        <v>609</v>
      </c>
      <c r="G149" s="144" t="s">
        <v>648</v>
      </c>
      <c r="H149" s="144" t="s">
        <v>649</v>
      </c>
      <c r="I149" s="146" t="s">
        <v>51</v>
      </c>
      <c r="J149" s="147" t="s">
        <v>650</v>
      </c>
      <c r="K149" s="144">
        <v>20038918</v>
      </c>
      <c r="L149" s="144" t="s">
        <v>198</v>
      </c>
      <c r="M149" s="151" t="str">
        <f t="shared" si="6"/>
        <v>CC-SS_C</v>
      </c>
      <c r="N149" s="150" t="str">
        <f>LOOKUP(M149,'[2]Doc Set'!E:E,'[2]Doc Set'!F:F)</f>
        <v>_</v>
      </c>
      <c r="O149" s="151" t="s">
        <v>647</v>
      </c>
      <c r="P149" s="150">
        <f>+LOOKUP(O149,'[2]Doc Set'!E:E,'[2]Doc Set'!G:G)</f>
        <v>43343</v>
      </c>
      <c r="Q149" s="144" t="str">
        <f t="shared" si="5"/>
        <v>CC-SS_C</v>
      </c>
      <c r="R149" s="150">
        <f>+LOOKUP(Q149,'[2]Doc Set'!E:E,'[2]Doc Set'!H:H)</f>
        <v>43371</v>
      </c>
      <c r="S149" s="152" t="s">
        <v>200</v>
      </c>
    </row>
    <row r="150" spans="1:19" s="153" customFormat="1" x14ac:dyDescent="0.3">
      <c r="A150" s="144" t="s">
        <v>40</v>
      </c>
      <c r="B150" s="144" t="s">
        <v>190</v>
      </c>
      <c r="C150" s="144" t="s">
        <v>191</v>
      </c>
      <c r="D150" s="145" t="s">
        <v>192</v>
      </c>
      <c r="E150" s="144" t="s">
        <v>193</v>
      </c>
      <c r="F150" s="144" t="s">
        <v>609</v>
      </c>
      <c r="G150" s="144" t="s">
        <v>651</v>
      </c>
      <c r="H150" s="144" t="s">
        <v>652</v>
      </c>
      <c r="I150" s="146" t="s">
        <v>51</v>
      </c>
      <c r="J150" s="147" t="s">
        <v>653</v>
      </c>
      <c r="K150" s="144">
        <v>20038918</v>
      </c>
      <c r="L150" s="144" t="s">
        <v>198</v>
      </c>
      <c r="M150" s="151" t="str">
        <f t="shared" si="6"/>
        <v>CC-SS_C</v>
      </c>
      <c r="N150" s="150" t="str">
        <f>LOOKUP(M150,'[2]Doc Set'!E:E,'[2]Doc Set'!F:F)</f>
        <v>_</v>
      </c>
      <c r="O150" s="151" t="s">
        <v>647</v>
      </c>
      <c r="P150" s="150">
        <f>+LOOKUP(O150,'[2]Doc Set'!E:E,'[2]Doc Set'!G:G)</f>
        <v>43343</v>
      </c>
      <c r="Q150" s="144" t="str">
        <f t="shared" si="5"/>
        <v>CC-SS_C</v>
      </c>
      <c r="R150" s="150">
        <f>+LOOKUP(Q150,'[2]Doc Set'!E:E,'[2]Doc Set'!H:H)</f>
        <v>43371</v>
      </c>
      <c r="S150" s="152" t="s">
        <v>200</v>
      </c>
    </row>
    <row r="151" spans="1:19" s="153" customFormat="1" x14ac:dyDescent="0.3">
      <c r="A151" s="144" t="s">
        <v>40</v>
      </c>
      <c r="B151" s="144" t="s">
        <v>190</v>
      </c>
      <c r="C151" s="144" t="s">
        <v>191</v>
      </c>
      <c r="D151" s="145" t="s">
        <v>192</v>
      </c>
      <c r="E151" s="144" t="s">
        <v>193</v>
      </c>
      <c r="F151" s="144" t="s">
        <v>609</v>
      </c>
      <c r="G151" s="144" t="s">
        <v>654</v>
      </c>
      <c r="H151" s="144" t="s">
        <v>655</v>
      </c>
      <c r="I151" s="146" t="s">
        <v>51</v>
      </c>
      <c r="J151" s="147" t="s">
        <v>656</v>
      </c>
      <c r="K151" s="144">
        <v>20038918</v>
      </c>
      <c r="L151" s="144" t="s">
        <v>198</v>
      </c>
      <c r="M151" s="151" t="str">
        <f t="shared" si="6"/>
        <v>CC-SS_C</v>
      </c>
      <c r="N151" s="150" t="str">
        <f>LOOKUP(M151,'[2]Doc Set'!E:E,'[2]Doc Set'!F:F)</f>
        <v>_</v>
      </c>
      <c r="O151" s="151" t="s">
        <v>647</v>
      </c>
      <c r="P151" s="150">
        <f>+LOOKUP(O151,'[2]Doc Set'!E:E,'[2]Doc Set'!G:G)</f>
        <v>43343</v>
      </c>
      <c r="Q151" s="144" t="str">
        <f t="shared" si="5"/>
        <v>CC-SS_C</v>
      </c>
      <c r="R151" s="150">
        <f>+LOOKUP(Q151,'[2]Doc Set'!E:E,'[2]Doc Set'!H:H)</f>
        <v>43371</v>
      </c>
      <c r="S151" s="152" t="s">
        <v>200</v>
      </c>
    </row>
    <row r="152" spans="1:19" s="153" customFormat="1" x14ac:dyDescent="0.3">
      <c r="A152" s="144" t="s">
        <v>40</v>
      </c>
      <c r="B152" s="144" t="s">
        <v>190</v>
      </c>
      <c r="C152" s="144" t="s">
        <v>191</v>
      </c>
      <c r="D152" s="145" t="s">
        <v>192</v>
      </c>
      <c r="E152" s="144" t="s">
        <v>193</v>
      </c>
      <c r="F152" s="144" t="s">
        <v>609</v>
      </c>
      <c r="G152" s="144" t="s">
        <v>657</v>
      </c>
      <c r="H152" s="144" t="s">
        <v>658</v>
      </c>
      <c r="I152" s="146" t="s">
        <v>51</v>
      </c>
      <c r="J152" s="147" t="s">
        <v>659</v>
      </c>
      <c r="K152" s="144">
        <v>20038918</v>
      </c>
      <c r="L152" s="144" t="s">
        <v>198</v>
      </c>
      <c r="M152" s="151" t="str">
        <f t="shared" si="6"/>
        <v>CC-SS_C</v>
      </c>
      <c r="N152" s="150" t="str">
        <f>LOOKUP(M152,'[2]Doc Set'!E:E,'[2]Doc Set'!F:F)</f>
        <v>_</v>
      </c>
      <c r="O152" s="151" t="s">
        <v>647</v>
      </c>
      <c r="P152" s="150">
        <f>+LOOKUP(O152,'[2]Doc Set'!E:E,'[2]Doc Set'!G:G)</f>
        <v>43343</v>
      </c>
      <c r="Q152" s="144" t="str">
        <f t="shared" si="5"/>
        <v>CC-SS_C</v>
      </c>
      <c r="R152" s="150">
        <f>+LOOKUP(Q152,'[2]Doc Set'!E:E,'[2]Doc Set'!H:H)</f>
        <v>43371</v>
      </c>
      <c r="S152" s="152" t="s">
        <v>200</v>
      </c>
    </row>
    <row r="153" spans="1:19" s="153" customFormat="1" x14ac:dyDescent="0.3">
      <c r="A153" s="144" t="s">
        <v>40</v>
      </c>
      <c r="B153" s="144" t="s">
        <v>190</v>
      </c>
      <c r="C153" s="144" t="s">
        <v>191</v>
      </c>
      <c r="D153" s="145" t="s">
        <v>192</v>
      </c>
      <c r="E153" s="144" t="s">
        <v>193</v>
      </c>
      <c r="F153" s="144" t="s">
        <v>609</v>
      </c>
      <c r="G153" s="144" t="s">
        <v>660</v>
      </c>
      <c r="H153" s="144" t="s">
        <v>661</v>
      </c>
      <c r="I153" s="146" t="s">
        <v>51</v>
      </c>
      <c r="J153" s="147" t="s">
        <v>662</v>
      </c>
      <c r="K153" s="144">
        <v>20038918</v>
      </c>
      <c r="L153" s="144" t="s">
        <v>198</v>
      </c>
      <c r="M153" s="151" t="str">
        <f t="shared" si="6"/>
        <v>CC-SS_C</v>
      </c>
      <c r="N153" s="150" t="str">
        <f>LOOKUP(M153,'[2]Doc Set'!E:E,'[2]Doc Set'!F:F)</f>
        <v>_</v>
      </c>
      <c r="O153" s="151" t="s">
        <v>647</v>
      </c>
      <c r="P153" s="150">
        <f>+LOOKUP(O153,'[2]Doc Set'!E:E,'[2]Doc Set'!G:G)</f>
        <v>43343</v>
      </c>
      <c r="Q153" s="144" t="str">
        <f t="shared" si="5"/>
        <v>CC-SS_C</v>
      </c>
      <c r="R153" s="150">
        <f>+LOOKUP(Q153,'[2]Doc Set'!E:E,'[2]Doc Set'!H:H)</f>
        <v>43371</v>
      </c>
      <c r="S153" s="152" t="s">
        <v>200</v>
      </c>
    </row>
    <row r="154" spans="1:19" x14ac:dyDescent="0.3">
      <c r="A154" s="55" t="s">
        <v>40</v>
      </c>
      <c r="B154" s="55" t="s">
        <v>190</v>
      </c>
      <c r="C154" s="55" t="s">
        <v>191</v>
      </c>
      <c r="D154" s="138" t="s">
        <v>192</v>
      </c>
      <c r="E154" s="55" t="s">
        <v>193</v>
      </c>
      <c r="F154" s="55" t="s">
        <v>663</v>
      </c>
      <c r="G154" s="55" t="s">
        <v>664</v>
      </c>
      <c r="H154" s="55" t="s">
        <v>665</v>
      </c>
      <c r="I154" s="154" t="s">
        <v>134</v>
      </c>
      <c r="J154" s="140" t="s">
        <v>666</v>
      </c>
      <c r="K154" s="55">
        <v>20038918</v>
      </c>
      <c r="L154" s="55" t="s">
        <v>198</v>
      </c>
      <c r="M154" s="141" t="str">
        <f t="shared" si="6"/>
        <v>CC-INT_D</v>
      </c>
      <c r="N154" s="142" t="str">
        <f>LOOKUP(M154,'[2]Doc Set'!E:E,'[2]Doc Set'!F:F)</f>
        <v>_</v>
      </c>
      <c r="O154" s="141" t="s">
        <v>199</v>
      </c>
      <c r="P154" s="142">
        <f>+LOOKUP(O154,'[2]Doc Set'!E:E,'[2]Doc Set'!G:G)</f>
        <v>43437</v>
      </c>
      <c r="Q154" s="55" t="str">
        <f t="shared" si="5"/>
        <v>CC-INT_D</v>
      </c>
      <c r="R154" s="142">
        <f>+LOOKUP(Q154,'[2]Doc Set'!E:E,'[2]Doc Set'!H:H)</f>
        <v>43514</v>
      </c>
      <c r="S154" s="143" t="s">
        <v>200</v>
      </c>
    </row>
    <row r="155" spans="1:19" x14ac:dyDescent="0.3">
      <c r="A155" s="55" t="s">
        <v>40</v>
      </c>
      <c r="B155" s="55" t="s">
        <v>190</v>
      </c>
      <c r="C155" s="55" t="s">
        <v>191</v>
      </c>
      <c r="D155" s="138" t="s">
        <v>192</v>
      </c>
      <c r="E155" s="55" t="s">
        <v>193</v>
      </c>
      <c r="F155" s="55" t="s">
        <v>663</v>
      </c>
      <c r="G155" s="55" t="s">
        <v>667</v>
      </c>
      <c r="H155" s="55" t="s">
        <v>668</v>
      </c>
      <c r="I155" s="154" t="s">
        <v>134</v>
      </c>
      <c r="J155" s="140" t="s">
        <v>669</v>
      </c>
      <c r="K155" s="55">
        <v>20038918</v>
      </c>
      <c r="L155" s="55" t="s">
        <v>198</v>
      </c>
      <c r="M155" s="141" t="str">
        <f t="shared" si="6"/>
        <v>CC-INT_D</v>
      </c>
      <c r="N155" s="142" t="str">
        <f>LOOKUP(M155,'[2]Doc Set'!E:E,'[2]Doc Set'!F:F)</f>
        <v>_</v>
      </c>
      <c r="O155" s="141" t="s">
        <v>199</v>
      </c>
      <c r="P155" s="142">
        <f>+LOOKUP(O155,'[2]Doc Set'!E:E,'[2]Doc Set'!G:G)</f>
        <v>43437</v>
      </c>
      <c r="Q155" s="55" t="str">
        <f t="shared" si="5"/>
        <v>CC-INT_D</v>
      </c>
      <c r="R155" s="142">
        <f>+LOOKUP(Q155,'[2]Doc Set'!E:E,'[2]Doc Set'!H:H)</f>
        <v>43514</v>
      </c>
      <c r="S155" s="143" t="s">
        <v>200</v>
      </c>
    </row>
    <row r="156" spans="1:19" x14ac:dyDescent="0.3">
      <c r="A156" s="55" t="s">
        <v>40</v>
      </c>
      <c r="B156" s="55" t="s">
        <v>190</v>
      </c>
      <c r="C156" s="55" t="s">
        <v>191</v>
      </c>
      <c r="D156" s="138" t="s">
        <v>192</v>
      </c>
      <c r="E156" s="55" t="s">
        <v>193</v>
      </c>
      <c r="F156" s="55" t="s">
        <v>663</v>
      </c>
      <c r="G156" s="55" t="s">
        <v>670</v>
      </c>
      <c r="H156" s="55" t="s">
        <v>671</v>
      </c>
      <c r="I156" s="154" t="s">
        <v>134</v>
      </c>
      <c r="J156" s="140" t="s">
        <v>672</v>
      </c>
      <c r="K156" s="55">
        <v>20038918</v>
      </c>
      <c r="L156" s="55" t="s">
        <v>198</v>
      </c>
      <c r="M156" s="141" t="str">
        <f t="shared" si="6"/>
        <v>CC-INT_D</v>
      </c>
      <c r="N156" s="142" t="str">
        <f>LOOKUP(M156,'[2]Doc Set'!E:E,'[2]Doc Set'!F:F)</f>
        <v>_</v>
      </c>
      <c r="O156" s="141" t="s">
        <v>199</v>
      </c>
      <c r="P156" s="142">
        <f>+LOOKUP(O156,'[2]Doc Set'!E:E,'[2]Doc Set'!G:G)</f>
        <v>43437</v>
      </c>
      <c r="Q156" s="55" t="str">
        <f t="shared" si="5"/>
        <v>CC-INT_D</v>
      </c>
      <c r="R156" s="142">
        <f>+LOOKUP(Q156,'[2]Doc Set'!E:E,'[2]Doc Set'!H:H)</f>
        <v>43514</v>
      </c>
      <c r="S156" s="143" t="s">
        <v>200</v>
      </c>
    </row>
    <row r="157" spans="1:19" x14ac:dyDescent="0.3">
      <c r="A157" s="55" t="s">
        <v>40</v>
      </c>
      <c r="B157" s="55" t="s">
        <v>190</v>
      </c>
      <c r="C157" s="55" t="s">
        <v>191</v>
      </c>
      <c r="D157" s="138" t="s">
        <v>192</v>
      </c>
      <c r="E157" s="55" t="s">
        <v>193</v>
      </c>
      <c r="F157" s="55" t="s">
        <v>663</v>
      </c>
      <c r="G157" s="55" t="s">
        <v>673</v>
      </c>
      <c r="H157" s="55" t="s">
        <v>674</v>
      </c>
      <c r="I157" s="154" t="s">
        <v>134</v>
      </c>
      <c r="J157" s="140" t="s">
        <v>675</v>
      </c>
      <c r="K157" s="55">
        <v>20038918</v>
      </c>
      <c r="L157" s="55" t="s">
        <v>198</v>
      </c>
      <c r="M157" s="141" t="str">
        <f t="shared" si="6"/>
        <v>CC-INT_D</v>
      </c>
      <c r="N157" s="142" t="str">
        <f>LOOKUP(M157,'[2]Doc Set'!E:E,'[2]Doc Set'!F:F)</f>
        <v>_</v>
      </c>
      <c r="O157" s="141" t="s">
        <v>199</v>
      </c>
      <c r="P157" s="142">
        <f>+LOOKUP(O157,'[2]Doc Set'!E:E,'[2]Doc Set'!G:G)</f>
        <v>43437</v>
      </c>
      <c r="Q157" s="55" t="str">
        <f t="shared" si="5"/>
        <v>CC-INT_D</v>
      </c>
      <c r="R157" s="142">
        <f>+LOOKUP(Q157,'[2]Doc Set'!E:E,'[2]Doc Set'!H:H)</f>
        <v>43514</v>
      </c>
      <c r="S157" s="143" t="s">
        <v>200</v>
      </c>
    </row>
    <row r="158" spans="1:19" x14ac:dyDescent="0.3">
      <c r="A158" s="55" t="s">
        <v>40</v>
      </c>
      <c r="B158" s="55" t="s">
        <v>190</v>
      </c>
      <c r="C158" s="55" t="s">
        <v>191</v>
      </c>
      <c r="D158" s="138" t="s">
        <v>192</v>
      </c>
      <c r="E158" s="55" t="s">
        <v>193</v>
      </c>
      <c r="F158" s="55" t="s">
        <v>663</v>
      </c>
      <c r="G158" s="55" t="s">
        <v>676</v>
      </c>
      <c r="H158" s="55" t="s">
        <v>677</v>
      </c>
      <c r="I158" s="154" t="s">
        <v>134</v>
      </c>
      <c r="J158" s="140" t="s">
        <v>678</v>
      </c>
      <c r="K158" s="55">
        <v>20038918</v>
      </c>
      <c r="L158" s="55" t="s">
        <v>198</v>
      </c>
      <c r="M158" s="141" t="str">
        <f t="shared" si="6"/>
        <v>CC-INT_D</v>
      </c>
      <c r="N158" s="142" t="str">
        <f>LOOKUP(M158,'[2]Doc Set'!E:E,'[2]Doc Set'!F:F)</f>
        <v>_</v>
      </c>
      <c r="O158" s="141" t="s">
        <v>199</v>
      </c>
      <c r="P158" s="142">
        <f>+LOOKUP(O158,'[2]Doc Set'!E:E,'[2]Doc Set'!G:G)</f>
        <v>43437</v>
      </c>
      <c r="Q158" s="55" t="str">
        <f t="shared" si="5"/>
        <v>CC-INT_D</v>
      </c>
      <c r="R158" s="142">
        <f>+LOOKUP(Q158,'[2]Doc Set'!E:E,'[2]Doc Set'!H:H)</f>
        <v>43514</v>
      </c>
      <c r="S158" s="143" t="s">
        <v>200</v>
      </c>
    </row>
    <row r="159" spans="1:19" x14ac:dyDescent="0.3">
      <c r="A159" s="55" t="s">
        <v>40</v>
      </c>
      <c r="B159" s="55" t="s">
        <v>190</v>
      </c>
      <c r="C159" s="55" t="s">
        <v>191</v>
      </c>
      <c r="D159" s="138" t="s">
        <v>192</v>
      </c>
      <c r="E159" s="55" t="s">
        <v>193</v>
      </c>
      <c r="F159" s="55" t="s">
        <v>663</v>
      </c>
      <c r="G159" s="55" t="s">
        <v>679</v>
      </c>
      <c r="H159" s="55" t="s">
        <v>680</v>
      </c>
      <c r="I159" s="154" t="s">
        <v>134</v>
      </c>
      <c r="J159" s="140" t="s">
        <v>681</v>
      </c>
      <c r="K159" s="55">
        <v>20038918</v>
      </c>
      <c r="L159" s="55" t="s">
        <v>198</v>
      </c>
      <c r="M159" s="141" t="str">
        <f t="shared" si="6"/>
        <v>CC-INT_E</v>
      </c>
      <c r="N159" s="142" t="str">
        <f>LOOKUP(M159,'[2]Doc Set'!E:E,'[2]Doc Set'!F:F)</f>
        <v>_</v>
      </c>
      <c r="O159" s="141" t="s">
        <v>306</v>
      </c>
      <c r="P159" s="142">
        <f>+LOOKUP(O159,'[2]Doc Set'!E:E,'[2]Doc Set'!G:G)</f>
        <v>43489</v>
      </c>
      <c r="Q159" s="55" t="str">
        <f t="shared" si="5"/>
        <v>CC-INT_E</v>
      </c>
      <c r="R159" s="142">
        <f>+LOOKUP(Q159,'[2]Doc Set'!E:E,'[2]Doc Set'!H:H)</f>
        <v>43542</v>
      </c>
      <c r="S159" s="143" t="s">
        <v>200</v>
      </c>
    </row>
    <row r="160" spans="1:19" x14ac:dyDescent="0.3">
      <c r="A160" s="55" t="s">
        <v>40</v>
      </c>
      <c r="B160" s="55" t="s">
        <v>190</v>
      </c>
      <c r="C160" s="55" t="s">
        <v>191</v>
      </c>
      <c r="D160" s="138" t="s">
        <v>192</v>
      </c>
      <c r="E160" s="55" t="s">
        <v>193</v>
      </c>
      <c r="F160" s="55" t="s">
        <v>663</v>
      </c>
      <c r="G160" s="55" t="s">
        <v>682</v>
      </c>
      <c r="H160" s="55" t="s">
        <v>683</v>
      </c>
      <c r="I160" s="154" t="s">
        <v>134</v>
      </c>
      <c r="J160" s="140" t="s">
        <v>684</v>
      </c>
      <c r="K160" s="55">
        <v>20038918</v>
      </c>
      <c r="L160" s="55" t="s">
        <v>198</v>
      </c>
      <c r="M160" s="141" t="str">
        <f t="shared" si="6"/>
        <v>CC-INT_E</v>
      </c>
      <c r="N160" s="142" t="str">
        <f>LOOKUP(M160,'[2]Doc Set'!E:E,'[2]Doc Set'!F:F)</f>
        <v>_</v>
      </c>
      <c r="O160" s="141" t="s">
        <v>306</v>
      </c>
      <c r="P160" s="142">
        <f>+LOOKUP(O160,'[2]Doc Set'!E:E,'[2]Doc Set'!G:G)</f>
        <v>43489</v>
      </c>
      <c r="Q160" s="55" t="str">
        <f t="shared" si="5"/>
        <v>CC-INT_E</v>
      </c>
      <c r="R160" s="142">
        <f>+LOOKUP(Q160,'[2]Doc Set'!E:E,'[2]Doc Set'!H:H)</f>
        <v>43542</v>
      </c>
      <c r="S160" s="143" t="s">
        <v>200</v>
      </c>
    </row>
    <row r="161" spans="1:19" x14ac:dyDescent="0.3">
      <c r="A161" s="55" t="s">
        <v>40</v>
      </c>
      <c r="B161" s="55" t="s">
        <v>190</v>
      </c>
      <c r="C161" s="55" t="s">
        <v>191</v>
      </c>
      <c r="D161" s="138" t="s">
        <v>192</v>
      </c>
      <c r="E161" s="55" t="s">
        <v>193</v>
      </c>
      <c r="F161" s="55" t="s">
        <v>663</v>
      </c>
      <c r="G161" s="55" t="s">
        <v>685</v>
      </c>
      <c r="H161" s="55" t="s">
        <v>686</v>
      </c>
      <c r="I161" s="154" t="s">
        <v>134</v>
      </c>
      <c r="J161" s="140" t="s">
        <v>687</v>
      </c>
      <c r="K161" s="55">
        <v>20038918</v>
      </c>
      <c r="L161" s="55" t="s">
        <v>198</v>
      </c>
      <c r="M161" s="141" t="str">
        <f t="shared" si="6"/>
        <v>CC-INT_E</v>
      </c>
      <c r="N161" s="142" t="str">
        <f>LOOKUP(M161,'[2]Doc Set'!E:E,'[2]Doc Set'!F:F)</f>
        <v>_</v>
      </c>
      <c r="O161" s="141" t="s">
        <v>306</v>
      </c>
      <c r="P161" s="142">
        <f>+LOOKUP(O161,'[2]Doc Set'!E:E,'[2]Doc Set'!G:G)</f>
        <v>43489</v>
      </c>
      <c r="Q161" s="55" t="str">
        <f t="shared" si="5"/>
        <v>CC-INT_E</v>
      </c>
      <c r="R161" s="142">
        <f>+LOOKUP(Q161,'[2]Doc Set'!E:E,'[2]Doc Set'!H:H)</f>
        <v>43542</v>
      </c>
      <c r="S161" s="143" t="s">
        <v>200</v>
      </c>
    </row>
    <row r="162" spans="1:19" x14ac:dyDescent="0.3">
      <c r="A162" s="55" t="s">
        <v>40</v>
      </c>
      <c r="B162" s="55" t="s">
        <v>190</v>
      </c>
      <c r="C162" s="55" t="s">
        <v>191</v>
      </c>
      <c r="D162" s="138" t="s">
        <v>192</v>
      </c>
      <c r="E162" s="55" t="s">
        <v>193</v>
      </c>
      <c r="F162" s="55" t="s">
        <v>663</v>
      </c>
      <c r="G162" s="55" t="s">
        <v>688</v>
      </c>
      <c r="H162" s="55" t="s">
        <v>689</v>
      </c>
      <c r="I162" s="154" t="s">
        <v>134</v>
      </c>
      <c r="J162" s="140" t="s">
        <v>690</v>
      </c>
      <c r="K162" s="55">
        <v>20038918</v>
      </c>
      <c r="L162" s="55" t="s">
        <v>198</v>
      </c>
      <c r="M162" s="141" t="str">
        <f t="shared" si="6"/>
        <v>CC-INT_E</v>
      </c>
      <c r="N162" s="142" t="str">
        <f>LOOKUP(M162,'[2]Doc Set'!E:E,'[2]Doc Set'!F:F)</f>
        <v>_</v>
      </c>
      <c r="O162" s="141" t="s">
        <v>306</v>
      </c>
      <c r="P162" s="142">
        <f>+LOOKUP(O162,'[2]Doc Set'!E:E,'[2]Doc Set'!G:G)</f>
        <v>43489</v>
      </c>
      <c r="Q162" s="55" t="str">
        <f t="shared" si="5"/>
        <v>CC-INT_E</v>
      </c>
      <c r="R162" s="142">
        <f>+LOOKUP(Q162,'[2]Doc Set'!E:E,'[2]Doc Set'!H:H)</f>
        <v>43542</v>
      </c>
      <c r="S162" s="143" t="s">
        <v>200</v>
      </c>
    </row>
    <row r="163" spans="1:19" x14ac:dyDescent="0.3">
      <c r="A163" s="55" t="s">
        <v>40</v>
      </c>
      <c r="B163" s="55" t="s">
        <v>190</v>
      </c>
      <c r="C163" s="55" t="s">
        <v>191</v>
      </c>
      <c r="D163" s="138" t="s">
        <v>192</v>
      </c>
      <c r="E163" s="55" t="s">
        <v>193</v>
      </c>
      <c r="F163" s="55" t="s">
        <v>663</v>
      </c>
      <c r="G163" s="55" t="s">
        <v>691</v>
      </c>
      <c r="H163" s="55" t="s">
        <v>692</v>
      </c>
      <c r="I163" s="154" t="s">
        <v>134</v>
      </c>
      <c r="J163" s="140" t="s">
        <v>693</v>
      </c>
      <c r="K163" s="55">
        <v>20038918</v>
      </c>
      <c r="L163" s="55" t="s">
        <v>198</v>
      </c>
      <c r="M163" s="141" t="str">
        <f t="shared" si="6"/>
        <v>CC-INT_E</v>
      </c>
      <c r="N163" s="142" t="str">
        <f>LOOKUP(M163,'[2]Doc Set'!E:E,'[2]Doc Set'!F:F)</f>
        <v>_</v>
      </c>
      <c r="O163" s="141" t="s">
        <v>306</v>
      </c>
      <c r="P163" s="142">
        <f>+LOOKUP(O163,'[2]Doc Set'!E:E,'[2]Doc Set'!G:G)</f>
        <v>43489</v>
      </c>
      <c r="Q163" s="55" t="str">
        <f t="shared" si="5"/>
        <v>CC-INT_E</v>
      </c>
      <c r="R163" s="142">
        <f>+LOOKUP(Q163,'[2]Doc Set'!E:E,'[2]Doc Set'!H:H)</f>
        <v>43542</v>
      </c>
      <c r="S163" s="143" t="s">
        <v>200</v>
      </c>
    </row>
    <row r="164" spans="1:19" x14ac:dyDescent="0.3">
      <c r="A164" s="55" t="s">
        <v>40</v>
      </c>
      <c r="B164" s="55" t="s">
        <v>190</v>
      </c>
      <c r="C164" s="55" t="s">
        <v>191</v>
      </c>
      <c r="D164" s="138" t="s">
        <v>192</v>
      </c>
      <c r="E164" s="55" t="s">
        <v>193</v>
      </c>
      <c r="F164" s="55" t="s">
        <v>663</v>
      </c>
      <c r="G164" s="55" t="s">
        <v>694</v>
      </c>
      <c r="H164" s="55" t="s">
        <v>695</v>
      </c>
      <c r="I164" s="154" t="s">
        <v>134</v>
      </c>
      <c r="J164" s="140" t="s">
        <v>696</v>
      </c>
      <c r="K164" s="55">
        <v>20038918</v>
      </c>
      <c r="L164" s="55" t="s">
        <v>198</v>
      </c>
      <c r="M164" s="141" t="str">
        <f t="shared" si="6"/>
        <v>CC-INT_E</v>
      </c>
      <c r="N164" s="142" t="str">
        <f>LOOKUP(M164,'[2]Doc Set'!E:E,'[2]Doc Set'!F:F)</f>
        <v>_</v>
      </c>
      <c r="O164" s="141" t="s">
        <v>306</v>
      </c>
      <c r="P164" s="142">
        <f>+LOOKUP(O164,'[2]Doc Set'!E:E,'[2]Doc Set'!G:G)</f>
        <v>43489</v>
      </c>
      <c r="Q164" s="55" t="str">
        <f t="shared" si="5"/>
        <v>CC-INT_E</v>
      </c>
      <c r="R164" s="142">
        <f>+LOOKUP(Q164,'[2]Doc Set'!E:E,'[2]Doc Set'!H:H)</f>
        <v>43542</v>
      </c>
      <c r="S164" s="143" t="s">
        <v>200</v>
      </c>
    </row>
    <row r="165" spans="1:19" x14ac:dyDescent="0.3">
      <c r="A165" s="55" t="s">
        <v>40</v>
      </c>
      <c r="B165" s="55" t="s">
        <v>190</v>
      </c>
      <c r="C165" s="55" t="s">
        <v>191</v>
      </c>
      <c r="D165" s="138" t="s">
        <v>192</v>
      </c>
      <c r="E165" s="55" t="s">
        <v>193</v>
      </c>
      <c r="F165" s="55" t="s">
        <v>663</v>
      </c>
      <c r="G165" s="55" t="s">
        <v>697</v>
      </c>
      <c r="H165" s="55" t="s">
        <v>698</v>
      </c>
      <c r="I165" s="154" t="s">
        <v>134</v>
      </c>
      <c r="J165" s="140" t="s">
        <v>699</v>
      </c>
      <c r="K165" s="55">
        <v>20038918</v>
      </c>
      <c r="L165" s="55" t="s">
        <v>198</v>
      </c>
      <c r="M165" s="141" t="str">
        <f t="shared" si="6"/>
        <v>CC-INT_E</v>
      </c>
      <c r="N165" s="142" t="str">
        <f>LOOKUP(M165,'[2]Doc Set'!E:E,'[2]Doc Set'!F:F)</f>
        <v>_</v>
      </c>
      <c r="O165" s="141" t="s">
        <v>306</v>
      </c>
      <c r="P165" s="142">
        <f>+LOOKUP(O165,'[2]Doc Set'!E:E,'[2]Doc Set'!G:G)</f>
        <v>43489</v>
      </c>
      <c r="Q165" s="55" t="str">
        <f t="shared" si="5"/>
        <v>CC-INT_E</v>
      </c>
      <c r="R165" s="142">
        <f>+LOOKUP(Q165,'[2]Doc Set'!E:E,'[2]Doc Set'!H:H)</f>
        <v>43542</v>
      </c>
      <c r="S165" s="143" t="s">
        <v>200</v>
      </c>
    </row>
    <row r="166" spans="1:19" x14ac:dyDescent="0.3">
      <c r="A166" s="55" t="s">
        <v>40</v>
      </c>
      <c r="B166" s="55" t="s">
        <v>190</v>
      </c>
      <c r="C166" s="55" t="s">
        <v>191</v>
      </c>
      <c r="D166" s="138" t="s">
        <v>192</v>
      </c>
      <c r="E166" s="55" t="s">
        <v>193</v>
      </c>
      <c r="F166" s="55" t="s">
        <v>521</v>
      </c>
      <c r="G166" s="55" t="s">
        <v>700</v>
      </c>
      <c r="H166" s="55" t="s">
        <v>701</v>
      </c>
      <c r="I166" s="154" t="s">
        <v>134</v>
      </c>
      <c r="J166" s="140" t="s">
        <v>702</v>
      </c>
      <c r="K166" s="55">
        <v>20038918</v>
      </c>
      <c r="L166" s="55" t="s">
        <v>198</v>
      </c>
      <c r="M166" s="141" t="str">
        <f t="shared" si="6"/>
        <v>CC-INT_E</v>
      </c>
      <c r="N166" s="142" t="str">
        <f>LOOKUP(M166,'[2]Doc Set'!E:E,'[2]Doc Set'!F:F)</f>
        <v>_</v>
      </c>
      <c r="O166" s="141" t="s">
        <v>306</v>
      </c>
      <c r="P166" s="142">
        <f>+LOOKUP(O166,'[2]Doc Set'!E:E,'[2]Doc Set'!G:G)</f>
        <v>43489</v>
      </c>
      <c r="Q166" s="55" t="str">
        <f t="shared" si="5"/>
        <v>CC-INT_E</v>
      </c>
      <c r="R166" s="142">
        <f>+LOOKUP(Q166,'[2]Doc Set'!E:E,'[2]Doc Set'!H:H)</f>
        <v>43542</v>
      </c>
      <c r="S166" s="143" t="s">
        <v>200</v>
      </c>
    </row>
    <row r="167" spans="1:19" x14ac:dyDescent="0.3">
      <c r="A167" s="55" t="s">
        <v>40</v>
      </c>
      <c r="B167" s="55" t="s">
        <v>190</v>
      </c>
      <c r="C167" s="55" t="s">
        <v>191</v>
      </c>
      <c r="D167" s="138" t="s">
        <v>192</v>
      </c>
      <c r="E167" s="55" t="s">
        <v>193</v>
      </c>
      <c r="F167" s="55" t="s">
        <v>521</v>
      </c>
      <c r="G167" s="55" t="s">
        <v>703</v>
      </c>
      <c r="H167" s="55" t="s">
        <v>704</v>
      </c>
      <c r="I167" s="154" t="s">
        <v>134</v>
      </c>
      <c r="J167" s="140" t="s">
        <v>705</v>
      </c>
      <c r="K167" s="55">
        <v>20038918</v>
      </c>
      <c r="L167" s="55" t="s">
        <v>198</v>
      </c>
      <c r="M167" s="141" t="str">
        <f t="shared" si="6"/>
        <v>CC-INT_E</v>
      </c>
      <c r="N167" s="142" t="str">
        <f>LOOKUP(M167,'[2]Doc Set'!E:E,'[2]Doc Set'!F:F)</f>
        <v>_</v>
      </c>
      <c r="O167" s="141" t="s">
        <v>306</v>
      </c>
      <c r="P167" s="142">
        <f>+LOOKUP(O167,'[2]Doc Set'!E:E,'[2]Doc Set'!G:G)</f>
        <v>43489</v>
      </c>
      <c r="Q167" s="55" t="str">
        <f t="shared" si="5"/>
        <v>CC-INT_E</v>
      </c>
      <c r="R167" s="142">
        <f>+LOOKUP(Q167,'[2]Doc Set'!E:E,'[2]Doc Set'!H:H)</f>
        <v>43542</v>
      </c>
      <c r="S167" s="143" t="s">
        <v>200</v>
      </c>
    </row>
    <row r="168" spans="1:19" x14ac:dyDescent="0.3">
      <c r="A168" s="55" t="s">
        <v>40</v>
      </c>
      <c r="B168" s="55" t="s">
        <v>190</v>
      </c>
      <c r="C168" s="55" t="s">
        <v>191</v>
      </c>
      <c r="D168" s="138" t="s">
        <v>192</v>
      </c>
      <c r="E168" s="55" t="s">
        <v>193</v>
      </c>
      <c r="F168" s="55" t="s">
        <v>521</v>
      </c>
      <c r="G168" s="55" t="s">
        <v>706</v>
      </c>
      <c r="H168" s="55" t="s">
        <v>707</v>
      </c>
      <c r="I168" s="154" t="s">
        <v>134</v>
      </c>
      <c r="J168" s="140" t="s">
        <v>708</v>
      </c>
      <c r="K168" s="55">
        <v>20038918</v>
      </c>
      <c r="L168" s="55" t="s">
        <v>198</v>
      </c>
      <c r="M168" s="141" t="str">
        <f t="shared" si="6"/>
        <v>CC-INT_E</v>
      </c>
      <c r="N168" s="142" t="str">
        <f>LOOKUP(M168,'[2]Doc Set'!E:E,'[2]Doc Set'!F:F)</f>
        <v>_</v>
      </c>
      <c r="O168" s="141" t="s">
        <v>306</v>
      </c>
      <c r="P168" s="142">
        <f>+LOOKUP(O168,'[2]Doc Set'!E:E,'[2]Doc Set'!G:G)</f>
        <v>43489</v>
      </c>
      <c r="Q168" s="55" t="str">
        <f t="shared" si="5"/>
        <v>CC-INT_E</v>
      </c>
      <c r="R168" s="142">
        <f>+LOOKUP(Q168,'[2]Doc Set'!E:E,'[2]Doc Set'!H:H)</f>
        <v>43542</v>
      </c>
      <c r="S168" s="143" t="s">
        <v>200</v>
      </c>
    </row>
    <row r="169" spans="1:19" x14ac:dyDescent="0.3">
      <c r="A169" s="55" t="s">
        <v>40</v>
      </c>
      <c r="B169" s="55" t="s">
        <v>190</v>
      </c>
      <c r="C169" s="55" t="s">
        <v>191</v>
      </c>
      <c r="D169" s="138" t="s">
        <v>192</v>
      </c>
      <c r="E169" s="55" t="s">
        <v>193</v>
      </c>
      <c r="F169" s="55" t="s">
        <v>521</v>
      </c>
      <c r="G169" s="55" t="s">
        <v>709</v>
      </c>
      <c r="H169" s="55" t="s">
        <v>710</v>
      </c>
      <c r="I169" s="154" t="s">
        <v>134</v>
      </c>
      <c r="J169" s="140" t="s">
        <v>711</v>
      </c>
      <c r="K169" s="55">
        <v>20038918</v>
      </c>
      <c r="L169" s="55" t="s">
        <v>198</v>
      </c>
      <c r="M169" s="141" t="str">
        <f t="shared" si="6"/>
        <v>CC-INT_E</v>
      </c>
      <c r="N169" s="142" t="str">
        <f>LOOKUP(M169,'[2]Doc Set'!E:E,'[2]Doc Set'!F:F)</f>
        <v>_</v>
      </c>
      <c r="O169" s="141" t="s">
        <v>306</v>
      </c>
      <c r="P169" s="142">
        <f>+LOOKUP(O169,'[2]Doc Set'!E:E,'[2]Doc Set'!G:G)</f>
        <v>43489</v>
      </c>
      <c r="Q169" s="55" t="str">
        <f t="shared" si="5"/>
        <v>CC-INT_E</v>
      </c>
      <c r="R169" s="142">
        <f>+LOOKUP(Q169,'[2]Doc Set'!E:E,'[2]Doc Set'!H:H)</f>
        <v>43542</v>
      </c>
      <c r="S169" s="143" t="s">
        <v>200</v>
      </c>
    </row>
  </sheetData>
  <autoFilter ref="A1:S169"/>
  <conditionalFormatting sqref="G1">
    <cfRule type="duplicateValues" dxfId="103" priority="7"/>
  </conditionalFormatting>
  <conditionalFormatting sqref="G1 G170:G1048576">
    <cfRule type="duplicateValues" dxfId="102" priority="6"/>
  </conditionalFormatting>
  <conditionalFormatting sqref="G2:G169">
    <cfRule type="duplicateValues" dxfId="101" priority="5"/>
  </conditionalFormatting>
  <conditionalFormatting sqref="G2:G169">
    <cfRule type="duplicateValues" dxfId="100" priority="4"/>
  </conditionalFormatting>
  <conditionalFormatting sqref="G2:G169">
    <cfRule type="duplicateValues" dxfId="99" priority="3"/>
  </conditionalFormatting>
  <conditionalFormatting sqref="G1:G1048576">
    <cfRule type="duplicateValues" dxfId="98" priority="1"/>
    <cfRule type="duplicateValues" dxfId="97" priority="2"/>
  </conditionalFormatting>
  <conditionalFormatting sqref="H1:H1048576">
    <cfRule type="duplicateValues" dxfId="96" priority="8"/>
  </conditionalFormatting>
  <dataValidations count="1">
    <dataValidation type="list" allowBlank="1" showInputMessage="1" showErrorMessage="1" sqref="O2:O169 M1:M1048576">
      <formula1>Document_Set_Name</formula1>
    </dataValidation>
  </dataValidations>
  <pageMargins left="0.7" right="0.7" top="0.75" bottom="0.75" header="0.3" footer="0.3"/>
  <pageSetup orientation="portrait" r:id="rId1"/>
  <headerFooter>
    <oddFooter>&amp;L&amp;1#&amp;"Calibri"&amp;8 Sensitivity: LNT Construction Internal Use</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R45"/>
  <sheetViews>
    <sheetView zoomScale="85" zoomScaleNormal="85" workbookViewId="0">
      <selection activeCell="D6" sqref="D6"/>
    </sheetView>
  </sheetViews>
  <sheetFormatPr defaultColWidth="9.109375" defaultRowHeight="14.4" x14ac:dyDescent="0.3"/>
  <cols>
    <col min="1" max="1" width="9.109375" style="122"/>
    <col min="2" max="2" width="10.5546875" style="122" bestFit="1" customWidth="1"/>
    <col min="3" max="3" width="63" style="122" bestFit="1" customWidth="1"/>
    <col min="4" max="4" width="14" style="122" customWidth="1"/>
    <col min="5" max="5" width="13.6640625" style="122" customWidth="1"/>
    <col min="6" max="6" width="9.6640625" style="122" bestFit="1" customWidth="1"/>
    <col min="7" max="7" width="13.33203125" style="122" customWidth="1"/>
    <col min="8" max="8" width="13.44140625" style="122" customWidth="1"/>
    <col min="9" max="9" width="12" style="122" customWidth="1"/>
    <col min="10" max="10" width="12.88671875" style="122" customWidth="1"/>
    <col min="11" max="11" width="10.33203125" style="122" customWidth="1"/>
    <col min="12" max="12" width="15.33203125" style="122" customWidth="1"/>
    <col min="13" max="13" width="11.109375" style="122" customWidth="1"/>
    <col min="14" max="14" width="15" style="122" customWidth="1"/>
    <col min="15" max="15" width="9.109375" style="122"/>
    <col min="16" max="18" width="0" style="122" hidden="1" customWidth="1"/>
    <col min="19" max="16384" width="9.109375" style="122"/>
  </cols>
  <sheetData>
    <row r="1" spans="1:18" x14ac:dyDescent="0.3">
      <c r="B1" s="123" t="s">
        <v>140</v>
      </c>
      <c r="C1" s="124"/>
      <c r="D1" s="124"/>
      <c r="E1" s="124"/>
      <c r="F1" s="124"/>
      <c r="G1" s="124"/>
      <c r="H1" s="124"/>
      <c r="I1" s="124"/>
      <c r="J1" s="124"/>
      <c r="K1" s="124"/>
      <c r="L1" s="124"/>
      <c r="M1" s="124"/>
      <c r="N1" s="124"/>
    </row>
    <row r="2" spans="1:18" ht="15" thickBot="1" x14ac:dyDescent="0.35">
      <c r="B2" s="124"/>
      <c r="C2" s="124"/>
      <c r="D2" s="124"/>
      <c r="E2" t="s">
        <v>141</v>
      </c>
      <c r="F2" t="s">
        <v>142</v>
      </c>
      <c r="G2" t="s">
        <v>143</v>
      </c>
      <c r="H2" t="s">
        <v>141</v>
      </c>
      <c r="I2" t="s">
        <v>142</v>
      </c>
      <c r="J2" t="s">
        <v>143</v>
      </c>
      <c r="K2" t="s">
        <v>144</v>
      </c>
      <c r="L2" t="s">
        <v>145</v>
      </c>
      <c r="M2" t="s">
        <v>144</v>
      </c>
      <c r="N2" t="s">
        <v>145</v>
      </c>
    </row>
    <row r="3" spans="1:18" ht="15" thickBot="1" x14ac:dyDescent="0.35">
      <c r="B3" s="125"/>
      <c r="C3" s="126" t="s">
        <v>146</v>
      </c>
      <c r="D3" s="126" t="s">
        <v>72</v>
      </c>
      <c r="E3" s="261" t="s">
        <v>147</v>
      </c>
      <c r="F3" s="262"/>
      <c r="G3" s="263"/>
      <c r="H3" s="261" t="s">
        <v>148</v>
      </c>
      <c r="I3" s="262"/>
      <c r="J3" s="263"/>
      <c r="K3" s="261" t="s">
        <v>149</v>
      </c>
      <c r="L3" s="263"/>
      <c r="M3" s="261" t="s">
        <v>150</v>
      </c>
      <c r="N3" s="263"/>
      <c r="P3" s="122" t="s">
        <v>151</v>
      </c>
      <c r="Q3" s="122" t="s">
        <v>152</v>
      </c>
      <c r="R3" s="122" t="s">
        <v>153</v>
      </c>
    </row>
    <row r="4" spans="1:18" x14ac:dyDescent="0.3">
      <c r="B4" s="264"/>
      <c r="C4" s="264" t="s">
        <v>154</v>
      </c>
      <c r="D4" s="266" t="s">
        <v>155</v>
      </c>
      <c r="E4" s="127" t="s">
        <v>156</v>
      </c>
      <c r="F4" s="266" t="s">
        <v>157</v>
      </c>
      <c r="G4" s="266" t="s">
        <v>158</v>
      </c>
      <c r="H4" s="127" t="s">
        <v>156</v>
      </c>
      <c r="I4" s="266" t="s">
        <v>157</v>
      </c>
      <c r="J4" s="266" t="s">
        <v>158</v>
      </c>
      <c r="K4" s="266" t="s">
        <v>159</v>
      </c>
      <c r="L4" s="266" t="s">
        <v>160</v>
      </c>
      <c r="M4" s="266" t="s">
        <v>80</v>
      </c>
      <c r="N4" s="266" t="s">
        <v>81</v>
      </c>
    </row>
    <row r="5" spans="1:18" ht="15" thickBot="1" x14ac:dyDescent="0.35">
      <c r="B5" s="265"/>
      <c r="C5" s="265"/>
      <c r="D5" s="267"/>
      <c r="E5" s="128" t="s">
        <v>161</v>
      </c>
      <c r="F5" s="267"/>
      <c r="G5" s="267"/>
      <c r="H5" s="128" t="s">
        <v>161</v>
      </c>
      <c r="I5" s="267"/>
      <c r="J5" s="267"/>
      <c r="K5" s="267"/>
      <c r="L5" s="267"/>
      <c r="M5" s="267"/>
      <c r="N5" s="267"/>
    </row>
    <row r="6" spans="1:18" ht="15" thickBot="1" x14ac:dyDescent="0.35">
      <c r="A6" s="122">
        <v>1</v>
      </c>
      <c r="B6" s="129"/>
      <c r="C6" s="122" t="s">
        <v>162</v>
      </c>
      <c r="D6" s="130">
        <f>+SUMIFS('[2]elv BLG'!F:F,'[2]elv BLG'!D:D,'elv COVER (3)'!C6,'[2]elv BLG'!E:E,'elv COVER (3)'!D2)</f>
        <v>0</v>
      </c>
      <c r="E6" s="130">
        <v>33</v>
      </c>
      <c r="F6" s="131" t="s">
        <v>163</v>
      </c>
      <c r="G6" s="131" t="s">
        <v>163</v>
      </c>
      <c r="H6" s="130">
        <v>43</v>
      </c>
      <c r="I6" s="131" t="s">
        <v>163</v>
      </c>
      <c r="J6" s="131" t="s">
        <v>163</v>
      </c>
      <c r="K6" s="131" t="s">
        <v>163</v>
      </c>
      <c r="L6" s="131" t="s">
        <v>163</v>
      </c>
      <c r="M6" s="131" t="s">
        <v>163</v>
      </c>
      <c r="N6" s="131" t="s">
        <v>163</v>
      </c>
      <c r="P6" s="122">
        <f t="shared" ref="P6:P15" si="0">+D6</f>
        <v>0</v>
      </c>
      <c r="Q6" s="122" t="e">
        <f>+E6+F6+K6</f>
        <v>#VALUE!</v>
      </c>
      <c r="R6" s="122" t="e">
        <f>+H6+I6+M6</f>
        <v>#VALUE!</v>
      </c>
    </row>
    <row r="7" spans="1:18" ht="15" thickBot="1" x14ac:dyDescent="0.35">
      <c r="A7" s="122">
        <v>2</v>
      </c>
      <c r="B7" s="129"/>
      <c r="C7" s="122" t="s">
        <v>164</v>
      </c>
      <c r="D7" s="132"/>
      <c r="E7" s="132">
        <v>11</v>
      </c>
      <c r="F7" s="133" t="s">
        <v>163</v>
      </c>
      <c r="G7" s="133" t="s">
        <v>163</v>
      </c>
      <c r="H7" s="132">
        <v>11</v>
      </c>
      <c r="I7" s="133" t="s">
        <v>163</v>
      </c>
      <c r="J7" s="133" t="s">
        <v>163</v>
      </c>
      <c r="K7" s="133" t="s">
        <v>163</v>
      </c>
      <c r="L7" s="133" t="s">
        <v>163</v>
      </c>
      <c r="M7" s="133" t="s">
        <v>163</v>
      </c>
      <c r="N7" s="133" t="s">
        <v>163</v>
      </c>
      <c r="P7" s="122">
        <f t="shared" si="0"/>
        <v>0</v>
      </c>
      <c r="Q7" s="122" t="e">
        <f>+E7+F7+K7</f>
        <v>#VALUE!</v>
      </c>
      <c r="R7" s="122" t="e">
        <f>+H7+I7+M7</f>
        <v>#VALUE!</v>
      </c>
    </row>
    <row r="8" spans="1:18" ht="15" thickBot="1" x14ac:dyDescent="0.35">
      <c r="A8" s="122">
        <v>3</v>
      </c>
      <c r="B8" s="129"/>
      <c r="C8" s="122" t="s">
        <v>165</v>
      </c>
      <c r="D8" s="132"/>
      <c r="E8" s="132"/>
      <c r="F8" s="133" t="s">
        <v>163</v>
      </c>
      <c r="G8" s="133" t="s">
        <v>163</v>
      </c>
      <c r="H8" s="132">
        <v>0</v>
      </c>
      <c r="I8" s="133" t="s">
        <v>163</v>
      </c>
      <c r="J8" s="133" t="s">
        <v>163</v>
      </c>
      <c r="K8" s="133" t="s">
        <v>163</v>
      </c>
      <c r="L8" s="133" t="s">
        <v>163</v>
      </c>
      <c r="M8" s="133" t="s">
        <v>163</v>
      </c>
      <c r="N8" s="133" t="s">
        <v>163</v>
      </c>
      <c r="P8" s="122">
        <f t="shared" si="0"/>
        <v>0</v>
      </c>
      <c r="Q8" s="122" t="e">
        <f>+E8+F8</f>
        <v>#VALUE!</v>
      </c>
      <c r="R8" s="122" t="e">
        <f>+H8+I8</f>
        <v>#VALUE!</v>
      </c>
    </row>
    <row r="9" spans="1:18" ht="15" thickBot="1" x14ac:dyDescent="0.35">
      <c r="A9" s="122">
        <v>4</v>
      </c>
      <c r="B9" s="129"/>
      <c r="C9" s="122" t="s">
        <v>166</v>
      </c>
      <c r="D9" s="134">
        <f>+'[2]elv BLG'!F2</f>
        <v>6</v>
      </c>
      <c r="E9" s="132"/>
      <c r="F9" s="132">
        <v>36</v>
      </c>
      <c r="G9" s="133" t="s">
        <v>163</v>
      </c>
      <c r="H9" s="132">
        <v>0</v>
      </c>
      <c r="I9" s="132">
        <v>36</v>
      </c>
      <c r="J9" s="133" t="s">
        <v>163</v>
      </c>
      <c r="K9" s="132">
        <v>63</v>
      </c>
      <c r="L9" s="133" t="s">
        <v>163</v>
      </c>
      <c r="M9" s="132">
        <v>63</v>
      </c>
      <c r="N9" s="133" t="s">
        <v>163</v>
      </c>
      <c r="P9" s="122">
        <f t="shared" si="0"/>
        <v>6</v>
      </c>
      <c r="Q9" s="122" t="e">
        <f>+E9+F9+G9+K9+L9</f>
        <v>#VALUE!</v>
      </c>
      <c r="R9" s="122" t="e">
        <f>+H9+I9+J9+M9+N9</f>
        <v>#VALUE!</v>
      </c>
    </row>
    <row r="10" spans="1:18" ht="15" thickBot="1" x14ac:dyDescent="0.35">
      <c r="A10" s="122">
        <v>5</v>
      </c>
      <c r="B10" s="129"/>
      <c r="C10" s="122" t="s">
        <v>167</v>
      </c>
      <c r="D10" s="132">
        <v>10</v>
      </c>
      <c r="E10" s="132"/>
      <c r="F10" s="132">
        <v>38</v>
      </c>
      <c r="G10" s="133" t="s">
        <v>163</v>
      </c>
      <c r="H10" s="132">
        <v>0</v>
      </c>
      <c r="I10" s="132">
        <v>38</v>
      </c>
      <c r="J10" s="133" t="s">
        <v>163</v>
      </c>
      <c r="K10" s="132">
        <v>58</v>
      </c>
      <c r="L10" s="133" t="s">
        <v>163</v>
      </c>
      <c r="M10" s="132">
        <v>58</v>
      </c>
      <c r="N10" s="133" t="s">
        <v>163</v>
      </c>
      <c r="P10" s="122">
        <f t="shared" si="0"/>
        <v>10</v>
      </c>
      <c r="Q10" s="122">
        <f>+E10+F10</f>
        <v>38</v>
      </c>
      <c r="R10" s="122">
        <f>+H10+I10</f>
        <v>38</v>
      </c>
    </row>
    <row r="11" spans="1:18" ht="15" thickBot="1" x14ac:dyDescent="0.35">
      <c r="A11" s="122">
        <v>6</v>
      </c>
      <c r="B11" s="129"/>
      <c r="C11" s="122" t="s">
        <v>168</v>
      </c>
      <c r="D11" s="132"/>
      <c r="E11" s="132"/>
      <c r="F11" s="132">
        <v>20</v>
      </c>
      <c r="G11" s="133" t="s">
        <v>163</v>
      </c>
      <c r="H11" s="132">
        <v>0</v>
      </c>
      <c r="I11" s="132">
        <v>20</v>
      </c>
      <c r="J11" s="133" t="s">
        <v>163</v>
      </c>
      <c r="K11" s="133" t="s">
        <v>163</v>
      </c>
      <c r="L11" s="133" t="s">
        <v>163</v>
      </c>
      <c r="M11" s="133" t="s">
        <v>163</v>
      </c>
      <c r="N11" s="133" t="s">
        <v>163</v>
      </c>
      <c r="P11" s="122">
        <f t="shared" si="0"/>
        <v>0</v>
      </c>
      <c r="Q11" s="122">
        <f>+E11</f>
        <v>0</v>
      </c>
      <c r="R11" s="122">
        <f>+H11</f>
        <v>0</v>
      </c>
    </row>
    <row r="12" spans="1:18" ht="15" thickBot="1" x14ac:dyDescent="0.35">
      <c r="A12" s="122">
        <v>7</v>
      </c>
      <c r="B12" s="129"/>
      <c r="C12" s="122" t="s">
        <v>169</v>
      </c>
      <c r="D12" s="132">
        <v>19</v>
      </c>
      <c r="E12" s="132"/>
      <c r="F12" s="132">
        <v>34</v>
      </c>
      <c r="G12" s="132">
        <v>7</v>
      </c>
      <c r="H12" s="132">
        <v>0</v>
      </c>
      <c r="I12" s="132">
        <v>34</v>
      </c>
      <c r="J12" s="132">
        <v>7</v>
      </c>
      <c r="K12" s="132">
        <v>51</v>
      </c>
      <c r="L12" s="132">
        <v>81</v>
      </c>
      <c r="M12" s="132">
        <v>51</v>
      </c>
      <c r="N12" s="132">
        <v>81</v>
      </c>
      <c r="P12" s="122">
        <f t="shared" si="0"/>
        <v>19</v>
      </c>
      <c r="Q12" s="122">
        <f>+E12</f>
        <v>0</v>
      </c>
      <c r="R12" s="122">
        <f>+H12</f>
        <v>0</v>
      </c>
    </row>
    <row r="13" spans="1:18" ht="15" thickBot="1" x14ac:dyDescent="0.35">
      <c r="A13" s="122">
        <v>8</v>
      </c>
      <c r="B13" s="129"/>
      <c r="C13" s="122" t="s">
        <v>170</v>
      </c>
      <c r="D13" s="132"/>
      <c r="E13" s="132"/>
      <c r="F13" s="132">
        <v>14</v>
      </c>
      <c r="G13" s="133" t="s">
        <v>163</v>
      </c>
      <c r="H13" s="132">
        <v>0</v>
      </c>
      <c r="I13" s="132">
        <v>14</v>
      </c>
      <c r="J13" s="133" t="s">
        <v>163</v>
      </c>
      <c r="K13" s="133" t="s">
        <v>163</v>
      </c>
      <c r="L13" s="133" t="s">
        <v>163</v>
      </c>
      <c r="M13" s="133" t="s">
        <v>163</v>
      </c>
      <c r="N13" s="133" t="s">
        <v>163</v>
      </c>
      <c r="P13" s="122">
        <f t="shared" si="0"/>
        <v>0</v>
      </c>
      <c r="Q13" s="122">
        <f>+E13</f>
        <v>0</v>
      </c>
      <c r="R13" s="122">
        <f>+H13</f>
        <v>0</v>
      </c>
    </row>
    <row r="14" spans="1:18" ht="15" thickBot="1" x14ac:dyDescent="0.35">
      <c r="A14" s="122">
        <v>9</v>
      </c>
      <c r="B14" s="129"/>
      <c r="C14" s="122" t="s">
        <v>171</v>
      </c>
      <c r="D14" s="132"/>
      <c r="E14" s="132">
        <v>9</v>
      </c>
      <c r="F14" s="133" t="s">
        <v>163</v>
      </c>
      <c r="G14" s="133" t="s">
        <v>163</v>
      </c>
      <c r="H14" s="132">
        <v>9</v>
      </c>
      <c r="I14" s="133" t="s">
        <v>163</v>
      </c>
      <c r="J14" s="133" t="s">
        <v>163</v>
      </c>
      <c r="K14" s="133" t="s">
        <v>163</v>
      </c>
      <c r="L14" s="133" t="s">
        <v>163</v>
      </c>
      <c r="M14" s="133" t="s">
        <v>163</v>
      </c>
      <c r="N14" s="133" t="s">
        <v>163</v>
      </c>
      <c r="P14" s="122">
        <f t="shared" si="0"/>
        <v>0</v>
      </c>
      <c r="Q14" s="122">
        <f>+E14</f>
        <v>9</v>
      </c>
      <c r="R14" s="122">
        <f>+H14</f>
        <v>9</v>
      </c>
    </row>
    <row r="15" spans="1:18" ht="15" thickBot="1" x14ac:dyDescent="0.35">
      <c r="A15" s="122">
        <v>10</v>
      </c>
      <c r="B15" s="129"/>
      <c r="C15" s="135" t="s">
        <v>172</v>
      </c>
      <c r="D15" s="132"/>
      <c r="E15" s="132">
        <v>2</v>
      </c>
      <c r="F15" s="133" t="s">
        <v>163</v>
      </c>
      <c r="G15" s="133" t="s">
        <v>163</v>
      </c>
      <c r="H15" s="132">
        <v>2</v>
      </c>
      <c r="I15" s="133" t="s">
        <v>163</v>
      </c>
      <c r="J15" s="133" t="s">
        <v>163</v>
      </c>
      <c r="K15" s="133" t="s">
        <v>163</v>
      </c>
      <c r="L15" s="133" t="s">
        <v>163</v>
      </c>
      <c r="M15" s="133" t="s">
        <v>163</v>
      </c>
      <c r="N15" s="133" t="s">
        <v>163</v>
      </c>
      <c r="P15" s="122">
        <f t="shared" si="0"/>
        <v>0</v>
      </c>
      <c r="Q15" s="122">
        <f>+E15</f>
        <v>2</v>
      </c>
      <c r="R15" s="122">
        <f>+H15</f>
        <v>2</v>
      </c>
    </row>
    <row r="18" spans="3:18" x14ac:dyDescent="0.3">
      <c r="C18" s="122" t="s">
        <v>173</v>
      </c>
      <c r="D18" s="122">
        <v>55</v>
      </c>
      <c r="E18" s="122">
        <v>55</v>
      </c>
      <c r="F18" s="122">
        <v>142</v>
      </c>
      <c r="G18" s="122">
        <v>7</v>
      </c>
      <c r="H18" s="122">
        <v>65</v>
      </c>
      <c r="I18" s="122">
        <v>142</v>
      </c>
      <c r="J18" s="122">
        <v>7</v>
      </c>
      <c r="K18" s="122">
        <v>172</v>
      </c>
      <c r="L18" s="122">
        <v>81</v>
      </c>
      <c r="M18" s="122">
        <v>172</v>
      </c>
      <c r="N18" s="122">
        <v>81</v>
      </c>
      <c r="P18" s="122">
        <f>SUM(P6:P17)</f>
        <v>35</v>
      </c>
      <c r="Q18" s="122" t="e">
        <f>SUM(Q6:Q17)</f>
        <v>#VALUE!</v>
      </c>
      <c r="R18" s="122" t="e">
        <f>SUM(R6:R17)</f>
        <v>#VALUE!</v>
      </c>
    </row>
    <row r="25" spans="3:18" x14ac:dyDescent="0.3">
      <c r="C25" s="122" t="s">
        <v>162</v>
      </c>
    </row>
    <row r="26" spans="3:18" x14ac:dyDescent="0.3">
      <c r="C26" s="122" t="s">
        <v>164</v>
      </c>
    </row>
    <row r="27" spans="3:18" x14ac:dyDescent="0.3">
      <c r="C27" s="122" t="s">
        <v>165</v>
      </c>
    </row>
    <row r="28" spans="3:18" x14ac:dyDescent="0.3">
      <c r="C28" s="122" t="s">
        <v>166</v>
      </c>
    </row>
    <row r="29" spans="3:18" x14ac:dyDescent="0.3">
      <c r="C29" s="122" t="s">
        <v>167</v>
      </c>
    </row>
    <row r="30" spans="3:18" x14ac:dyDescent="0.3">
      <c r="C30" s="122" t="s">
        <v>168</v>
      </c>
    </row>
    <row r="31" spans="3:18" x14ac:dyDescent="0.3">
      <c r="C31" s="122" t="s">
        <v>169</v>
      </c>
    </row>
    <row r="32" spans="3:18" x14ac:dyDescent="0.3">
      <c r="C32" s="122" t="s">
        <v>170</v>
      </c>
    </row>
    <row r="33" spans="3:3" x14ac:dyDescent="0.3">
      <c r="C33" s="122" t="s">
        <v>171</v>
      </c>
    </row>
    <row r="34" spans="3:3" ht="15" thickBot="1" x14ac:dyDescent="0.35">
      <c r="C34" s="135" t="s">
        <v>172</v>
      </c>
    </row>
    <row r="35" spans="3:3" x14ac:dyDescent="0.3">
      <c r="C35"/>
    </row>
    <row r="36" spans="3:3" x14ac:dyDescent="0.3">
      <c r="C36"/>
    </row>
    <row r="37" spans="3:3" x14ac:dyDescent="0.3">
      <c r="C37"/>
    </row>
    <row r="38" spans="3:3" x14ac:dyDescent="0.3">
      <c r="C38"/>
    </row>
    <row r="39" spans="3:3" x14ac:dyDescent="0.3">
      <c r="C39"/>
    </row>
    <row r="40" spans="3:3" x14ac:dyDescent="0.3">
      <c r="C40"/>
    </row>
    <row r="41" spans="3:3" x14ac:dyDescent="0.3">
      <c r="C41"/>
    </row>
    <row r="42" spans="3:3" x14ac:dyDescent="0.3">
      <c r="C42"/>
    </row>
    <row r="43" spans="3:3" x14ac:dyDescent="0.3">
      <c r="C43"/>
    </row>
    <row r="44" spans="3:3" x14ac:dyDescent="0.3">
      <c r="C44"/>
    </row>
    <row r="45" spans="3:3" x14ac:dyDescent="0.3">
      <c r="C45"/>
    </row>
  </sheetData>
  <mergeCells count="15">
    <mergeCell ref="E3:G3"/>
    <mergeCell ref="H3:J3"/>
    <mergeCell ref="K3:L3"/>
    <mergeCell ref="M3:N3"/>
    <mergeCell ref="B4:B5"/>
    <mergeCell ref="C4:C5"/>
    <mergeCell ref="D4:D5"/>
    <mergeCell ref="F4:F5"/>
    <mergeCell ref="G4:G5"/>
    <mergeCell ref="I4:I5"/>
    <mergeCell ref="J4:J5"/>
    <mergeCell ref="K4:K5"/>
    <mergeCell ref="L4:L5"/>
    <mergeCell ref="M4:M5"/>
    <mergeCell ref="N4:N5"/>
  </mergeCells>
  <pageMargins left="0.7" right="0.7" top="0.75" bottom="0.75" header="0.3" footer="0.3"/>
  <pageSetup orientation="portrait" r:id="rId1"/>
  <headerFooter>
    <oddFooter>&amp;L&amp;1#&amp;"Calibri"&amp;8 Sensitivity: LNT Construction Internal Use</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pageSetUpPr fitToPage="1"/>
  </sheetPr>
  <dimension ref="B1:K63"/>
  <sheetViews>
    <sheetView view="pageBreakPreview" topLeftCell="A31" zoomScale="115" zoomScaleNormal="115" zoomScaleSheetLayoutView="115" workbookViewId="0">
      <selection activeCell="G55" sqref="G55"/>
    </sheetView>
  </sheetViews>
  <sheetFormatPr defaultColWidth="9.109375" defaultRowHeight="14.4" x14ac:dyDescent="0.3"/>
  <cols>
    <col min="1" max="1" width="2.44140625" customWidth="1"/>
    <col min="2" max="2" width="17.44140625" customWidth="1"/>
    <col min="3" max="3" width="50.44140625" customWidth="1"/>
    <col min="4" max="11" width="12.109375" customWidth="1"/>
  </cols>
  <sheetData>
    <row r="1" spans="2:11" ht="17.399999999999999" x14ac:dyDescent="0.3">
      <c r="B1" s="64" t="s">
        <v>68</v>
      </c>
      <c r="C1" s="65"/>
      <c r="D1" s="65"/>
      <c r="E1" s="65"/>
      <c r="F1" s="65"/>
      <c r="G1" s="65"/>
      <c r="H1" s="65"/>
      <c r="I1" s="65"/>
      <c r="J1" s="65"/>
      <c r="K1" s="66">
        <v>43213</v>
      </c>
    </row>
    <row r="2" spans="2:11" ht="15.6" x14ac:dyDescent="0.3">
      <c r="B2" s="256" t="s">
        <v>69</v>
      </c>
      <c r="C2" s="256"/>
      <c r="D2" s="256"/>
      <c r="E2" s="256"/>
      <c r="F2" s="256"/>
      <c r="G2" s="256"/>
      <c r="H2" s="256"/>
      <c r="I2" s="256"/>
      <c r="J2" s="256"/>
      <c r="K2" s="256"/>
    </row>
    <row r="3" spans="2:11" x14ac:dyDescent="0.3">
      <c r="B3" s="67" t="s">
        <v>70</v>
      </c>
      <c r="C3" s="68" t="s">
        <v>71</v>
      </c>
      <c r="D3" s="268" t="s">
        <v>72</v>
      </c>
      <c r="E3" s="269"/>
      <c r="F3" s="270" t="s">
        <v>73</v>
      </c>
      <c r="G3" s="271"/>
      <c r="H3" s="272"/>
      <c r="I3" s="273" t="s">
        <v>74</v>
      </c>
      <c r="J3" s="274"/>
      <c r="K3" s="275"/>
    </row>
    <row r="4" spans="2:11" x14ac:dyDescent="0.3">
      <c r="B4" s="69"/>
      <c r="C4" s="68" t="s">
        <v>75</v>
      </c>
      <c r="D4" s="70" t="s">
        <v>76</v>
      </c>
      <c r="E4" s="70" t="s">
        <v>59</v>
      </c>
      <c r="F4" s="71" t="s">
        <v>77</v>
      </c>
      <c r="G4" s="72" t="s">
        <v>78</v>
      </c>
      <c r="H4" s="73" t="s">
        <v>79</v>
      </c>
      <c r="I4" s="74" t="s">
        <v>80</v>
      </c>
      <c r="J4" s="75" t="s">
        <v>81</v>
      </c>
      <c r="K4" s="76" t="s">
        <v>82</v>
      </c>
    </row>
    <row r="5" spans="2:11" x14ac:dyDescent="0.3">
      <c r="B5" s="77"/>
      <c r="C5" s="78"/>
      <c r="D5" s="79"/>
      <c r="E5" s="80"/>
      <c r="F5" s="81"/>
      <c r="G5" s="82"/>
      <c r="H5" s="83"/>
      <c r="I5" s="84"/>
      <c r="J5" s="77"/>
      <c r="K5" s="85"/>
    </row>
    <row r="6" spans="2:11" x14ac:dyDescent="0.3">
      <c r="B6" s="86" t="s">
        <v>83</v>
      </c>
      <c r="C6" s="87" t="s">
        <v>84</v>
      </c>
      <c r="D6" s="88">
        <v>43159</v>
      </c>
      <c r="E6" s="89">
        <v>43155</v>
      </c>
      <c r="F6" s="90">
        <v>43235</v>
      </c>
      <c r="G6" s="91">
        <f>F6+60</f>
        <v>43295</v>
      </c>
      <c r="H6" s="92"/>
      <c r="I6" s="90">
        <f>F6+28</f>
        <v>43263</v>
      </c>
      <c r="J6" s="91">
        <f>G6+45</f>
        <v>43340</v>
      </c>
      <c r="K6" s="93"/>
    </row>
    <row r="7" spans="2:11" x14ac:dyDescent="0.3">
      <c r="B7" s="86" t="s">
        <v>85</v>
      </c>
      <c r="C7" s="87" t="s">
        <v>86</v>
      </c>
      <c r="D7" s="88">
        <v>43160</v>
      </c>
      <c r="E7" s="89">
        <v>43157</v>
      </c>
      <c r="F7" s="90">
        <v>43245</v>
      </c>
      <c r="G7" s="91">
        <f>F7+60</f>
        <v>43305</v>
      </c>
      <c r="H7" s="92"/>
      <c r="I7" s="90">
        <f>F7+28</f>
        <v>43273</v>
      </c>
      <c r="J7" s="91">
        <f>G7+45</f>
        <v>43350</v>
      </c>
      <c r="K7" s="93"/>
    </row>
    <row r="8" spans="2:11" x14ac:dyDescent="0.3">
      <c r="B8" s="86" t="s">
        <v>87</v>
      </c>
      <c r="C8" s="87" t="s">
        <v>88</v>
      </c>
      <c r="D8" s="88">
        <v>43184</v>
      </c>
      <c r="E8" s="89">
        <v>43155</v>
      </c>
      <c r="F8" s="90">
        <f>D8+40</f>
        <v>43224</v>
      </c>
      <c r="G8" s="91">
        <f>F8+35</f>
        <v>43259</v>
      </c>
      <c r="H8" s="92"/>
      <c r="I8" s="90">
        <f>G8+35</f>
        <v>43294</v>
      </c>
      <c r="J8" s="91">
        <f>I8+19</f>
        <v>43313</v>
      </c>
      <c r="K8" s="93"/>
    </row>
    <row r="9" spans="2:11" x14ac:dyDescent="0.3">
      <c r="B9" s="86" t="s">
        <v>89</v>
      </c>
      <c r="C9" s="87" t="s">
        <v>90</v>
      </c>
      <c r="D9" s="88">
        <v>43166</v>
      </c>
      <c r="E9" s="89">
        <v>43155</v>
      </c>
      <c r="F9" s="90">
        <v>43229</v>
      </c>
      <c r="G9" s="91">
        <v>43278</v>
      </c>
      <c r="H9" s="92">
        <v>43343</v>
      </c>
      <c r="I9" s="90">
        <v>43259</v>
      </c>
      <c r="J9" s="91">
        <v>43308</v>
      </c>
      <c r="K9" s="92">
        <v>43371</v>
      </c>
    </row>
    <row r="10" spans="2:11" x14ac:dyDescent="0.3">
      <c r="B10" s="86" t="s">
        <v>91</v>
      </c>
      <c r="C10" s="87" t="s">
        <v>92</v>
      </c>
      <c r="D10" s="88">
        <v>43159</v>
      </c>
      <c r="E10" s="89">
        <v>43155</v>
      </c>
      <c r="F10" s="90">
        <v>43229</v>
      </c>
      <c r="G10" s="91">
        <f>F10+31</f>
        <v>43260</v>
      </c>
      <c r="H10" s="92"/>
      <c r="I10" s="90">
        <f>F10+28</f>
        <v>43257</v>
      </c>
      <c r="J10" s="91">
        <f>I10+42</f>
        <v>43299</v>
      </c>
      <c r="K10" s="94"/>
    </row>
    <row r="11" spans="2:11" x14ac:dyDescent="0.3">
      <c r="B11" s="86" t="s">
        <v>93</v>
      </c>
      <c r="C11" s="87" t="s">
        <v>94</v>
      </c>
      <c r="D11" s="88">
        <v>43175</v>
      </c>
      <c r="E11" s="89">
        <v>43164</v>
      </c>
      <c r="F11" s="90">
        <f>D11+40</f>
        <v>43215</v>
      </c>
      <c r="G11" s="91"/>
      <c r="H11" s="92"/>
      <c r="I11" s="90">
        <f>F11+35</f>
        <v>43250</v>
      </c>
      <c r="J11" s="90">
        <f>F11+138</f>
        <v>43353</v>
      </c>
      <c r="K11" s="93"/>
    </row>
    <row r="12" spans="2:11" x14ac:dyDescent="0.3">
      <c r="B12" s="86" t="s">
        <v>95</v>
      </c>
      <c r="C12" s="87" t="s">
        <v>96</v>
      </c>
      <c r="D12" s="95">
        <v>43252</v>
      </c>
      <c r="E12" s="96"/>
      <c r="F12" s="90">
        <f>D12+45</f>
        <v>43297</v>
      </c>
      <c r="G12" s="90">
        <f>F12+32</f>
        <v>43329</v>
      </c>
      <c r="H12" s="92"/>
      <c r="I12" s="90">
        <f>G12+31</f>
        <v>43360</v>
      </c>
      <c r="J12" s="90">
        <f>I12+21</f>
        <v>43381</v>
      </c>
      <c r="K12" s="93"/>
    </row>
    <row r="13" spans="2:11" x14ac:dyDescent="0.3">
      <c r="B13" s="86" t="s">
        <v>97</v>
      </c>
      <c r="C13" s="87" t="s">
        <v>98</v>
      </c>
      <c r="D13" s="95">
        <v>43238</v>
      </c>
      <c r="E13" s="96"/>
      <c r="F13" s="90">
        <f>D13+49</f>
        <v>43287</v>
      </c>
      <c r="G13" s="90">
        <f>F13+38</f>
        <v>43325</v>
      </c>
      <c r="H13" s="92"/>
      <c r="I13" s="90">
        <f>G13+18</f>
        <v>43343</v>
      </c>
      <c r="J13" s="90">
        <f>I13+45</f>
        <v>43388</v>
      </c>
      <c r="K13" s="93"/>
    </row>
    <row r="14" spans="2:11" x14ac:dyDescent="0.3">
      <c r="B14" s="86" t="s">
        <v>99</v>
      </c>
      <c r="C14" s="87" t="s">
        <v>100</v>
      </c>
      <c r="D14" s="88">
        <v>43176</v>
      </c>
      <c r="E14" s="89">
        <v>43164</v>
      </c>
      <c r="F14" s="90">
        <f>D14+55</f>
        <v>43231</v>
      </c>
      <c r="G14" s="90">
        <f>F14+35</f>
        <v>43266</v>
      </c>
      <c r="H14" s="92"/>
      <c r="I14" s="90">
        <f>G14+56</f>
        <v>43322</v>
      </c>
      <c r="J14" s="90">
        <f>I14+28</f>
        <v>43350</v>
      </c>
      <c r="K14" s="93"/>
    </row>
    <row r="15" spans="2:11" x14ac:dyDescent="0.3">
      <c r="B15" s="86" t="s">
        <v>101</v>
      </c>
      <c r="C15" s="87" t="s">
        <v>102</v>
      </c>
      <c r="D15" s="88">
        <v>43187</v>
      </c>
      <c r="E15" s="89">
        <v>43164</v>
      </c>
      <c r="F15" s="90">
        <f>D15+58</f>
        <v>43245</v>
      </c>
      <c r="G15" s="90">
        <f>F15+33</f>
        <v>43278</v>
      </c>
      <c r="H15" s="92"/>
      <c r="I15" s="90">
        <f>G15+34</f>
        <v>43312</v>
      </c>
      <c r="J15" s="90">
        <f>I15+34</f>
        <v>43346</v>
      </c>
      <c r="K15" s="93"/>
    </row>
    <row r="16" spans="2:11" x14ac:dyDescent="0.3">
      <c r="B16" s="97"/>
      <c r="C16" s="97"/>
      <c r="D16" s="98"/>
      <c r="E16" s="98"/>
      <c r="F16" s="97"/>
      <c r="G16" s="97"/>
      <c r="H16" s="97"/>
      <c r="I16" s="97"/>
      <c r="J16" s="97"/>
      <c r="K16" s="97"/>
    </row>
    <row r="17" spans="2:11" x14ac:dyDescent="0.3">
      <c r="B17" s="99" t="s">
        <v>103</v>
      </c>
      <c r="C17" s="99"/>
      <c r="D17" s="98"/>
      <c r="E17" s="98"/>
      <c r="F17" s="97"/>
      <c r="G17" s="97"/>
      <c r="H17" s="97"/>
      <c r="I17" s="97"/>
      <c r="J17" s="97"/>
      <c r="K17" s="97"/>
    </row>
    <row r="18" spans="2:11" ht="15.6" customHeight="1" x14ac:dyDescent="0.3">
      <c r="B18" s="276" t="s">
        <v>104</v>
      </c>
      <c r="C18" s="276"/>
      <c r="D18" s="276"/>
      <c r="E18" s="276"/>
      <c r="F18" s="276"/>
      <c r="G18" s="276"/>
      <c r="H18" s="276"/>
      <c r="I18" s="276"/>
      <c r="J18" s="276"/>
      <c r="K18" s="276"/>
    </row>
    <row r="19" spans="2:11" ht="15.6" customHeight="1" x14ac:dyDescent="0.3">
      <c r="B19" s="100"/>
      <c r="C19" s="100"/>
      <c r="D19" s="100"/>
      <c r="E19" s="100"/>
      <c r="F19" s="100"/>
      <c r="G19" s="100"/>
      <c r="H19" s="100"/>
      <c r="I19" s="100"/>
      <c r="J19" s="100"/>
      <c r="K19" s="100"/>
    </row>
    <row r="20" spans="2:11" x14ac:dyDescent="0.3">
      <c r="B20" s="99" t="s">
        <v>76</v>
      </c>
      <c r="C20" s="99" t="s">
        <v>105</v>
      </c>
      <c r="D20" s="101"/>
      <c r="E20" s="101"/>
      <c r="F20" s="102"/>
      <c r="G20" s="102"/>
      <c r="H20" s="97"/>
      <c r="I20" s="103"/>
      <c r="J20" s="97"/>
      <c r="K20" s="97"/>
    </row>
    <row r="21" spans="2:11" x14ac:dyDescent="0.3">
      <c r="B21" s="99" t="s">
        <v>106</v>
      </c>
      <c r="C21" s="99" t="s">
        <v>107</v>
      </c>
      <c r="D21" s="101"/>
      <c r="E21" s="101"/>
      <c r="F21" s="102"/>
      <c r="G21" s="102"/>
      <c r="H21" s="97"/>
      <c r="I21" s="97"/>
      <c r="J21" s="97"/>
      <c r="K21" s="97"/>
    </row>
    <row r="22" spans="2:11" x14ac:dyDescent="0.3">
      <c r="B22" s="99" t="s">
        <v>108</v>
      </c>
      <c r="C22" s="99" t="s">
        <v>109</v>
      </c>
      <c r="D22" s="101"/>
      <c r="E22" s="101"/>
      <c r="F22" s="102"/>
      <c r="G22" s="102"/>
      <c r="H22" s="97"/>
      <c r="I22" s="97"/>
      <c r="J22" s="97"/>
      <c r="K22" s="97"/>
    </row>
    <row r="23" spans="2:11" x14ac:dyDescent="0.3">
      <c r="B23" s="99" t="s">
        <v>78</v>
      </c>
      <c r="C23" s="99" t="s">
        <v>110</v>
      </c>
      <c r="D23" s="101"/>
      <c r="E23" s="101"/>
      <c r="F23" s="102"/>
      <c r="G23" s="102"/>
    </row>
    <row r="24" spans="2:11" x14ac:dyDescent="0.3">
      <c r="D24" s="101"/>
      <c r="E24" s="101"/>
      <c r="F24" s="102"/>
      <c r="G24" s="102"/>
    </row>
    <row r="25" spans="2:11" x14ac:dyDescent="0.3">
      <c r="B25" s="104" t="s">
        <v>111</v>
      </c>
      <c r="D25" s="101"/>
      <c r="E25" s="101"/>
      <c r="F25" s="102"/>
      <c r="G25" s="102"/>
    </row>
    <row r="26" spans="2:11" ht="30.15" customHeight="1" x14ac:dyDescent="0.3">
      <c r="B26" s="105">
        <v>1</v>
      </c>
      <c r="C26" s="255" t="s">
        <v>112</v>
      </c>
      <c r="D26" s="255"/>
      <c r="E26" s="255"/>
      <c r="F26" s="255"/>
      <c r="G26" s="255"/>
      <c r="H26" s="255"/>
      <c r="I26" s="255"/>
      <c r="J26" s="255"/>
      <c r="K26" s="255"/>
    </row>
    <row r="27" spans="2:11" x14ac:dyDescent="0.3">
      <c r="B27" s="105">
        <v>2</v>
      </c>
      <c r="C27" s="255" t="s">
        <v>113</v>
      </c>
      <c r="D27" s="255"/>
      <c r="E27" s="255"/>
      <c r="F27" s="255"/>
      <c r="G27" s="255"/>
      <c r="H27" s="255"/>
      <c r="I27" s="255"/>
      <c r="J27" s="255"/>
      <c r="K27" s="255"/>
    </row>
    <row r="28" spans="2:11" x14ac:dyDescent="0.3">
      <c r="B28" s="105">
        <v>3</v>
      </c>
      <c r="C28" s="255" t="s">
        <v>114</v>
      </c>
      <c r="D28" s="255"/>
      <c r="E28" s="255"/>
      <c r="F28" s="255"/>
      <c r="G28" s="255"/>
      <c r="H28" s="255"/>
      <c r="I28" s="255"/>
      <c r="J28" s="255"/>
      <c r="K28" s="255"/>
    </row>
    <row r="29" spans="2:11" ht="26.4" customHeight="1" x14ac:dyDescent="0.3">
      <c r="B29" s="105">
        <v>4</v>
      </c>
      <c r="C29" s="255" t="s">
        <v>115</v>
      </c>
      <c r="D29" s="255"/>
      <c r="E29" s="255"/>
      <c r="F29" s="255"/>
      <c r="G29" s="255"/>
      <c r="H29" s="255"/>
      <c r="I29" s="255"/>
      <c r="J29" s="255"/>
      <c r="K29" s="255"/>
    </row>
    <row r="30" spans="2:11" x14ac:dyDescent="0.3">
      <c r="B30" s="105">
        <v>5</v>
      </c>
      <c r="C30" s="255" t="s">
        <v>116</v>
      </c>
      <c r="D30" s="255"/>
      <c r="E30" s="255"/>
      <c r="F30" s="255"/>
      <c r="G30" s="255"/>
      <c r="H30" s="255"/>
      <c r="I30" s="255"/>
      <c r="J30" s="255"/>
      <c r="K30" s="255"/>
    </row>
    <row r="31" spans="2:11" x14ac:dyDescent="0.3">
      <c r="C31" s="106"/>
      <c r="D31" s="106"/>
      <c r="E31" s="106"/>
      <c r="F31" s="106"/>
      <c r="G31" s="106"/>
      <c r="H31" s="106"/>
      <c r="I31" s="106"/>
      <c r="J31" s="106"/>
      <c r="K31" s="106"/>
    </row>
    <row r="32" spans="2:11" ht="15.6" x14ac:dyDescent="0.3">
      <c r="B32" s="277" t="s">
        <v>117</v>
      </c>
      <c r="C32" s="277"/>
      <c r="D32" s="277"/>
      <c r="E32" s="277"/>
      <c r="F32" s="277"/>
      <c r="G32" s="277"/>
      <c r="H32" s="277"/>
      <c r="I32" s="278"/>
      <c r="J32" s="278"/>
      <c r="K32" s="278"/>
    </row>
    <row r="33" spans="2:11" x14ac:dyDescent="0.3">
      <c r="B33" s="67" t="s">
        <v>70</v>
      </c>
      <c r="C33" s="68" t="s">
        <v>71</v>
      </c>
      <c r="D33" s="107" t="s">
        <v>72</v>
      </c>
      <c r="E33" s="257" t="s">
        <v>118</v>
      </c>
      <c r="F33" s="259"/>
      <c r="G33" s="257" t="s">
        <v>119</v>
      </c>
      <c r="H33" s="259"/>
      <c r="I33" s="108"/>
    </row>
    <row r="34" spans="2:11" x14ac:dyDescent="0.3">
      <c r="B34" s="69"/>
      <c r="C34" s="68" t="s">
        <v>75</v>
      </c>
      <c r="D34" s="70" t="s">
        <v>120</v>
      </c>
      <c r="E34" s="70" t="s">
        <v>121</v>
      </c>
      <c r="F34" s="109" t="s">
        <v>122</v>
      </c>
      <c r="G34" s="70" t="s">
        <v>123</v>
      </c>
      <c r="H34" s="109" t="s">
        <v>124</v>
      </c>
      <c r="I34" s="110"/>
    </row>
    <row r="35" spans="2:11" x14ac:dyDescent="0.3">
      <c r="B35" s="77"/>
      <c r="C35" s="78"/>
      <c r="D35" s="111"/>
      <c r="E35" s="81"/>
      <c r="F35" s="83"/>
      <c r="G35" s="81"/>
      <c r="H35" s="83"/>
      <c r="I35" s="112"/>
    </row>
    <row r="36" spans="2:11" x14ac:dyDescent="0.3">
      <c r="B36" s="86" t="s">
        <v>83</v>
      </c>
      <c r="C36" s="87" t="s">
        <v>125</v>
      </c>
      <c r="D36" s="113">
        <f>J6+45</f>
        <v>43385</v>
      </c>
      <c r="E36" s="113">
        <f>D36+90</f>
        <v>43475</v>
      </c>
      <c r="F36" s="93"/>
      <c r="G36" s="113">
        <f>E36+28</f>
        <v>43503</v>
      </c>
      <c r="H36" s="93"/>
      <c r="I36" s="101"/>
    </row>
    <row r="37" spans="2:11" x14ac:dyDescent="0.3">
      <c r="B37" s="86" t="s">
        <v>85</v>
      </c>
      <c r="C37" s="87" t="s">
        <v>126</v>
      </c>
      <c r="D37" s="113">
        <f>J7+42</f>
        <v>43392</v>
      </c>
      <c r="E37" s="113">
        <f>D37+90</f>
        <v>43482</v>
      </c>
      <c r="F37" s="93"/>
      <c r="G37" s="113">
        <f>E37+28</f>
        <v>43510</v>
      </c>
      <c r="H37" s="93"/>
      <c r="I37" s="101"/>
    </row>
    <row r="38" spans="2:11" x14ac:dyDescent="0.3">
      <c r="B38" s="86" t="s">
        <v>87</v>
      </c>
      <c r="C38" s="87" t="s">
        <v>90</v>
      </c>
      <c r="D38" s="90">
        <v>43355</v>
      </c>
      <c r="E38" s="90">
        <v>43420</v>
      </c>
      <c r="F38" s="92">
        <v>43474</v>
      </c>
      <c r="G38" s="90">
        <v>43497</v>
      </c>
      <c r="H38" s="92">
        <v>43524</v>
      </c>
      <c r="I38" s="101"/>
    </row>
    <row r="39" spans="2:11" x14ac:dyDescent="0.3">
      <c r="B39" s="86" t="s">
        <v>89</v>
      </c>
      <c r="C39" s="87" t="s">
        <v>127</v>
      </c>
      <c r="D39" s="90">
        <v>43343</v>
      </c>
      <c r="E39" s="90">
        <f>D39+90</f>
        <v>43433</v>
      </c>
      <c r="F39" s="92"/>
      <c r="G39" s="90">
        <f>E39+29</f>
        <v>43462</v>
      </c>
      <c r="H39" s="93"/>
      <c r="I39" s="114"/>
    </row>
    <row r="40" spans="2:11" x14ac:dyDescent="0.3">
      <c r="D40" s="279" t="s">
        <v>139</v>
      </c>
      <c r="E40" s="279"/>
      <c r="F40" s="279"/>
      <c r="G40" s="279"/>
      <c r="H40" s="279"/>
      <c r="I40" s="115"/>
      <c r="J40" s="115"/>
      <c r="K40" s="115"/>
    </row>
    <row r="41" spans="2:11" hidden="1" x14ac:dyDescent="0.3">
      <c r="C41" s="68" t="s">
        <v>71</v>
      </c>
      <c r="D41" s="107" t="s">
        <v>72</v>
      </c>
      <c r="E41" s="257" t="s">
        <v>118</v>
      </c>
      <c r="F41" s="259"/>
      <c r="G41" s="257" t="s">
        <v>119</v>
      </c>
      <c r="H41" s="259"/>
    </row>
    <row r="42" spans="2:11" hidden="1" x14ac:dyDescent="0.3">
      <c r="C42" s="68" t="s">
        <v>75</v>
      </c>
      <c r="D42" s="70" t="s">
        <v>120</v>
      </c>
      <c r="E42" s="70" t="s">
        <v>121</v>
      </c>
      <c r="F42" s="109" t="s">
        <v>122</v>
      </c>
      <c r="G42" s="70" t="s">
        <v>123</v>
      </c>
      <c r="H42" s="109" t="s">
        <v>124</v>
      </c>
    </row>
    <row r="43" spans="2:11" hidden="1" x14ac:dyDescent="0.3">
      <c r="C43" s="78"/>
      <c r="D43" s="111"/>
      <c r="E43" s="81"/>
      <c r="F43" s="83"/>
      <c r="G43" s="81"/>
      <c r="H43" s="83"/>
    </row>
    <row r="44" spans="2:11" hidden="1" x14ac:dyDescent="0.3">
      <c r="C44" s="87" t="s">
        <v>125</v>
      </c>
      <c r="D44" s="113">
        <f t="shared" ref="D44:E46" si="0">+D36+15</f>
        <v>43400</v>
      </c>
      <c r="E44" s="113">
        <f t="shared" si="0"/>
        <v>43490</v>
      </c>
      <c r="F44" s="93"/>
      <c r="G44" s="113">
        <f>+G36+15</f>
        <v>43518</v>
      </c>
      <c r="H44" s="93"/>
    </row>
    <row r="45" spans="2:11" hidden="1" x14ac:dyDescent="0.3">
      <c r="C45" s="87" t="s">
        <v>126</v>
      </c>
      <c r="D45" s="113">
        <f t="shared" si="0"/>
        <v>43407</v>
      </c>
      <c r="E45" s="113">
        <f t="shared" si="0"/>
        <v>43497</v>
      </c>
      <c r="F45" s="93"/>
      <c r="G45" s="113">
        <f>+G37+15</f>
        <v>43525</v>
      </c>
      <c r="H45" s="93"/>
    </row>
    <row r="46" spans="2:11" hidden="1" x14ac:dyDescent="0.3">
      <c r="C46" s="87" t="s">
        <v>90</v>
      </c>
      <c r="D46" s="113">
        <f t="shared" si="0"/>
        <v>43370</v>
      </c>
      <c r="E46" s="113">
        <f t="shared" si="0"/>
        <v>43435</v>
      </c>
      <c r="F46" s="113">
        <f>+F38+15</f>
        <v>43489</v>
      </c>
      <c r="G46" s="113">
        <f>+G38+15</f>
        <v>43512</v>
      </c>
      <c r="H46" s="113">
        <f>+H38+15</f>
        <v>43539</v>
      </c>
    </row>
    <row r="47" spans="2:11" hidden="1" x14ac:dyDescent="0.3">
      <c r="C47" s="87" t="s">
        <v>127</v>
      </c>
      <c r="D47" s="113"/>
      <c r="E47" s="113">
        <f>+E39+15</f>
        <v>43448</v>
      </c>
      <c r="F47" s="92"/>
      <c r="G47" s="113">
        <f>+G39+15</f>
        <v>43477</v>
      </c>
      <c r="H47" s="93"/>
    </row>
    <row r="48" spans="2:11" x14ac:dyDescent="0.3">
      <c r="D48" s="120"/>
    </row>
    <row r="49" spans="3:8" x14ac:dyDescent="0.3">
      <c r="C49" s="68" t="s">
        <v>71</v>
      </c>
      <c r="D49" s="107" t="s">
        <v>72</v>
      </c>
      <c r="E49" s="257" t="s">
        <v>118</v>
      </c>
      <c r="F49" s="259"/>
      <c r="G49" s="257" t="s">
        <v>119</v>
      </c>
      <c r="H49" s="259"/>
    </row>
    <row r="50" spans="3:8" x14ac:dyDescent="0.3">
      <c r="C50" s="68" t="s">
        <v>75</v>
      </c>
      <c r="D50" s="70" t="s">
        <v>120</v>
      </c>
      <c r="E50" s="70" t="s">
        <v>121</v>
      </c>
      <c r="F50" s="109" t="s">
        <v>122</v>
      </c>
      <c r="G50" s="70" t="s">
        <v>123</v>
      </c>
      <c r="H50" s="109" t="s">
        <v>124</v>
      </c>
    </row>
    <row r="51" spans="3:8" x14ac:dyDescent="0.3">
      <c r="C51" s="78"/>
      <c r="D51" s="111"/>
      <c r="E51" s="81"/>
      <c r="F51" s="83"/>
      <c r="G51" s="81"/>
      <c r="H51" s="83"/>
    </row>
    <row r="52" spans="3:8" x14ac:dyDescent="0.3">
      <c r="C52" s="87" t="s">
        <v>125</v>
      </c>
      <c r="D52" s="113">
        <v>43402</v>
      </c>
      <c r="E52" s="113">
        <v>43493</v>
      </c>
      <c r="F52" s="113"/>
      <c r="G52" s="113">
        <v>43521</v>
      </c>
      <c r="H52" s="113"/>
    </row>
    <row r="53" spans="3:8" x14ac:dyDescent="0.3">
      <c r="C53" s="87" t="s">
        <v>126</v>
      </c>
      <c r="D53" s="113">
        <v>43409</v>
      </c>
      <c r="E53" s="113">
        <v>43500</v>
      </c>
      <c r="F53" s="113"/>
      <c r="G53" s="113">
        <v>43528</v>
      </c>
      <c r="H53" s="113"/>
    </row>
    <row r="54" spans="3:8" x14ac:dyDescent="0.3">
      <c r="C54" s="87" t="s">
        <v>90</v>
      </c>
      <c r="D54" s="113">
        <v>43370</v>
      </c>
      <c r="E54" s="113">
        <v>43437</v>
      </c>
      <c r="F54" s="113">
        <v>43489</v>
      </c>
      <c r="G54" s="113">
        <v>43514</v>
      </c>
      <c r="H54" s="113">
        <v>43542</v>
      </c>
    </row>
    <row r="55" spans="3:8" x14ac:dyDescent="0.3">
      <c r="C55" s="87" t="s">
        <v>127</v>
      </c>
      <c r="D55" s="113">
        <v>43360</v>
      </c>
      <c r="E55" s="113">
        <v>43451</v>
      </c>
      <c r="F55" s="113"/>
      <c r="G55" s="113">
        <v>43479</v>
      </c>
      <c r="H55" s="113"/>
    </row>
    <row r="56" spans="3:8" x14ac:dyDescent="0.3">
      <c r="D56" s="55">
        <f>+_xlfn.DAYS(D52,D36)</f>
        <v>17</v>
      </c>
      <c r="E56" s="55">
        <f t="shared" ref="E56:H56" si="1">+_xlfn.DAYS(E52,E36)</f>
        <v>18</v>
      </c>
      <c r="F56" s="55">
        <f t="shared" si="1"/>
        <v>0</v>
      </c>
      <c r="G56" s="55">
        <f t="shared" si="1"/>
        <v>18</v>
      </c>
      <c r="H56" s="55">
        <f t="shared" si="1"/>
        <v>0</v>
      </c>
    </row>
    <row r="57" spans="3:8" x14ac:dyDescent="0.3">
      <c r="D57" s="55">
        <f t="shared" ref="D57:H59" si="2">+_xlfn.DAYS(D53,D37)</f>
        <v>17</v>
      </c>
      <c r="E57" s="55">
        <f t="shared" si="2"/>
        <v>18</v>
      </c>
      <c r="F57" s="55">
        <f t="shared" si="2"/>
        <v>0</v>
      </c>
      <c r="G57" s="55">
        <f t="shared" si="2"/>
        <v>18</v>
      </c>
      <c r="H57" s="55">
        <f t="shared" si="2"/>
        <v>0</v>
      </c>
    </row>
    <row r="58" spans="3:8" x14ac:dyDescent="0.3">
      <c r="D58" s="55">
        <f t="shared" si="2"/>
        <v>15</v>
      </c>
      <c r="E58" s="55">
        <f t="shared" si="2"/>
        <v>17</v>
      </c>
      <c r="F58" s="55">
        <f t="shared" si="2"/>
        <v>15</v>
      </c>
      <c r="G58" s="55">
        <f t="shared" si="2"/>
        <v>17</v>
      </c>
      <c r="H58" s="55">
        <f t="shared" si="2"/>
        <v>18</v>
      </c>
    </row>
    <row r="59" spans="3:8" x14ac:dyDescent="0.3">
      <c r="D59" s="55">
        <f t="shared" si="2"/>
        <v>17</v>
      </c>
      <c r="E59" s="55">
        <f t="shared" si="2"/>
        <v>18</v>
      </c>
      <c r="F59" s="55">
        <f t="shared" si="2"/>
        <v>0</v>
      </c>
      <c r="G59" s="55">
        <f t="shared" si="2"/>
        <v>17</v>
      </c>
      <c r="H59" s="55">
        <f t="shared" si="2"/>
        <v>0</v>
      </c>
    </row>
    <row r="60" spans="3:8" x14ac:dyDescent="0.3">
      <c r="D60" s="121">
        <f>+D52</f>
        <v>43402</v>
      </c>
      <c r="E60" s="121">
        <f t="shared" ref="E60:H60" si="3">+E52</f>
        <v>43493</v>
      </c>
      <c r="F60" s="121">
        <f t="shared" si="3"/>
        <v>0</v>
      </c>
      <c r="G60" s="121">
        <f t="shared" si="3"/>
        <v>43521</v>
      </c>
      <c r="H60" s="121">
        <f t="shared" si="3"/>
        <v>0</v>
      </c>
    </row>
    <row r="61" spans="3:8" x14ac:dyDescent="0.3">
      <c r="D61" s="121">
        <f t="shared" ref="D61:H63" si="4">+D53</f>
        <v>43409</v>
      </c>
      <c r="E61" s="121">
        <f t="shared" si="4"/>
        <v>43500</v>
      </c>
      <c r="F61" s="121">
        <f t="shared" si="4"/>
        <v>0</v>
      </c>
      <c r="G61" s="121">
        <f t="shared" si="4"/>
        <v>43528</v>
      </c>
      <c r="H61" s="121">
        <f t="shared" si="4"/>
        <v>0</v>
      </c>
    </row>
    <row r="62" spans="3:8" x14ac:dyDescent="0.3">
      <c r="D62" s="121">
        <f t="shared" si="4"/>
        <v>43370</v>
      </c>
      <c r="E62" s="121">
        <f t="shared" si="4"/>
        <v>43437</v>
      </c>
      <c r="F62" s="121">
        <f t="shared" si="4"/>
        <v>43489</v>
      </c>
      <c r="G62" s="121">
        <f t="shared" si="4"/>
        <v>43514</v>
      </c>
      <c r="H62" s="121">
        <f t="shared" si="4"/>
        <v>43542</v>
      </c>
    </row>
    <row r="63" spans="3:8" x14ac:dyDescent="0.3">
      <c r="D63" s="121">
        <f t="shared" si="4"/>
        <v>43360</v>
      </c>
      <c r="E63" s="121">
        <f t="shared" si="4"/>
        <v>43451</v>
      </c>
      <c r="F63" s="121">
        <f t="shared" si="4"/>
        <v>0</v>
      </c>
      <c r="G63" s="121">
        <f t="shared" si="4"/>
        <v>43479</v>
      </c>
      <c r="H63" s="121">
        <f t="shared" si="4"/>
        <v>0</v>
      </c>
    </row>
  </sheetData>
  <mergeCells count="18">
    <mergeCell ref="D40:H40"/>
    <mergeCell ref="E41:F41"/>
    <mergeCell ref="G41:H41"/>
    <mergeCell ref="E49:F49"/>
    <mergeCell ref="G49:H49"/>
    <mergeCell ref="E33:F33"/>
    <mergeCell ref="G33:H33"/>
    <mergeCell ref="B2:K2"/>
    <mergeCell ref="D3:E3"/>
    <mergeCell ref="F3:H3"/>
    <mergeCell ref="I3:K3"/>
    <mergeCell ref="B18:K18"/>
    <mergeCell ref="C26:K26"/>
    <mergeCell ref="C27:K27"/>
    <mergeCell ref="C28:K28"/>
    <mergeCell ref="C29:K29"/>
    <mergeCell ref="C30:K30"/>
    <mergeCell ref="B32:K32"/>
  </mergeCells>
  <printOptions gridLines="1"/>
  <pageMargins left="0.70866141732283472" right="0.70866141732283472" top="0.74803149606299213" bottom="0.74803149606299213" header="0.31496062992125984" footer="0.31496062992125984"/>
  <pageSetup paperSize="8" orientation="landscape" r:id="rId1"/>
  <headerFooter>
    <oddFooter>&amp;L&amp;1#&amp;"Calibri"&amp;8 Sensitivity: LNT Construction Internal Use</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J24"/>
  <sheetViews>
    <sheetView workbookViewId="0">
      <selection activeCell="F15" sqref="F15"/>
    </sheetView>
  </sheetViews>
  <sheetFormatPr defaultRowHeight="14.4" x14ac:dyDescent="0.3"/>
  <cols>
    <col min="1" max="1" width="11.44140625" bestFit="1" customWidth="1"/>
    <col min="2" max="2" width="12" bestFit="1" customWidth="1"/>
    <col min="3" max="3" width="13.44140625" bestFit="1" customWidth="1"/>
    <col min="4" max="4" width="59.88671875" bestFit="1" customWidth="1"/>
    <col min="5" max="5" width="22.44140625" customWidth="1"/>
    <col min="6" max="6" width="9.88671875" bestFit="1" customWidth="1"/>
    <col min="7" max="8" width="10.109375" bestFit="1" customWidth="1"/>
  </cols>
  <sheetData>
    <row r="1" spans="1:10" s="136" customFormat="1" x14ac:dyDescent="0.3">
      <c r="A1" s="160" t="s">
        <v>174</v>
      </c>
      <c r="B1" s="160" t="s">
        <v>176</v>
      </c>
      <c r="C1" s="160" t="s">
        <v>175</v>
      </c>
      <c r="D1" s="160" t="s">
        <v>177</v>
      </c>
      <c r="E1" s="160" t="s">
        <v>1319</v>
      </c>
      <c r="F1" s="160" t="s">
        <v>34</v>
      </c>
      <c r="G1" s="160" t="s">
        <v>67</v>
      </c>
      <c r="H1" s="160" t="s">
        <v>133</v>
      </c>
    </row>
    <row r="2" spans="1:10" x14ac:dyDescent="0.3">
      <c r="A2" s="55" t="str">
        <f>+'[2]Doc Set'!A11</f>
        <v>O17203</v>
      </c>
      <c r="B2" s="55" t="str">
        <f>+'[2]Doc Set'!B11</f>
        <v>SP</v>
      </c>
      <c r="C2" s="55" t="str">
        <f>+'[2]Doc Set'!C11</f>
        <v>L - ELV systems</v>
      </c>
      <c r="D2" s="55" t="str">
        <f>+'[2]Doc Set'!D11</f>
        <v>01 - Exhibition Hall 1 with Grand Foyer and EH1 Basement parking</v>
      </c>
      <c r="E2" s="55" t="str">
        <f>+'[2]Doc Set'!E11</f>
        <v>EH1-SCHEME</v>
      </c>
      <c r="F2" s="180">
        <f>+COUNTIF([2]EH1!M:M,'elv BLG (2)'!E2)</f>
        <v>6</v>
      </c>
      <c r="G2" s="180">
        <f>+COUNTIF([2]EH1!O:O,'elv BLG (2)'!E2)</f>
        <v>0</v>
      </c>
      <c r="H2" s="180">
        <f>+COUNTIF([2]EH1!Q:Q,'elv BLG (2)'!E2)</f>
        <v>0</v>
      </c>
    </row>
    <row r="3" spans="1:10" x14ac:dyDescent="0.3">
      <c r="A3" s="55" t="str">
        <f>+'[2]Doc Set'!A12</f>
        <v>O17203</v>
      </c>
      <c r="B3" s="55" t="str">
        <f>+'[2]Doc Set'!B12</f>
        <v>SP</v>
      </c>
      <c r="C3" s="55" t="str">
        <f>+'[2]Doc Set'!C12</f>
        <v>L - ELV systems</v>
      </c>
      <c r="D3" s="55" t="str">
        <f>+'[2]Doc Set'!D12</f>
        <v>01 - Exhibition Hall 1 with Grand Foyer and EH1 Basement parking</v>
      </c>
      <c r="E3" s="55" t="str">
        <f>+'[2]Doc Set'!E12</f>
        <v>EH1-SS_B</v>
      </c>
      <c r="F3" s="180">
        <f>+COUNTIF([2]EH1!M:M,'elv BLG (2)'!E3)</f>
        <v>9</v>
      </c>
      <c r="G3" s="180">
        <f>+COUNTIF([2]EH1!O:O,'elv BLG (2)'!E3)</f>
        <v>15</v>
      </c>
      <c r="H3" s="180">
        <f>+COUNTIF([2]EH1!Q:Q,'elv BLG (2)'!E3)</f>
        <v>15</v>
      </c>
    </row>
    <row r="4" spans="1:10" x14ac:dyDescent="0.3">
      <c r="A4" s="55" t="str">
        <f>+'[2]Doc Set'!A10</f>
        <v>O17203</v>
      </c>
      <c r="B4" s="55" t="str">
        <f>+'[2]Doc Set'!B10</f>
        <v>SP</v>
      </c>
      <c r="C4" s="55" t="str">
        <f>+'[2]Doc Set'!C10</f>
        <v>L - ELV systems</v>
      </c>
      <c r="D4" s="55" t="str">
        <f>+'[2]Doc Set'!D10</f>
        <v>01 - Exhibition Hall 1 with Grand Foyer and EH1 Basement parking</v>
      </c>
      <c r="E4" s="55" t="str">
        <f>+'[2]Doc Set'!E10</f>
        <v>EH1-INT_D</v>
      </c>
      <c r="F4" s="180">
        <f>+COUNTIF([2]EH1!M:M,'elv BLG (2)'!E4)</f>
        <v>82</v>
      </c>
      <c r="G4" s="180">
        <f>+COUNTIF([2]EH1!O:O,'elv BLG (2)'!E4)</f>
        <v>82</v>
      </c>
      <c r="H4" s="180">
        <f>+COUNTIF([2]EH1!Q:Q,'elv BLG (2)'!E4)</f>
        <v>82</v>
      </c>
      <c r="J4">
        <v>97</v>
      </c>
    </row>
    <row r="5" spans="1:10" x14ac:dyDescent="0.3">
      <c r="A5" s="55" t="str">
        <f>+'[2]Doc Set'!A14</f>
        <v>O17203</v>
      </c>
      <c r="B5" s="55" t="str">
        <f>+'[2]Doc Set'!B14</f>
        <v>SP</v>
      </c>
      <c r="C5" s="55" t="str">
        <f>+'[2]Doc Set'!C14</f>
        <v>L - ELV systems</v>
      </c>
      <c r="D5" s="55" t="str">
        <f>+'[2]Doc Set'!D14</f>
        <v>02 - Exhibition Hall 2 with Grand Foyer and EH2 Basement parking</v>
      </c>
      <c r="E5" s="55" t="str">
        <f>+'[2]Doc Set'!E14</f>
        <v>EH2-SCHEME</v>
      </c>
      <c r="F5" s="180">
        <f>+COUNTIF([2]EH2!M:M,'elv BLG (2)'!E5)</f>
        <v>3</v>
      </c>
      <c r="G5" s="180">
        <f>+COUNTIF([2]EH2!O:O,'elv BLG (2)'!E5)</f>
        <v>0</v>
      </c>
      <c r="H5" s="180">
        <f>+COUNTIF([2]EH2!Q:Q,'elv BLG (2)'!E5)</f>
        <v>0</v>
      </c>
    </row>
    <row r="6" spans="1:10" ht="30" customHeight="1" x14ac:dyDescent="0.3">
      <c r="A6" s="55" t="str">
        <f>+'[2]Doc Set'!A15</f>
        <v>O17203</v>
      </c>
      <c r="B6" s="55" t="str">
        <f>+'[2]Doc Set'!B15</f>
        <v>SP</v>
      </c>
      <c r="C6" s="55" t="str">
        <f>+'[2]Doc Set'!C15</f>
        <v>L - ELV systems</v>
      </c>
      <c r="D6" s="55" t="str">
        <f>+'[2]Doc Set'!D15</f>
        <v>02 - Exhibition Hall 2 with Grand Foyer and EH2 Basement parking</v>
      </c>
      <c r="E6" s="55" t="str">
        <f>+'[2]Doc Set'!E15</f>
        <v>EH2-SS_B</v>
      </c>
      <c r="F6" s="180">
        <f>+COUNTIF([2]EH2!M:M,'elv BLG (2)'!E6)</f>
        <v>14</v>
      </c>
      <c r="G6" s="180">
        <f>+COUNTIF([2]EH2!O:O,'elv BLG (2)'!E6)</f>
        <v>17</v>
      </c>
      <c r="H6" s="180">
        <f>+COUNTIF([2]EH2!Q:Q,'elv BLG (2)'!E6)</f>
        <v>17</v>
      </c>
    </row>
    <row r="7" spans="1:10" x14ac:dyDescent="0.3">
      <c r="A7" s="55" t="str">
        <f>+'[2]Doc Set'!A13</f>
        <v>O17203</v>
      </c>
      <c r="B7" s="55" t="str">
        <f>+'[2]Doc Set'!B13</f>
        <v>SP</v>
      </c>
      <c r="C7" s="55" t="str">
        <f>+'[2]Doc Set'!C13</f>
        <v>L - ELV systems</v>
      </c>
      <c r="D7" s="55" t="str">
        <f>+'[2]Doc Set'!D13</f>
        <v>02 - Exhibition Hall 2 with Grand Foyer and EH2 Basement parking</v>
      </c>
      <c r="E7" s="55" t="str">
        <f>+'[2]Doc Set'!E13</f>
        <v>EH2-INT_D</v>
      </c>
      <c r="F7" s="180">
        <f>+COUNTIF([2]EH2!M:M,'elv BLG (2)'!E7)</f>
        <v>77</v>
      </c>
      <c r="G7" s="180">
        <f>+COUNTIF([2]EH2!O:O,'elv BLG (2)'!E7)</f>
        <v>77</v>
      </c>
      <c r="H7" s="180">
        <f>+COUNTIF([2]EH2!Q:Q,'elv BLG (2)'!E7)</f>
        <v>77</v>
      </c>
      <c r="J7">
        <v>94</v>
      </c>
    </row>
    <row r="8" spans="1:10" ht="15" customHeight="1" x14ac:dyDescent="0.3">
      <c r="A8" s="55" t="str">
        <f>+'[2]Doc Set'!A16</f>
        <v>O17203</v>
      </c>
      <c r="B8" s="55" t="str">
        <f>+'[2]Doc Set'!B16</f>
        <v>SP</v>
      </c>
      <c r="C8" s="55" t="str">
        <f>+'[2]Doc Set'!C16</f>
        <v>L - ELV systems</v>
      </c>
      <c r="D8" s="55" t="str">
        <f>+'[2]Doc Set'!D16</f>
        <v>03 - Exhibition Hall 3 Service Building</v>
      </c>
      <c r="E8" s="55" t="str">
        <f>+'[2]Doc Set'!E16</f>
        <v>EH3-SCHEME</v>
      </c>
      <c r="F8" s="180">
        <f>+COUNTIF([2]EH3!M:M,'elv BLG (2)'!E8)</f>
        <v>0</v>
      </c>
      <c r="G8" s="180">
        <f>+COUNTIF([2]EH3!O:O,'elv BLG (2)'!E8)</f>
        <v>0</v>
      </c>
      <c r="H8" s="180">
        <f>+COUNTIF([2]EH3!Q:Q,'elv BLG (2)'!E8)</f>
        <v>0</v>
      </c>
    </row>
    <row r="9" spans="1:10" ht="15" customHeight="1" x14ac:dyDescent="0.3">
      <c r="A9" s="55" t="str">
        <f>+'[2]Doc Set'!A17</f>
        <v>O17203</v>
      </c>
      <c r="B9" s="55" t="str">
        <f>+'[2]Doc Set'!B17</f>
        <v>SP</v>
      </c>
      <c r="C9" s="55" t="str">
        <f>+'[2]Doc Set'!C17</f>
        <v>L - ELV systems</v>
      </c>
      <c r="D9" s="55" t="str">
        <f>+'[2]Doc Set'!D17</f>
        <v>03 - Exhibition Hall 3 Service Building</v>
      </c>
      <c r="E9" s="55" t="str">
        <f>+'[2]Doc Set'!E17</f>
        <v>EH3-SS_B</v>
      </c>
      <c r="F9" s="180">
        <f>+COUNTIF([2]EH3!M:M,'elv BLG (2)'!E9)</f>
        <v>18</v>
      </c>
      <c r="G9" s="180">
        <f>+COUNTIF([2]EH3!O:O,'elv BLG (2)'!E9)</f>
        <v>18</v>
      </c>
      <c r="H9" s="180">
        <f>+COUNTIF([2]EH3!Q:Q,'elv BLG (2)'!E9)</f>
        <v>18</v>
      </c>
      <c r="J9">
        <v>18</v>
      </c>
    </row>
    <row r="10" spans="1:10" x14ac:dyDescent="0.3">
      <c r="A10" s="55" t="str">
        <f>+'[2]Doc Set'!A7</f>
        <v>O17203</v>
      </c>
      <c r="B10" s="55" t="str">
        <f>+'[2]Doc Set'!B7</f>
        <v>SP</v>
      </c>
      <c r="C10" s="55" t="str">
        <f>+'[2]Doc Set'!C7</f>
        <v>L - ELV systems</v>
      </c>
      <c r="D10" s="55" t="str">
        <f>+'[2]Doc Set'!D7</f>
        <v>07 - Convention centre</v>
      </c>
      <c r="E10" s="55" t="str">
        <f>+'[2]Doc Set'!E7</f>
        <v>COC-SCHEME</v>
      </c>
      <c r="F10" s="180">
        <f>+COUNTIF([2]CC7!M:M,'elv BLG (2)'!E10)</f>
        <v>7</v>
      </c>
      <c r="G10" s="180">
        <f>+COUNTIF([2]CC7!O:O,'elv BLG (2)'!E10)</f>
        <v>0</v>
      </c>
      <c r="H10" s="180">
        <f>+COUNTIF([2]CC7!Q:Q,'elv BLG (2)'!E10)</f>
        <v>0</v>
      </c>
    </row>
    <row r="11" spans="1:10" x14ac:dyDescent="0.3">
      <c r="A11" s="55" t="str">
        <f>+'[2]Doc Set'!A5</f>
        <v>O17203</v>
      </c>
      <c r="B11" s="55" t="str">
        <f>+'[2]Doc Set'!B5</f>
        <v>SP</v>
      </c>
      <c r="C11" s="55" t="str">
        <f>+'[2]Doc Set'!C5</f>
        <v>L - ELV systems</v>
      </c>
      <c r="D11" s="55" t="str">
        <f>+'[2]Doc Set'!D5</f>
        <v>07 - Convention centre</v>
      </c>
      <c r="E11" s="55" t="str">
        <f>+'[2]Doc Set'!E5</f>
        <v>CC-SS_B</v>
      </c>
      <c r="F11" s="180">
        <f>+COUNTIF([2]CC7!M:M,'elv BLG (2)'!E11)</f>
        <v>21</v>
      </c>
      <c r="G11" s="180">
        <f>+COUNTIF([2]CC7!O:O,'elv BLG (2)'!E11)</f>
        <v>28</v>
      </c>
      <c r="H11" s="180">
        <f>+COUNTIF([2]CC7!Q:Q,'elv BLG (2)'!E11)</f>
        <v>28</v>
      </c>
    </row>
    <row r="12" spans="1:10" x14ac:dyDescent="0.3">
      <c r="A12" s="55" t="str">
        <f>+'[2]Doc Set'!A6</f>
        <v>O17203</v>
      </c>
      <c r="B12" s="55" t="str">
        <f>+'[2]Doc Set'!B6</f>
        <v>SP</v>
      </c>
      <c r="C12" s="55" t="str">
        <f>+'[2]Doc Set'!C6</f>
        <v>L - ELV systems</v>
      </c>
      <c r="D12" s="55" t="str">
        <f>+'[2]Doc Set'!D6</f>
        <v>07 - Convention centre</v>
      </c>
      <c r="E12" s="55" t="str">
        <f>+'[2]Doc Set'!E6</f>
        <v>CC-SS_C</v>
      </c>
      <c r="F12" s="180">
        <f>+COUNTIF([2]CC7!M:M,'elv BLG (2)'!E12)</f>
        <v>6</v>
      </c>
      <c r="G12" s="180">
        <f>+COUNTIF([2]CC7!O:O,'elv BLG (2)'!E12)</f>
        <v>6</v>
      </c>
      <c r="H12" s="180">
        <f>+COUNTIF([2]CC7!Q:Q,'elv BLG (2)'!E12)</f>
        <v>6</v>
      </c>
    </row>
    <row r="13" spans="1:10" x14ac:dyDescent="0.3">
      <c r="A13" s="55" t="str">
        <f>+'[2]Doc Set'!A2</f>
        <v>O17203</v>
      </c>
      <c r="B13" s="55" t="str">
        <f>+'[2]Doc Set'!B2</f>
        <v>SP</v>
      </c>
      <c r="C13" s="55" t="str">
        <f>+'[2]Doc Set'!C2</f>
        <v>L - ELV systems</v>
      </c>
      <c r="D13" s="55" t="str">
        <f>+'[2]Doc Set'!D2</f>
        <v>07 - Convention centre</v>
      </c>
      <c r="E13" s="55" t="str">
        <f>+'[2]Doc Set'!E2</f>
        <v>CC-INT_D</v>
      </c>
      <c r="F13" s="180">
        <f>+COUNTIF([2]CC7!M:M,'elv BLG (2)'!E13)</f>
        <v>53</v>
      </c>
      <c r="G13" s="180">
        <f>+COUNTIF([2]CC7!O:O,'elv BLG (2)'!E13)</f>
        <v>53</v>
      </c>
      <c r="H13" s="180">
        <f>+COUNTIF([2]CC7!Q:Q,'elv BLG (2)'!E13)</f>
        <v>53</v>
      </c>
      <c r="J13">
        <v>168</v>
      </c>
    </row>
    <row r="14" spans="1:10" x14ac:dyDescent="0.3">
      <c r="A14" s="55" t="str">
        <f>+'[2]Doc Set'!A3</f>
        <v>O17203</v>
      </c>
      <c r="B14" s="55" t="str">
        <f>+'[2]Doc Set'!B3</f>
        <v>SP</v>
      </c>
      <c r="C14" s="55" t="str">
        <f>+'[2]Doc Set'!C3</f>
        <v>L - ELV systems</v>
      </c>
      <c r="D14" s="55" t="str">
        <f>+'[2]Doc Set'!D3</f>
        <v>07 - Convention centre</v>
      </c>
      <c r="E14" s="55" t="str">
        <f>+'[2]Doc Set'!E3</f>
        <v>CC-INT_E</v>
      </c>
      <c r="F14" s="180">
        <f>+COUNTIF([2]CC7!M:M,'elv BLG (2)'!E14)</f>
        <v>81</v>
      </c>
      <c r="G14" s="180">
        <f>+COUNTIF([2]CC7!O:O,'elv BLG (2)'!E14)</f>
        <v>81</v>
      </c>
      <c r="H14" s="180">
        <f>+COUNTIF([2]CC7!Q:Q,'elv BLG (2)'!E14)</f>
        <v>81</v>
      </c>
    </row>
    <row r="15" spans="1:10" x14ac:dyDescent="0.3">
      <c r="A15" s="55" t="str">
        <f>+'[2]Doc Set'!A4</f>
        <v>O17203</v>
      </c>
      <c r="B15" s="55" t="str">
        <f>+'[2]Doc Set'!B4</f>
        <v>SP</v>
      </c>
      <c r="C15" s="55" t="str">
        <f>+'[2]Doc Set'!C4</f>
        <v>L - ELV systems</v>
      </c>
      <c r="D15" s="55" t="str">
        <f>+'[2]Doc Set'!D4</f>
        <v>38 - CC Parking</v>
      </c>
      <c r="E15" s="55" t="str">
        <f>+'[2]Doc Set'!E4</f>
        <v>CCP-SS_B</v>
      </c>
      <c r="F15" s="180">
        <f>+COUNTIF([2]CCP38!M:M,'elv BLG (2)'!E15)</f>
        <v>12</v>
      </c>
      <c r="G15" s="180">
        <f>+COUNTIF([2]CCP38!O:O,'elv BLG (2)'!E15)</f>
        <v>12</v>
      </c>
      <c r="H15" s="180">
        <f>+COUNTIF([2]CCP38!Q:Q,'elv BLG (2)'!E15)</f>
        <v>12</v>
      </c>
      <c r="J15">
        <v>12</v>
      </c>
    </row>
    <row r="16" spans="1:10" ht="15" customHeight="1" x14ac:dyDescent="0.3">
      <c r="A16" s="55" t="str">
        <f>+'[2]Doc Set'!A20</f>
        <v>O17203</v>
      </c>
      <c r="B16" s="55" t="str">
        <f>+'[2]Doc Set'!B20</f>
        <v>SP</v>
      </c>
      <c r="C16" s="55" t="str">
        <f>+'[2]Doc Set'!C20</f>
        <v>L - ELV systems</v>
      </c>
      <c r="D16" s="55" t="str">
        <f>+'[2]Doc Set'!D20</f>
        <v>00 - MASTER PLAN AND EXTERNAL WORKS</v>
      </c>
      <c r="E16" s="55" t="str">
        <f>+'[2]Doc Set'!E20</f>
        <v>OA-SCHEME</v>
      </c>
      <c r="F16" s="180">
        <f>+COUNTIF([2]MSP00!M:M,'elv BLG (2)'!E16)</f>
        <v>0</v>
      </c>
      <c r="G16" s="180">
        <f>+COUNTIF([2]MSP00!O:O,'elv BLG (2)'!E16)</f>
        <v>0</v>
      </c>
      <c r="H16" s="180">
        <f>+COUNTIF([2]MSP00!Q:Q,'elv BLG (2)'!E16)</f>
        <v>0</v>
      </c>
    </row>
    <row r="17" spans="1:10" ht="15" customHeight="1" x14ac:dyDescent="0.3">
      <c r="A17" s="55" t="str">
        <f>+'[2]Doc Set'!A19</f>
        <v>O17203</v>
      </c>
      <c r="B17" s="55" t="str">
        <f>+'[2]Doc Set'!B19</f>
        <v>SP</v>
      </c>
      <c r="C17" s="55" t="str">
        <f>+'[2]Doc Set'!C19</f>
        <v>L - ELV systems</v>
      </c>
      <c r="D17" s="55" t="str">
        <f>+'[2]Doc Set'!D19</f>
        <v>00 - MASTER PLAN AND EXTERNAL WORKS</v>
      </c>
      <c r="E17" s="55" t="str">
        <f>+'[2]Doc Set'!E19</f>
        <v>MSP-F_A</v>
      </c>
      <c r="F17" s="180">
        <f>+COUNTIF([2]MSP00!M:M,'elv BLG (2)'!E17)</f>
        <v>30</v>
      </c>
      <c r="G17" s="180">
        <f>+COUNTIF([2]MSP00!O:O,'elv BLG (2)'!E17)</f>
        <v>30</v>
      </c>
      <c r="H17" s="180">
        <f>+COUNTIF([2]MSP00!Q:Q,'elv BLG (2)'!E17)</f>
        <v>30</v>
      </c>
      <c r="J17">
        <v>30</v>
      </c>
    </row>
    <row r="18" spans="1:10" ht="15" customHeight="1" x14ac:dyDescent="0.3">
      <c r="A18" s="55" t="str">
        <f>+'[2]Doc Set'!A22</f>
        <v>O17203</v>
      </c>
      <c r="B18" s="55" t="str">
        <f>+'[2]Doc Set'!B22</f>
        <v>SP</v>
      </c>
      <c r="C18" s="55" t="str">
        <f>+'[2]Doc Set'!C22</f>
        <v>L - ELV systems</v>
      </c>
      <c r="D18" s="55" t="str">
        <f>+'[2]Doc Set'!D22</f>
        <v>0A - Service Gallery</v>
      </c>
      <c r="E18" s="55" t="str">
        <f>+'[2]Doc Set'!E22</f>
        <v>SG-SCHEME</v>
      </c>
      <c r="F18" s="180">
        <f>+COUNTIF([2]SG0A!M:M,'elv BLG (2)'!E18)</f>
        <v>0</v>
      </c>
      <c r="G18" s="180">
        <f>+COUNTIF([2]SG0A!O:O,'elv BLG (2)'!E18)</f>
        <v>0</v>
      </c>
      <c r="H18" s="180">
        <f>+COUNTIF([2]SG0A!Q:Q,'elv BLG (2)'!E18)</f>
        <v>0</v>
      </c>
    </row>
    <row r="19" spans="1:10" ht="15" customHeight="1" x14ac:dyDescent="0.3">
      <c r="A19" s="55" t="str">
        <f>+'[2]Doc Set'!A21</f>
        <v>O17203</v>
      </c>
      <c r="B19" s="55" t="str">
        <f>+'[2]Doc Set'!B21</f>
        <v>SP</v>
      </c>
      <c r="C19" s="55" t="str">
        <f>+'[2]Doc Set'!C21</f>
        <v>L - ELV systems</v>
      </c>
      <c r="D19" s="55" t="str">
        <f>+'[2]Doc Set'!D21</f>
        <v>0A - Service Gallery</v>
      </c>
      <c r="E19" s="55" t="str">
        <f>+'[2]Doc Set'!E21</f>
        <v>SG-F_A</v>
      </c>
      <c r="F19" s="180">
        <f>+COUNTIF([2]SG0A!M:M,'elv BLG (2)'!E19)</f>
        <v>11</v>
      </c>
      <c r="G19" s="180">
        <f>+COUNTIF([2]SG0A!O:O,'elv BLG (2)'!E19)</f>
        <v>11</v>
      </c>
      <c r="H19" s="180">
        <f>+COUNTIF([2]SG0A!Q:Q,'elv BLG (2)'!E19)</f>
        <v>11</v>
      </c>
      <c r="J19">
        <v>11</v>
      </c>
    </row>
    <row r="20" spans="1:10" x14ac:dyDescent="0.3">
      <c r="A20" s="55" t="str">
        <f>+'[2]Doc Set'!A9</f>
        <v>O17203</v>
      </c>
      <c r="B20" s="55" t="str">
        <f>+'[2]Doc Set'!B9</f>
        <v>SP</v>
      </c>
      <c r="C20" s="55" t="str">
        <f>+'[2]Doc Set'!C9</f>
        <v>L - ELV systems</v>
      </c>
      <c r="D20" s="55" t="str">
        <f>+'[2]Doc Set'!D9</f>
        <v>30 - DG Yard and Electrical Sub Stations</v>
      </c>
      <c r="E20" s="55" t="str">
        <f>+'[2]Doc Set'!E9</f>
        <v>DG-SCHEME</v>
      </c>
      <c r="F20" s="180">
        <f>+COUNTIF([2]DG30!M:M,'elv BLG (2)'!E20)</f>
        <v>0</v>
      </c>
      <c r="G20" s="180">
        <f>+COUNTIF([2]DG30!O:O,'elv BLG (2)'!E20)</f>
        <v>0</v>
      </c>
      <c r="H20" s="180">
        <f>+COUNTIF([2]DG30!Q:Q,'elv BLG (2)'!E20)</f>
        <v>0</v>
      </c>
    </row>
    <row r="21" spans="1:10" x14ac:dyDescent="0.3">
      <c r="A21" s="55" t="str">
        <f>+'[2]Doc Set'!A8</f>
        <v>O17203</v>
      </c>
      <c r="B21" s="55" t="str">
        <f>+'[2]Doc Set'!B8</f>
        <v>SP</v>
      </c>
      <c r="C21" s="55" t="str">
        <f>+'[2]Doc Set'!C8</f>
        <v>L - ELV systems</v>
      </c>
      <c r="D21" s="55" t="str">
        <f>+'[2]Doc Set'!D8</f>
        <v>30 - DG Yard and Electrical Sub Stations</v>
      </c>
      <c r="E21" s="55" t="str">
        <f>+'[2]Doc Set'!E8</f>
        <v>DG-F_A</v>
      </c>
      <c r="F21" s="180">
        <f>+COUNTIF([2]DG30!M:M,'elv BLG (2)'!E21)</f>
        <v>9</v>
      </c>
      <c r="G21" s="180">
        <f>+COUNTIF([2]DG30!O:O,'elv BLG (2)'!E21)</f>
        <v>9</v>
      </c>
      <c r="H21" s="180">
        <f>+COUNTIF([2]DG30!Q:Q,'elv BLG (2)'!E21)</f>
        <v>9</v>
      </c>
      <c r="J21">
        <v>9</v>
      </c>
    </row>
    <row r="22" spans="1:10" ht="30" customHeight="1" x14ac:dyDescent="0.3">
      <c r="A22" s="55" t="str">
        <f>+'[2]Doc Set'!A18</f>
        <v>O17203</v>
      </c>
      <c r="B22" s="55" t="str">
        <f>+'[2]Doc Set'!B18</f>
        <v>SP</v>
      </c>
      <c r="C22" s="55" t="str">
        <f>+'[2]Doc Set'!C18</f>
        <v>L - ELV systems</v>
      </c>
      <c r="D22" s="55" t="str">
        <f>+'[2]Doc Set'!D18</f>
        <v>31 - Fire Station</v>
      </c>
      <c r="E22" s="55" t="str">
        <f>+'[2]Doc Set'!E18</f>
        <v>FS-F_A</v>
      </c>
      <c r="F22" s="180">
        <f>+COUNTIF([2]FS31!M:M,'elv BLG (2)'!E22)</f>
        <v>2</v>
      </c>
      <c r="G22" s="180">
        <f>+COUNTIF([2]FS31!O:O,'elv BLG (2)'!E22)</f>
        <v>2</v>
      </c>
      <c r="H22" s="180">
        <f>+COUNTIF([2]FS31!Q:Q,'elv BLG (2)'!E22)</f>
        <v>2</v>
      </c>
      <c r="J22">
        <v>2</v>
      </c>
    </row>
    <row r="23" spans="1:10" ht="15" customHeight="1" x14ac:dyDescent="0.3">
      <c r="A23" s="55"/>
      <c r="B23" s="55"/>
      <c r="C23" s="55"/>
      <c r="D23" s="55"/>
      <c r="E23" s="55"/>
      <c r="F23" s="55"/>
      <c r="G23" s="55"/>
      <c r="H23" s="55"/>
    </row>
    <row r="24" spans="1:10" x14ac:dyDescent="0.3">
      <c r="A24" s="55"/>
      <c r="B24" s="55"/>
      <c r="C24" s="55"/>
      <c r="D24" s="55"/>
      <c r="E24" s="55" t="s">
        <v>1329</v>
      </c>
      <c r="F24" s="181">
        <f>SUM(F2:F23)</f>
        <v>441</v>
      </c>
      <c r="G24" s="181">
        <f t="shared" ref="G24:H24" si="0">SUM(G2:G23)</f>
        <v>441</v>
      </c>
      <c r="H24" s="181">
        <f t="shared" si="0"/>
        <v>441</v>
      </c>
      <c r="I24" s="181"/>
      <c r="J24" s="181">
        <f t="shared" ref="J24" si="1">SUM(J2:J23)</f>
        <v>441</v>
      </c>
    </row>
  </sheetData>
  <pageMargins left="0.7" right="0.7" top="0.75" bottom="0.75" header="0.3" footer="0.3"/>
  <pageSetup orientation="portrait" r:id="rId1"/>
  <headerFooter>
    <oddFooter>&amp;L&amp;1#&amp;"Calibri"&amp;8 Sensitivity: LNT Construction Internal Use</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pageSetUpPr fitToPage="1"/>
  </sheetPr>
  <dimension ref="B1:J31"/>
  <sheetViews>
    <sheetView view="pageBreakPreview" zoomScale="115" zoomScaleNormal="115" zoomScaleSheetLayoutView="115" workbookViewId="0">
      <selection activeCell="F19" sqref="F19"/>
    </sheetView>
  </sheetViews>
  <sheetFormatPr defaultColWidth="9.109375" defaultRowHeight="14.4" x14ac:dyDescent="0.3"/>
  <cols>
    <col min="1" max="1" width="2.44140625" customWidth="1"/>
    <col min="2" max="2" width="17.44140625" customWidth="1"/>
    <col min="3" max="3" width="50.44140625" customWidth="1"/>
    <col min="4" max="10" width="12.109375" customWidth="1"/>
  </cols>
  <sheetData>
    <row r="1" spans="2:10" ht="17.399999999999999" x14ac:dyDescent="0.3">
      <c r="B1" s="64" t="s">
        <v>68</v>
      </c>
      <c r="C1" s="65"/>
      <c r="D1" s="65"/>
      <c r="E1" s="65"/>
      <c r="F1" s="65"/>
      <c r="G1" s="65"/>
      <c r="H1" s="65"/>
      <c r="I1" s="65"/>
      <c r="J1" s="65"/>
    </row>
    <row r="2" spans="2:10" ht="15.6" x14ac:dyDescent="0.3">
      <c r="B2" s="256" t="s">
        <v>1327</v>
      </c>
      <c r="C2" s="256"/>
      <c r="D2" s="256"/>
      <c r="E2" s="256"/>
      <c r="F2" s="256"/>
      <c r="G2" s="256"/>
      <c r="H2" s="256"/>
      <c r="I2" s="256"/>
      <c r="J2" s="256"/>
    </row>
    <row r="3" spans="2:10" x14ac:dyDescent="0.3">
      <c r="B3" s="67" t="s">
        <v>70</v>
      </c>
      <c r="C3" s="68" t="s">
        <v>71</v>
      </c>
      <c r="D3" s="175" t="s">
        <v>72</v>
      </c>
      <c r="E3" s="257" t="s">
        <v>73</v>
      </c>
      <c r="F3" s="258"/>
      <c r="G3" s="259"/>
      <c r="H3" s="257" t="s">
        <v>74</v>
      </c>
      <c r="I3" s="258"/>
      <c r="J3" s="259"/>
    </row>
    <row r="4" spans="2:10" x14ac:dyDescent="0.3">
      <c r="B4" s="69"/>
      <c r="C4" s="68" t="s">
        <v>75</v>
      </c>
      <c r="D4" s="70" t="s">
        <v>76</v>
      </c>
      <c r="E4" s="70" t="s">
        <v>77</v>
      </c>
      <c r="F4" s="67" t="s">
        <v>78</v>
      </c>
      <c r="G4" s="109" t="s">
        <v>79</v>
      </c>
      <c r="H4" s="70" t="s">
        <v>80</v>
      </c>
      <c r="I4" s="67" t="s">
        <v>81</v>
      </c>
      <c r="J4" s="109" t="s">
        <v>82</v>
      </c>
    </row>
    <row r="5" spans="2:10" x14ac:dyDescent="0.3">
      <c r="B5" s="77"/>
      <c r="C5" s="78"/>
      <c r="D5" s="79"/>
      <c r="E5" s="81"/>
      <c r="F5" s="82"/>
      <c r="G5" s="83"/>
      <c r="H5" s="84"/>
      <c r="I5" s="77"/>
      <c r="J5" s="85"/>
    </row>
    <row r="6" spans="2:10" x14ac:dyDescent="0.3">
      <c r="B6" s="86" t="s">
        <v>83</v>
      </c>
      <c r="C6" s="87" t="s">
        <v>84</v>
      </c>
      <c r="D6" s="88">
        <v>43159</v>
      </c>
      <c r="E6" s="176">
        <v>43187</v>
      </c>
      <c r="F6" s="177">
        <v>43222</v>
      </c>
      <c r="G6" s="93"/>
      <c r="H6" s="176">
        <v>43215</v>
      </c>
      <c r="I6" s="177">
        <v>43257</v>
      </c>
      <c r="J6" s="93"/>
    </row>
    <row r="7" spans="2:10" x14ac:dyDescent="0.3">
      <c r="B7" s="86" t="s">
        <v>85</v>
      </c>
      <c r="C7" s="87" t="s">
        <v>86</v>
      </c>
      <c r="D7" s="88">
        <v>43160</v>
      </c>
      <c r="E7" s="176">
        <v>43188</v>
      </c>
      <c r="F7" s="177">
        <v>43223</v>
      </c>
      <c r="G7" s="93"/>
      <c r="H7" s="176">
        <v>43216</v>
      </c>
      <c r="I7" s="177">
        <v>43258</v>
      </c>
      <c r="J7" s="93"/>
    </row>
    <row r="8" spans="2:10" x14ac:dyDescent="0.3">
      <c r="B8" s="86" t="s">
        <v>87</v>
      </c>
      <c r="C8" s="87" t="s">
        <v>88</v>
      </c>
      <c r="D8" s="88">
        <v>43184</v>
      </c>
      <c r="E8" s="176">
        <v>43212</v>
      </c>
      <c r="F8" s="177">
        <v>43247</v>
      </c>
      <c r="G8" s="93"/>
      <c r="H8" s="176">
        <v>43240</v>
      </c>
      <c r="I8" s="177">
        <v>43282</v>
      </c>
      <c r="J8" s="93"/>
    </row>
    <row r="9" spans="2:10" x14ac:dyDescent="0.3">
      <c r="B9" s="86" t="s">
        <v>89</v>
      </c>
      <c r="C9" s="87" t="s">
        <v>90</v>
      </c>
      <c r="D9" s="88">
        <v>43166</v>
      </c>
      <c r="E9" s="176">
        <v>43199</v>
      </c>
      <c r="F9" s="177">
        <v>43245</v>
      </c>
      <c r="G9" s="93">
        <v>43301</v>
      </c>
      <c r="H9" s="176">
        <v>43229</v>
      </c>
      <c r="I9" s="177">
        <v>43273</v>
      </c>
      <c r="J9" s="93">
        <v>43329</v>
      </c>
    </row>
    <row r="10" spans="2:10" x14ac:dyDescent="0.3">
      <c r="B10" s="86" t="s">
        <v>91</v>
      </c>
      <c r="C10" s="87" t="s">
        <v>92</v>
      </c>
      <c r="D10" s="88">
        <v>43159</v>
      </c>
      <c r="E10" s="176">
        <v>43182</v>
      </c>
      <c r="F10" s="177">
        <v>43213</v>
      </c>
      <c r="G10" s="93"/>
      <c r="H10" s="176">
        <v>43210</v>
      </c>
      <c r="I10" s="177">
        <v>43252</v>
      </c>
      <c r="J10" s="93"/>
    </row>
    <row r="11" spans="2:10" x14ac:dyDescent="0.3">
      <c r="B11" s="86" t="s">
        <v>93</v>
      </c>
      <c r="C11" s="87" t="s">
        <v>94</v>
      </c>
      <c r="D11" s="88">
        <v>43175</v>
      </c>
      <c r="E11" s="176">
        <v>43206</v>
      </c>
      <c r="F11" s="177">
        <v>43236</v>
      </c>
      <c r="G11" s="93"/>
      <c r="H11" s="176">
        <v>43227</v>
      </c>
      <c r="I11" s="177"/>
      <c r="J11" s="93"/>
    </row>
    <row r="12" spans="2:10" x14ac:dyDescent="0.3">
      <c r="B12" s="86" t="s">
        <v>95</v>
      </c>
      <c r="C12" s="87" t="s">
        <v>96</v>
      </c>
      <c r="D12" s="88">
        <v>43195</v>
      </c>
      <c r="E12" s="176">
        <v>43223</v>
      </c>
      <c r="F12" s="177"/>
      <c r="G12" s="93"/>
      <c r="H12" s="176">
        <v>43258</v>
      </c>
      <c r="I12" s="177"/>
      <c r="J12" s="93"/>
    </row>
    <row r="13" spans="2:10" x14ac:dyDescent="0.3">
      <c r="B13" s="86" t="s">
        <v>97</v>
      </c>
      <c r="C13" s="87" t="s">
        <v>98</v>
      </c>
      <c r="D13" s="88">
        <v>43179</v>
      </c>
      <c r="E13" s="176">
        <v>43207</v>
      </c>
      <c r="F13" s="177"/>
      <c r="G13" s="93"/>
      <c r="H13" s="176">
        <v>43242</v>
      </c>
      <c r="I13" s="177"/>
      <c r="J13" s="93"/>
    </row>
    <row r="14" spans="2:10" x14ac:dyDescent="0.3">
      <c r="B14" s="86" t="s">
        <v>99</v>
      </c>
      <c r="C14" s="87" t="s">
        <v>100</v>
      </c>
      <c r="D14" s="88">
        <v>43176</v>
      </c>
      <c r="E14" s="176">
        <v>43204</v>
      </c>
      <c r="F14" s="177"/>
      <c r="G14" s="93"/>
      <c r="H14" s="176">
        <v>43239</v>
      </c>
      <c r="I14" s="177"/>
      <c r="J14" s="93"/>
    </row>
    <row r="15" spans="2:10" x14ac:dyDescent="0.3">
      <c r="B15" s="86" t="s">
        <v>101</v>
      </c>
      <c r="C15" s="87" t="s">
        <v>102</v>
      </c>
      <c r="D15" s="88">
        <v>43187</v>
      </c>
      <c r="E15" s="176">
        <v>43215</v>
      </c>
      <c r="F15" s="177"/>
      <c r="G15" s="93"/>
      <c r="H15" s="176">
        <v>43250</v>
      </c>
      <c r="I15" s="177"/>
      <c r="J15" s="93"/>
    </row>
    <row r="16" spans="2:10" x14ac:dyDescent="0.3">
      <c r="B16" s="97"/>
      <c r="C16" s="97"/>
      <c r="D16" s="98"/>
      <c r="E16" s="97"/>
      <c r="F16" s="97"/>
      <c r="G16" s="97"/>
      <c r="H16" s="97"/>
      <c r="I16" s="97"/>
      <c r="J16" s="97"/>
    </row>
    <row r="17" spans="2:10" x14ac:dyDescent="0.3">
      <c r="B17" s="99" t="s">
        <v>103</v>
      </c>
      <c r="C17" s="99"/>
      <c r="D17" s="98"/>
      <c r="E17" s="97"/>
      <c r="F17" s="97"/>
      <c r="G17" s="97"/>
      <c r="H17" s="97"/>
      <c r="I17" s="97"/>
      <c r="J17" s="97"/>
    </row>
    <row r="18" spans="2:10" ht="15.6" customHeight="1" x14ac:dyDescent="0.3">
      <c r="B18" s="260" t="s">
        <v>1328</v>
      </c>
      <c r="C18" s="260"/>
      <c r="D18" s="260"/>
      <c r="E18" s="260"/>
      <c r="F18" s="260"/>
      <c r="G18" s="260"/>
      <c r="H18" s="178"/>
      <c r="I18" s="178"/>
      <c r="J18" s="178"/>
    </row>
    <row r="19" spans="2:10" ht="15.6" customHeight="1" x14ac:dyDescent="0.3">
      <c r="B19" s="100"/>
      <c r="C19" s="100"/>
      <c r="D19" s="100"/>
      <c r="E19" s="100"/>
      <c r="F19" s="100"/>
      <c r="G19" s="100"/>
      <c r="H19" s="100"/>
      <c r="I19" s="100"/>
      <c r="J19" s="100"/>
    </row>
    <row r="20" spans="2:10" x14ac:dyDescent="0.3">
      <c r="B20" s="99" t="s">
        <v>76</v>
      </c>
      <c r="C20" s="99" t="s">
        <v>105</v>
      </c>
      <c r="D20" s="101"/>
      <c r="E20" s="102"/>
      <c r="F20" s="102"/>
      <c r="G20" s="97"/>
      <c r="H20" s="97"/>
      <c r="I20" s="97"/>
      <c r="J20" s="97"/>
    </row>
    <row r="21" spans="2:10" x14ac:dyDescent="0.3">
      <c r="B21" s="99" t="s">
        <v>106</v>
      </c>
      <c r="C21" s="99" t="s">
        <v>107</v>
      </c>
      <c r="D21" s="101"/>
      <c r="E21" s="102"/>
      <c r="F21" s="102"/>
      <c r="G21" s="97"/>
      <c r="H21" s="97"/>
      <c r="I21" s="97"/>
      <c r="J21" s="97"/>
    </row>
    <row r="22" spans="2:10" x14ac:dyDescent="0.3">
      <c r="B22" s="99" t="s">
        <v>108</v>
      </c>
      <c r="C22" s="99" t="s">
        <v>109</v>
      </c>
      <c r="D22" s="101"/>
      <c r="E22" s="102"/>
      <c r="F22" s="102"/>
      <c r="G22" s="97"/>
      <c r="H22" s="97"/>
      <c r="I22" s="97"/>
      <c r="J22" s="97"/>
    </row>
    <row r="23" spans="2:10" x14ac:dyDescent="0.3">
      <c r="B23" s="99" t="s">
        <v>78</v>
      </c>
      <c r="C23" s="99" t="s">
        <v>110</v>
      </c>
      <c r="D23" s="101"/>
      <c r="E23" s="102"/>
      <c r="F23" s="102"/>
    </row>
    <row r="24" spans="2:10" x14ac:dyDescent="0.3">
      <c r="D24" s="101"/>
      <c r="E24" s="102"/>
      <c r="F24" s="102"/>
    </row>
    <row r="25" spans="2:10" x14ac:dyDescent="0.3">
      <c r="B25" s="104" t="s">
        <v>111</v>
      </c>
      <c r="D25" s="101"/>
      <c r="E25" s="102"/>
      <c r="F25" s="102"/>
    </row>
    <row r="26" spans="2:10" ht="30.15" customHeight="1" x14ac:dyDescent="0.3">
      <c r="B26" s="179">
        <v>1</v>
      </c>
      <c r="C26" s="255" t="s">
        <v>112</v>
      </c>
      <c r="D26" s="255"/>
      <c r="E26" s="255"/>
      <c r="F26" s="255"/>
      <c r="G26" s="255"/>
      <c r="H26" s="255"/>
      <c r="I26" s="255"/>
      <c r="J26" s="255"/>
    </row>
    <row r="27" spans="2:10" ht="30.15" customHeight="1" x14ac:dyDescent="0.3">
      <c r="B27" s="179">
        <v>2</v>
      </c>
      <c r="C27" s="255" t="s">
        <v>113</v>
      </c>
      <c r="D27" s="255"/>
      <c r="E27" s="255"/>
      <c r="F27" s="255"/>
      <c r="G27" s="255"/>
      <c r="H27" s="255"/>
      <c r="I27" s="255"/>
      <c r="J27" s="255"/>
    </row>
    <row r="28" spans="2:10" ht="30.75" customHeight="1" x14ac:dyDescent="0.3">
      <c r="B28" s="179">
        <v>3</v>
      </c>
      <c r="C28" s="255" t="s">
        <v>114</v>
      </c>
      <c r="D28" s="255"/>
      <c r="E28" s="255"/>
      <c r="F28" s="255"/>
      <c r="G28" s="255"/>
      <c r="H28" s="255"/>
      <c r="I28" s="255"/>
      <c r="J28" s="255"/>
    </row>
    <row r="29" spans="2:10" ht="26.4" customHeight="1" x14ac:dyDescent="0.3">
      <c r="B29" s="179">
        <v>4</v>
      </c>
      <c r="C29" s="255" t="s">
        <v>115</v>
      </c>
      <c r="D29" s="255"/>
      <c r="E29" s="255"/>
      <c r="F29" s="255"/>
      <c r="G29" s="255"/>
      <c r="H29" s="255"/>
      <c r="I29" s="255"/>
      <c r="J29" s="255"/>
    </row>
    <row r="30" spans="2:10" x14ac:dyDescent="0.3">
      <c r="B30" s="179">
        <v>5</v>
      </c>
      <c r="C30" s="255" t="s">
        <v>116</v>
      </c>
      <c r="D30" s="255"/>
      <c r="E30" s="255"/>
      <c r="F30" s="255"/>
      <c r="G30" s="255"/>
      <c r="H30" s="255"/>
      <c r="I30" s="255"/>
      <c r="J30" s="255"/>
    </row>
    <row r="31" spans="2:10" x14ac:dyDescent="0.3">
      <c r="C31" s="106"/>
      <c r="D31" s="106"/>
      <c r="E31" s="106"/>
      <c r="F31" s="106"/>
      <c r="G31" s="106"/>
      <c r="H31" s="106"/>
      <c r="I31" s="106"/>
      <c r="J31" s="106"/>
    </row>
  </sheetData>
  <mergeCells count="9">
    <mergeCell ref="C28:J28"/>
    <mergeCell ref="C29:J29"/>
    <mergeCell ref="C30:J30"/>
    <mergeCell ref="B2:J2"/>
    <mergeCell ref="E3:G3"/>
    <mergeCell ref="H3:J3"/>
    <mergeCell ref="B18:G18"/>
    <mergeCell ref="C26:J26"/>
    <mergeCell ref="C27:J27"/>
  </mergeCells>
  <pageMargins left="0.7" right="0.7" top="0.75" bottom="0.75" header="0.3" footer="0.3"/>
  <pageSetup paperSize="8" orientation="landscape" r:id="rId1"/>
  <headerFooter>
    <oddFooter>&amp;L&amp;1#&amp;"Calibri"&amp;8 Sensitivity: LNT Construction Internal Use</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K22"/>
  <sheetViews>
    <sheetView zoomScale="70" zoomScaleNormal="70" workbookViewId="0">
      <selection activeCell="A21" sqref="A21:XFD21"/>
    </sheetView>
  </sheetViews>
  <sheetFormatPr defaultRowHeight="14.4" x14ac:dyDescent="0.3"/>
  <cols>
    <col min="1" max="1" width="11.44140625" bestFit="1" customWidth="1"/>
    <col min="2" max="2" width="12" bestFit="1" customWidth="1"/>
    <col min="3" max="3" width="13.44140625" bestFit="1" customWidth="1"/>
    <col min="4" max="4" width="59.88671875" bestFit="1" customWidth="1"/>
    <col min="5" max="5" width="22.44140625" customWidth="1"/>
    <col min="6" max="6" width="9.88671875" bestFit="1" customWidth="1"/>
    <col min="7" max="8" width="10.109375" bestFit="1" customWidth="1"/>
    <col min="9" max="9" width="10.88671875" bestFit="1" customWidth="1"/>
    <col min="10" max="10" width="10.6640625" customWidth="1"/>
    <col min="11" max="11" width="9.6640625" customWidth="1"/>
  </cols>
  <sheetData>
    <row r="1" spans="1:11" s="136" customFormat="1" x14ac:dyDescent="0.3">
      <c r="A1" s="136" t="s">
        <v>174</v>
      </c>
      <c r="B1" s="136" t="s">
        <v>176</v>
      </c>
      <c r="C1" s="136" t="s">
        <v>175</v>
      </c>
      <c r="D1" s="136" t="s">
        <v>177</v>
      </c>
      <c r="E1" s="136" t="s">
        <v>1319</v>
      </c>
      <c r="F1" s="136" t="s">
        <v>34</v>
      </c>
      <c r="G1" s="168" t="s">
        <v>67</v>
      </c>
      <c r="H1" s="136" t="s">
        <v>133</v>
      </c>
      <c r="J1" s="136" t="s">
        <v>1320</v>
      </c>
    </row>
    <row r="2" spans="1:11" x14ac:dyDescent="0.3">
      <c r="A2" s="55" t="s">
        <v>40</v>
      </c>
      <c r="B2" s="55" t="s">
        <v>191</v>
      </c>
      <c r="C2" s="55" t="s">
        <v>1321</v>
      </c>
      <c r="D2" s="169" t="s">
        <v>166</v>
      </c>
      <c r="E2" s="55" t="s">
        <v>199</v>
      </c>
      <c r="F2" s="170" t="s">
        <v>1322</v>
      </c>
      <c r="G2" s="171">
        <f>+'[2]L &amp; T MASTER'!E54</f>
        <v>43437</v>
      </c>
      <c r="H2" s="171">
        <f>+'[2]L &amp; T MASTER'!G54</f>
        <v>43514</v>
      </c>
    </row>
    <row r="3" spans="1:11" x14ac:dyDescent="0.3">
      <c r="A3" s="55" t="s">
        <v>40</v>
      </c>
      <c r="B3" s="55" t="s">
        <v>191</v>
      </c>
      <c r="C3" s="55" t="s">
        <v>1321</v>
      </c>
      <c r="D3" s="169" t="s">
        <v>166</v>
      </c>
      <c r="E3" s="55" t="s">
        <v>306</v>
      </c>
      <c r="F3" s="170" t="s">
        <v>1322</v>
      </c>
      <c r="G3" s="171">
        <f>+'[2]L &amp; T MASTER'!F54</f>
        <v>43489</v>
      </c>
      <c r="H3" s="171">
        <f>+'[2]L &amp; T MASTER'!H54</f>
        <v>43542</v>
      </c>
    </row>
    <row r="4" spans="1:11" x14ac:dyDescent="0.3">
      <c r="A4" s="55" t="s">
        <v>40</v>
      </c>
      <c r="B4" s="55" t="s">
        <v>191</v>
      </c>
      <c r="C4" s="55" t="s">
        <v>1321</v>
      </c>
      <c r="D4" s="172" t="s">
        <v>167</v>
      </c>
      <c r="E4" s="55" t="s">
        <v>1159</v>
      </c>
      <c r="F4" s="173" t="s">
        <v>1322</v>
      </c>
      <c r="G4" s="173">
        <f>+'[2]L &amp; T MASTER'!G10</f>
        <v>43260</v>
      </c>
      <c r="H4" s="173">
        <f>+'[2]L &amp; T MASTER'!J10</f>
        <v>43299</v>
      </c>
      <c r="J4">
        <f ca="1">+G4-TODAY()</f>
        <v>32</v>
      </c>
      <c r="K4">
        <f>+H4-G4</f>
        <v>39</v>
      </c>
    </row>
    <row r="5" spans="1:11" x14ac:dyDescent="0.3">
      <c r="A5" s="55" t="s">
        <v>40</v>
      </c>
      <c r="B5" s="55" t="s">
        <v>191</v>
      </c>
      <c r="C5" s="55" t="s">
        <v>1321</v>
      </c>
      <c r="D5" s="169" t="s">
        <v>166</v>
      </c>
      <c r="E5" s="55" t="s">
        <v>560</v>
      </c>
      <c r="F5" s="170" t="s">
        <v>1322</v>
      </c>
      <c r="G5" s="170">
        <f>+'[2]L &amp; T MASTER'!G9</f>
        <v>43278</v>
      </c>
      <c r="H5" s="170">
        <f>+'[2]L &amp; T MASTER'!J9</f>
        <v>43308</v>
      </c>
      <c r="J5">
        <f t="shared" ref="J5:J22" ca="1" si="0">+G5-TODAY()</f>
        <v>50</v>
      </c>
      <c r="K5">
        <f t="shared" ref="K5:K22" si="1">+H5-G5</f>
        <v>30</v>
      </c>
    </row>
    <row r="6" spans="1:11" x14ac:dyDescent="0.3">
      <c r="A6" s="55" t="s">
        <v>40</v>
      </c>
      <c r="B6" s="55" t="s">
        <v>191</v>
      </c>
      <c r="C6" s="55" t="s">
        <v>1321</v>
      </c>
      <c r="D6" s="169" t="s">
        <v>166</v>
      </c>
      <c r="E6" s="55" t="s">
        <v>647</v>
      </c>
      <c r="F6" s="170" t="s">
        <v>1322</v>
      </c>
      <c r="G6" s="173">
        <f>+'[2]L &amp; T MASTER'!H9</f>
        <v>43343</v>
      </c>
      <c r="H6" s="173">
        <f>+'[2]L &amp; T MASTER'!K9</f>
        <v>43371</v>
      </c>
      <c r="J6">
        <f t="shared" ca="1" si="0"/>
        <v>115</v>
      </c>
      <c r="K6">
        <f t="shared" si="1"/>
        <v>28</v>
      </c>
    </row>
    <row r="7" spans="1:11" x14ac:dyDescent="0.3">
      <c r="A7" s="55" t="s">
        <v>40</v>
      </c>
      <c r="B7" s="55" t="s">
        <v>191</v>
      </c>
      <c r="C7" s="55" t="s">
        <v>1321</v>
      </c>
      <c r="D7" s="169" t="s">
        <v>166</v>
      </c>
      <c r="E7" s="55" t="s">
        <v>559</v>
      </c>
      <c r="F7" s="173">
        <v>43185</v>
      </c>
      <c r="G7" s="170">
        <f>+'[2]L &amp; T MASTER'!G9</f>
        <v>43278</v>
      </c>
      <c r="H7" s="170">
        <f>+'[2]L &amp; T MASTER'!J9</f>
        <v>43308</v>
      </c>
      <c r="J7">
        <f t="shared" ca="1" si="0"/>
        <v>50</v>
      </c>
      <c r="K7">
        <f t="shared" si="1"/>
        <v>30</v>
      </c>
    </row>
    <row r="8" spans="1:11" x14ac:dyDescent="0.3">
      <c r="A8" s="55" t="s">
        <v>40</v>
      </c>
      <c r="B8" s="55" t="s">
        <v>191</v>
      </c>
      <c r="C8" s="55" t="s">
        <v>1321</v>
      </c>
      <c r="D8" s="169" t="s">
        <v>170</v>
      </c>
      <c r="E8" s="55" t="s">
        <v>1296</v>
      </c>
      <c r="F8" s="173" t="s">
        <v>1322</v>
      </c>
      <c r="G8" s="173">
        <f>+'[2]L &amp; T MASTER'!G14</f>
        <v>43266</v>
      </c>
      <c r="H8" s="173">
        <f>+'[2]L &amp; T MASTER'!J14</f>
        <v>43350</v>
      </c>
      <c r="J8">
        <f t="shared" ca="1" si="0"/>
        <v>38</v>
      </c>
      <c r="K8">
        <f t="shared" si="1"/>
        <v>84</v>
      </c>
    </row>
    <row r="9" spans="1:11" x14ac:dyDescent="0.3">
      <c r="A9" s="55" t="s">
        <v>40</v>
      </c>
      <c r="B9" s="55" t="s">
        <v>191</v>
      </c>
      <c r="C9" s="55" t="s">
        <v>1321</v>
      </c>
      <c r="D9" s="169" t="s">
        <v>170</v>
      </c>
      <c r="E9" s="55" t="s">
        <v>1323</v>
      </c>
      <c r="F9" s="173">
        <v>43185</v>
      </c>
      <c r="G9" s="173">
        <f>+'[2]L &amp; T MASTER'!G14</f>
        <v>43266</v>
      </c>
      <c r="H9" s="173">
        <f>+'[2]L &amp; T MASTER'!J14</f>
        <v>43350</v>
      </c>
      <c r="J9">
        <f t="shared" ca="1" si="0"/>
        <v>38</v>
      </c>
      <c r="K9">
        <f t="shared" si="1"/>
        <v>84</v>
      </c>
    </row>
    <row r="10" spans="1:11" x14ac:dyDescent="0.3">
      <c r="A10" s="55" t="s">
        <v>40</v>
      </c>
      <c r="B10" s="55" t="s">
        <v>191</v>
      </c>
      <c r="C10" s="55" t="s">
        <v>1321</v>
      </c>
      <c r="D10" s="172" t="s">
        <v>162</v>
      </c>
      <c r="E10" s="55" t="s">
        <v>714</v>
      </c>
      <c r="F10" s="171" t="s">
        <v>1322</v>
      </c>
      <c r="G10" s="171">
        <f>+'[2]L &amp; T MASTER'!E52</f>
        <v>43493</v>
      </c>
      <c r="H10" s="171">
        <f>+'[2]L &amp; T MASTER'!G52</f>
        <v>43521</v>
      </c>
      <c r="J10">
        <f t="shared" ca="1" si="0"/>
        <v>265</v>
      </c>
      <c r="K10">
        <f t="shared" si="1"/>
        <v>28</v>
      </c>
    </row>
    <row r="11" spans="1:11" x14ac:dyDescent="0.3">
      <c r="A11" s="55" t="s">
        <v>40</v>
      </c>
      <c r="B11" s="55" t="s">
        <v>191</v>
      </c>
      <c r="C11" s="55" t="s">
        <v>1321</v>
      </c>
      <c r="D11" s="172" t="s">
        <v>162</v>
      </c>
      <c r="E11" s="55" t="s">
        <v>860</v>
      </c>
      <c r="F11" s="173">
        <v>43160</v>
      </c>
      <c r="G11" s="170">
        <f>+'[2]L &amp; T MASTER'!G6</f>
        <v>43295</v>
      </c>
      <c r="H11" s="170">
        <f>+'[2]L &amp; T MASTER'!J6</f>
        <v>43340</v>
      </c>
      <c r="J11">
        <f t="shared" ca="1" si="0"/>
        <v>67</v>
      </c>
      <c r="K11">
        <f t="shared" si="1"/>
        <v>45</v>
      </c>
    </row>
    <row r="12" spans="1:11" x14ac:dyDescent="0.3">
      <c r="A12" s="55" t="s">
        <v>40</v>
      </c>
      <c r="B12" s="55" t="s">
        <v>191</v>
      </c>
      <c r="C12" s="55" t="s">
        <v>1321</v>
      </c>
      <c r="D12" s="172" t="s">
        <v>162</v>
      </c>
      <c r="E12" s="55" t="s">
        <v>844</v>
      </c>
      <c r="F12" s="170" t="s">
        <v>1322</v>
      </c>
      <c r="G12" s="170">
        <f>+'[2]L &amp; T MASTER'!G6</f>
        <v>43295</v>
      </c>
      <c r="H12" s="170">
        <f>+'[2]L &amp; T MASTER'!J6</f>
        <v>43340</v>
      </c>
      <c r="J12">
        <f t="shared" ca="1" si="0"/>
        <v>67</v>
      </c>
      <c r="K12">
        <f t="shared" si="1"/>
        <v>45</v>
      </c>
    </row>
    <row r="13" spans="1:11" x14ac:dyDescent="0.3">
      <c r="A13" s="55" t="s">
        <v>40</v>
      </c>
      <c r="B13" s="55" t="s">
        <v>191</v>
      </c>
      <c r="C13" s="55" t="s">
        <v>1321</v>
      </c>
      <c r="D13" s="169" t="s">
        <v>164</v>
      </c>
      <c r="E13" s="55" t="s">
        <v>931</v>
      </c>
      <c r="F13" s="171" t="s">
        <v>1322</v>
      </c>
      <c r="G13" s="171">
        <f>+'[2]L &amp; T MASTER'!E53</f>
        <v>43500</v>
      </c>
      <c r="H13" s="171">
        <f>+'[2]L &amp; T MASTER'!G53</f>
        <v>43528</v>
      </c>
      <c r="J13">
        <f t="shared" ca="1" si="0"/>
        <v>272</v>
      </c>
      <c r="K13">
        <f t="shared" si="1"/>
        <v>28</v>
      </c>
    </row>
    <row r="14" spans="1:11" x14ac:dyDescent="0.3">
      <c r="A14" s="55" t="s">
        <v>40</v>
      </c>
      <c r="B14" s="55" t="s">
        <v>191</v>
      </c>
      <c r="C14" s="55" t="s">
        <v>1321</v>
      </c>
      <c r="D14" s="169" t="s">
        <v>164</v>
      </c>
      <c r="E14" s="55" t="s">
        <v>1064</v>
      </c>
      <c r="F14" s="173">
        <v>43160</v>
      </c>
      <c r="G14" s="170">
        <f>+'[2]L &amp; T MASTER'!G7</f>
        <v>43305</v>
      </c>
      <c r="H14" s="170">
        <f>+'[2]L &amp; T MASTER'!J7</f>
        <v>43350</v>
      </c>
      <c r="J14">
        <f t="shared" ca="1" si="0"/>
        <v>77</v>
      </c>
      <c r="K14">
        <f t="shared" si="1"/>
        <v>45</v>
      </c>
    </row>
    <row r="15" spans="1:11" x14ac:dyDescent="0.3">
      <c r="A15" s="55" t="s">
        <v>40</v>
      </c>
      <c r="B15" s="55" t="s">
        <v>191</v>
      </c>
      <c r="C15" s="55" t="s">
        <v>1321</v>
      </c>
      <c r="D15" s="169" t="s">
        <v>164</v>
      </c>
      <c r="E15" s="55" t="s">
        <v>1042</v>
      </c>
      <c r="F15" s="170" t="s">
        <v>1322</v>
      </c>
      <c r="G15" s="170">
        <f>+'[2]L &amp; T MASTER'!G7</f>
        <v>43305</v>
      </c>
      <c r="H15" s="170">
        <f>+'[2]L &amp; T MASTER'!J7</f>
        <v>43350</v>
      </c>
      <c r="J15">
        <f t="shared" ca="1" si="0"/>
        <v>77</v>
      </c>
      <c r="K15">
        <f t="shared" si="1"/>
        <v>45</v>
      </c>
    </row>
    <row r="16" spans="1:11" x14ac:dyDescent="0.3">
      <c r="A16" s="55" t="s">
        <v>40</v>
      </c>
      <c r="B16" s="55" t="s">
        <v>191</v>
      </c>
      <c r="C16" s="55" t="s">
        <v>1321</v>
      </c>
      <c r="D16" s="172" t="s">
        <v>165</v>
      </c>
      <c r="E16" s="55" t="s">
        <v>1324</v>
      </c>
      <c r="F16" s="173">
        <v>43185</v>
      </c>
      <c r="G16" s="170">
        <f>+'[2]L &amp; T MASTER'!G8</f>
        <v>43259</v>
      </c>
      <c r="H16" s="170">
        <f>+'[2]L &amp; T MASTER'!J8</f>
        <v>43313</v>
      </c>
      <c r="J16">
        <f t="shared" ca="1" si="0"/>
        <v>31</v>
      </c>
      <c r="K16">
        <f t="shared" si="1"/>
        <v>54</v>
      </c>
    </row>
    <row r="17" spans="1:11" x14ac:dyDescent="0.3">
      <c r="A17" s="55" t="s">
        <v>40</v>
      </c>
      <c r="B17" s="55" t="s">
        <v>191</v>
      </c>
      <c r="C17" s="55" t="s">
        <v>1321</v>
      </c>
      <c r="D17" s="172" t="s">
        <v>165</v>
      </c>
      <c r="E17" s="55" t="s">
        <v>1117</v>
      </c>
      <c r="F17" s="170" t="s">
        <v>1322</v>
      </c>
      <c r="G17" s="170">
        <f>+'[2]L &amp; T MASTER'!G8</f>
        <v>43259</v>
      </c>
      <c r="H17" s="170">
        <f>+'[2]L &amp; T MASTER'!J8</f>
        <v>43313</v>
      </c>
      <c r="J17">
        <f t="shared" ca="1" si="0"/>
        <v>31</v>
      </c>
      <c r="K17">
        <f t="shared" si="1"/>
        <v>54</v>
      </c>
    </row>
    <row r="18" spans="1:11" x14ac:dyDescent="0.3">
      <c r="A18" s="55" t="s">
        <v>40</v>
      </c>
      <c r="B18" s="55" t="s">
        <v>191</v>
      </c>
      <c r="C18" s="55" t="s">
        <v>1321</v>
      </c>
      <c r="D18" s="172" t="s">
        <v>171</v>
      </c>
      <c r="E18" s="55" t="s">
        <v>1316</v>
      </c>
      <c r="F18" s="173" t="s">
        <v>1322</v>
      </c>
      <c r="G18" s="173">
        <f>+'[2]L &amp; T MASTER'!G15</f>
        <v>43278</v>
      </c>
      <c r="H18" s="173">
        <f>+'[2]L &amp; T MASTER'!J15</f>
        <v>43346</v>
      </c>
      <c r="J18">
        <f t="shared" ca="1" si="0"/>
        <v>50</v>
      </c>
      <c r="K18">
        <f t="shared" si="1"/>
        <v>68</v>
      </c>
    </row>
    <row r="19" spans="1:11" ht="15" customHeight="1" x14ac:dyDescent="0.3">
      <c r="A19" s="55" t="s">
        <v>40</v>
      </c>
      <c r="B19" s="55" t="s">
        <v>191</v>
      </c>
      <c r="C19" s="55" t="s">
        <v>1321</v>
      </c>
      <c r="D19" s="169" t="s">
        <v>168</v>
      </c>
      <c r="E19" s="55" t="s">
        <v>1186</v>
      </c>
      <c r="F19" s="173" t="s">
        <v>1322</v>
      </c>
      <c r="G19" s="170">
        <f>+'[2]L &amp; T MASTER'!E55</f>
        <v>43451</v>
      </c>
      <c r="H19" s="170">
        <f>+'[2]L &amp; T MASTER'!G55</f>
        <v>43479</v>
      </c>
      <c r="J19">
        <f t="shared" ca="1" si="0"/>
        <v>223</v>
      </c>
      <c r="K19">
        <f t="shared" si="1"/>
        <v>28</v>
      </c>
    </row>
    <row r="20" spans="1:11" x14ac:dyDescent="0.3">
      <c r="A20" s="55" t="s">
        <v>40</v>
      </c>
      <c r="B20" s="55" t="s">
        <v>191</v>
      </c>
      <c r="C20" s="55" t="s">
        <v>1321</v>
      </c>
      <c r="D20" s="169" t="s">
        <v>168</v>
      </c>
      <c r="E20" s="174" t="s">
        <v>1325</v>
      </c>
      <c r="F20" s="173" t="s">
        <v>1322</v>
      </c>
      <c r="G20" s="173">
        <f>+G19</f>
        <v>43451</v>
      </c>
      <c r="H20" s="173">
        <f>+H19</f>
        <v>43479</v>
      </c>
      <c r="J20">
        <f t="shared" ca="1" si="0"/>
        <v>223</v>
      </c>
      <c r="K20">
        <f t="shared" si="1"/>
        <v>28</v>
      </c>
    </row>
    <row r="21" spans="1:11" x14ac:dyDescent="0.3">
      <c r="A21" s="55" t="s">
        <v>40</v>
      </c>
      <c r="B21" s="55" t="s">
        <v>191</v>
      </c>
      <c r="C21" s="55" t="s">
        <v>1321</v>
      </c>
      <c r="D21" s="172" t="s">
        <v>169</v>
      </c>
      <c r="E21" s="55" t="s">
        <v>1271</v>
      </c>
      <c r="F21" s="170" t="s">
        <v>1322</v>
      </c>
      <c r="G21" s="170">
        <f>+'[2]L &amp; T MASTER'!G12</f>
        <v>43329</v>
      </c>
      <c r="H21" s="170">
        <f>+'[2]L &amp; T MASTER'!J12</f>
        <v>43381</v>
      </c>
      <c r="J21">
        <f t="shared" ca="1" si="0"/>
        <v>101</v>
      </c>
      <c r="K21">
        <f t="shared" si="1"/>
        <v>52</v>
      </c>
    </row>
    <row r="22" spans="1:11" x14ac:dyDescent="0.3">
      <c r="A22" s="55" t="s">
        <v>40</v>
      </c>
      <c r="B22" s="55" t="s">
        <v>191</v>
      </c>
      <c r="C22" s="55" t="s">
        <v>1321</v>
      </c>
      <c r="D22" s="172" t="s">
        <v>169</v>
      </c>
      <c r="E22" s="55" t="s">
        <v>1326</v>
      </c>
      <c r="F22" s="170">
        <v>43195</v>
      </c>
      <c r="G22" s="170">
        <f>+G21</f>
        <v>43329</v>
      </c>
      <c r="H22" s="170">
        <f>+H21</f>
        <v>43381</v>
      </c>
      <c r="J22">
        <f t="shared" ca="1" si="0"/>
        <v>101</v>
      </c>
      <c r="K22">
        <f t="shared" si="1"/>
        <v>52</v>
      </c>
    </row>
  </sheetData>
  <autoFilter ref="D1:H22"/>
  <pageMargins left="0.7" right="0.7" top="0.75" bottom="0.75" header="0.3" footer="0.3"/>
  <pageSetup orientation="portrait" r:id="rId1"/>
  <headerFooter>
    <oddFooter>&amp;L&amp;1#&amp;"Calibri"&amp;8 Sensitivity: LNT Construction Internal Use</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S3"/>
  <sheetViews>
    <sheetView zoomScaleNormal="100" workbookViewId="0">
      <selection activeCell="H86" sqref="H86:H98"/>
    </sheetView>
  </sheetViews>
  <sheetFormatPr defaultRowHeight="14.4" x14ac:dyDescent="0.3"/>
  <cols>
    <col min="1" max="1" width="11.44140625" bestFit="1" customWidth="1"/>
    <col min="3" max="3" width="11.109375" bestFit="1" customWidth="1"/>
    <col min="4" max="4" width="11.33203125" style="155" bestFit="1" customWidth="1"/>
    <col min="5" max="5" width="10.5546875" bestFit="1" customWidth="1"/>
    <col min="6" max="6" width="8.5546875" bestFit="1" customWidth="1"/>
    <col min="8" max="8" width="22.5546875" bestFit="1" customWidth="1"/>
    <col min="10" max="10" width="56.5546875" bestFit="1" customWidth="1"/>
    <col min="11" max="11" width="11.6640625" bestFit="1" customWidth="1"/>
    <col min="12" max="12" width="20.44140625" bestFit="1" customWidth="1"/>
    <col min="15" max="15" width="9.109375" customWidth="1"/>
    <col min="16" max="16" width="11.33203125" customWidth="1"/>
    <col min="17" max="17" width="0" hidden="1" customWidth="1"/>
    <col min="18" max="18" width="12.44140625" bestFit="1" customWidth="1"/>
    <col min="19" max="19" width="0" hidden="1" customWidth="1"/>
  </cols>
  <sheetData>
    <row r="1" spans="1:19" s="136" customFormat="1" x14ac:dyDescent="0.3">
      <c r="A1" s="136" t="s">
        <v>174</v>
      </c>
      <c r="B1" s="136" t="s">
        <v>175</v>
      </c>
      <c r="C1" s="136" t="s">
        <v>176</v>
      </c>
      <c r="D1" s="137" t="s">
        <v>177</v>
      </c>
      <c r="E1" s="136" t="s">
        <v>178</v>
      </c>
      <c r="F1" s="136" t="s">
        <v>179</v>
      </c>
      <c r="G1" s="136" t="s">
        <v>180</v>
      </c>
      <c r="H1" s="136" t="s">
        <v>181</v>
      </c>
      <c r="I1" s="136" t="s">
        <v>182</v>
      </c>
      <c r="J1" s="136" t="s">
        <v>183</v>
      </c>
      <c r="K1" s="136" t="s">
        <v>184</v>
      </c>
      <c r="L1" s="136" t="s">
        <v>185</v>
      </c>
      <c r="M1" s="136" t="s">
        <v>34</v>
      </c>
      <c r="N1" s="136" t="s">
        <v>186</v>
      </c>
      <c r="O1" s="136" t="s">
        <v>67</v>
      </c>
      <c r="P1" s="136" t="s">
        <v>187</v>
      </c>
      <c r="Q1" s="136" t="s">
        <v>133</v>
      </c>
      <c r="R1" s="136" t="s">
        <v>188</v>
      </c>
      <c r="S1" s="136" t="s">
        <v>189</v>
      </c>
    </row>
    <row r="2" spans="1:19" x14ac:dyDescent="0.3">
      <c r="A2" t="s">
        <v>40</v>
      </c>
      <c r="B2" t="s">
        <v>190</v>
      </c>
      <c r="C2" t="s">
        <v>191</v>
      </c>
      <c r="D2" s="165" t="s">
        <v>1313</v>
      </c>
      <c r="E2" t="s">
        <v>193</v>
      </c>
      <c r="F2" t="s">
        <v>194</v>
      </c>
      <c r="G2" t="s">
        <v>240</v>
      </c>
      <c r="H2" t="s">
        <v>1314</v>
      </c>
      <c r="I2" s="166" t="s">
        <v>51</v>
      </c>
      <c r="J2" s="167" t="s">
        <v>1315</v>
      </c>
      <c r="K2">
        <v>20038918</v>
      </c>
      <c r="L2" s="55" t="s">
        <v>198</v>
      </c>
      <c r="M2" s="141" t="str">
        <f>+O2</f>
        <v>FS-F_A</v>
      </c>
      <c r="N2" s="142" t="str">
        <f>LOOKUP(M2,'[2]Doc Set'!E:E,'[2]Doc Set'!F:F)</f>
        <v>_</v>
      </c>
      <c r="O2" s="141" t="s">
        <v>1316</v>
      </c>
      <c r="P2" s="142">
        <f>+LOOKUP(O2,'[2]Doc Set'!E:E,'[2]Doc Set'!G:G)</f>
        <v>43278</v>
      </c>
      <c r="Q2" s="55" t="str">
        <f>+O2</f>
        <v>FS-F_A</v>
      </c>
      <c r="R2" s="142">
        <f>+LOOKUP(Q2,'[2]Doc Set'!E:E,'[2]Doc Set'!H:H)</f>
        <v>43346</v>
      </c>
      <c r="S2" s="143" t="s">
        <v>200</v>
      </c>
    </row>
    <row r="3" spans="1:19" x14ac:dyDescent="0.3">
      <c r="A3" t="s">
        <v>40</v>
      </c>
      <c r="B3" t="s">
        <v>190</v>
      </c>
      <c r="C3" t="s">
        <v>191</v>
      </c>
      <c r="D3" s="165" t="s">
        <v>1313</v>
      </c>
      <c r="E3" t="s">
        <v>193</v>
      </c>
      <c r="F3" t="s">
        <v>194</v>
      </c>
      <c r="G3" t="s">
        <v>243</v>
      </c>
      <c r="H3" t="s">
        <v>1317</v>
      </c>
      <c r="I3" s="166" t="s">
        <v>51</v>
      </c>
      <c r="J3" s="167" t="s">
        <v>1318</v>
      </c>
      <c r="K3">
        <v>20038918</v>
      </c>
      <c r="L3" s="55" t="s">
        <v>198</v>
      </c>
      <c r="M3" s="141" t="str">
        <f>+O3</f>
        <v>FS-F_A</v>
      </c>
      <c r="N3" s="142" t="str">
        <f>LOOKUP(M3,'[2]Doc Set'!E:E,'[2]Doc Set'!F:F)</f>
        <v>_</v>
      </c>
      <c r="O3" s="141" t="s">
        <v>1316</v>
      </c>
      <c r="P3" s="142">
        <f>+LOOKUP(O3,'[2]Doc Set'!E:E,'[2]Doc Set'!G:G)</f>
        <v>43278</v>
      </c>
      <c r="Q3" s="55" t="str">
        <f>+O3</f>
        <v>FS-F_A</v>
      </c>
      <c r="R3" s="142">
        <f>+LOOKUP(Q3,'[2]Doc Set'!E:E,'[2]Doc Set'!H:H)</f>
        <v>43346</v>
      </c>
      <c r="S3" s="143" t="s">
        <v>200</v>
      </c>
    </row>
  </sheetData>
  <autoFilter ref="A1:S3"/>
  <conditionalFormatting sqref="G2:G3">
    <cfRule type="duplicateValues" dxfId="95" priority="6"/>
  </conditionalFormatting>
  <conditionalFormatting sqref="G2:G3">
    <cfRule type="duplicateValues" dxfId="94" priority="5"/>
  </conditionalFormatting>
  <conditionalFormatting sqref="G2:G3">
    <cfRule type="duplicateValues" dxfId="93" priority="4"/>
  </conditionalFormatting>
  <conditionalFormatting sqref="G2:G3">
    <cfRule type="duplicateValues" dxfId="92" priority="3"/>
  </conditionalFormatting>
  <conditionalFormatting sqref="G1:G1048576">
    <cfRule type="duplicateValues" dxfId="91" priority="2"/>
  </conditionalFormatting>
  <conditionalFormatting sqref="H1:H1048576">
    <cfRule type="duplicateValues" dxfId="90" priority="1"/>
  </conditionalFormatting>
  <dataValidations count="1">
    <dataValidation type="list" allowBlank="1" showInputMessage="1" showErrorMessage="1" sqref="O2:O3 M2:M3">
      <formula1>Document_Set_Name</formula1>
    </dataValidation>
  </dataValidations>
  <pageMargins left="0.7" right="0.7" top="0.75" bottom="0.75" header="0.3" footer="0.3"/>
  <pageSetup orientation="portrait" r:id="rId1"/>
  <headerFooter>
    <oddFooter>&amp;L&amp;1#&amp;"Calibri"&amp;8 Sensitivity: LNT Construction Internal Use</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S10"/>
  <sheetViews>
    <sheetView topLeftCell="E1" zoomScaleNormal="100" workbookViewId="0">
      <selection activeCell="H86" sqref="H86:H98"/>
    </sheetView>
  </sheetViews>
  <sheetFormatPr defaultRowHeight="14.4" x14ac:dyDescent="0.3"/>
  <cols>
    <col min="1" max="1" width="11.44140625" bestFit="1" customWidth="1"/>
    <col min="3" max="3" width="11.109375" bestFit="1" customWidth="1"/>
    <col min="4" max="4" width="11.33203125" style="155" bestFit="1" customWidth="1"/>
    <col min="5" max="5" width="10.5546875" bestFit="1" customWidth="1"/>
    <col min="6" max="6" width="8.5546875" bestFit="1" customWidth="1"/>
    <col min="8" max="8" width="22.5546875" bestFit="1" customWidth="1"/>
    <col min="10" max="10" width="56.5546875" bestFit="1" customWidth="1"/>
    <col min="11" max="11" width="11.6640625" customWidth="1"/>
    <col min="12" max="12" width="20.44140625" customWidth="1"/>
    <col min="15" max="15" width="9.109375" customWidth="1"/>
    <col min="16" max="16" width="12.5546875" bestFit="1" customWidth="1"/>
    <col min="17" max="17" width="9.109375" customWidth="1"/>
    <col min="18" max="18" width="12.44140625" bestFit="1" customWidth="1"/>
    <col min="19" max="19" width="9.109375" customWidth="1"/>
  </cols>
  <sheetData>
    <row r="1" spans="1:19" s="136" customFormat="1" x14ac:dyDescent="0.3">
      <c r="A1" s="136" t="s">
        <v>174</v>
      </c>
      <c r="B1" s="136" t="s">
        <v>175</v>
      </c>
      <c r="C1" s="136" t="s">
        <v>176</v>
      </c>
      <c r="D1" s="137" t="s">
        <v>177</v>
      </c>
      <c r="E1" s="136" t="s">
        <v>178</v>
      </c>
      <c r="F1" s="136" t="s">
        <v>179</v>
      </c>
      <c r="G1" s="136" t="s">
        <v>180</v>
      </c>
      <c r="H1" s="136" t="s">
        <v>181</v>
      </c>
      <c r="I1" s="136" t="s">
        <v>182</v>
      </c>
      <c r="J1" s="136" t="s">
        <v>183</v>
      </c>
      <c r="K1" s="136" t="s">
        <v>184</v>
      </c>
      <c r="L1" s="136" t="s">
        <v>185</v>
      </c>
      <c r="M1" s="136" t="s">
        <v>34</v>
      </c>
      <c r="N1" s="136" t="s">
        <v>186</v>
      </c>
      <c r="O1" s="136" t="s">
        <v>67</v>
      </c>
      <c r="P1" s="136" t="s">
        <v>187</v>
      </c>
      <c r="Q1" s="136" t="s">
        <v>133</v>
      </c>
      <c r="R1" s="136" t="s">
        <v>188</v>
      </c>
      <c r="S1" s="136" t="s">
        <v>189</v>
      </c>
    </row>
    <row r="2" spans="1:19" x14ac:dyDescent="0.3">
      <c r="A2" t="s">
        <v>40</v>
      </c>
      <c r="B2" t="s">
        <v>190</v>
      </c>
      <c r="C2" t="s">
        <v>191</v>
      </c>
      <c r="D2" s="165" t="s">
        <v>1293</v>
      </c>
      <c r="E2" t="s">
        <v>193</v>
      </c>
      <c r="F2" t="s">
        <v>194</v>
      </c>
      <c r="G2" t="s">
        <v>261</v>
      </c>
      <c r="H2" t="s">
        <v>1294</v>
      </c>
      <c r="I2" s="166" t="s">
        <v>51</v>
      </c>
      <c r="J2" s="167" t="s">
        <v>1295</v>
      </c>
      <c r="K2">
        <v>20038918</v>
      </c>
      <c r="L2" s="55" t="s">
        <v>198</v>
      </c>
      <c r="M2" s="141" t="str">
        <f t="shared" ref="M2:M10" si="0">+O2</f>
        <v>DG-F_A</v>
      </c>
      <c r="N2" s="142" t="str">
        <f>LOOKUP(M2,'[2]Doc Set'!E:E,'[2]Doc Set'!F:F)</f>
        <v>_</v>
      </c>
      <c r="O2" s="141" t="s">
        <v>1296</v>
      </c>
      <c r="P2" s="142">
        <f>+LOOKUP(O2,'[2]Doc Set'!E:E,'[2]Doc Set'!G:G)</f>
        <v>43266</v>
      </c>
      <c r="Q2" s="55" t="str">
        <f>+O2</f>
        <v>DG-F_A</v>
      </c>
      <c r="R2" s="142">
        <f>+LOOKUP(Q2,'[2]Doc Set'!E:E,'[2]Doc Set'!H:H)</f>
        <v>43350</v>
      </c>
      <c r="S2" s="143" t="s">
        <v>200</v>
      </c>
    </row>
    <row r="3" spans="1:19" x14ac:dyDescent="0.3">
      <c r="A3" t="s">
        <v>40</v>
      </c>
      <c r="B3" t="s">
        <v>190</v>
      </c>
      <c r="C3" t="s">
        <v>191</v>
      </c>
      <c r="D3" s="165" t="s">
        <v>1293</v>
      </c>
      <c r="E3" t="s">
        <v>193</v>
      </c>
      <c r="F3" t="s">
        <v>194</v>
      </c>
      <c r="G3" t="s">
        <v>264</v>
      </c>
      <c r="H3" t="s">
        <v>1297</v>
      </c>
      <c r="I3" s="166" t="s">
        <v>51</v>
      </c>
      <c r="J3" s="167" t="s">
        <v>1298</v>
      </c>
      <c r="K3">
        <v>20038918</v>
      </c>
      <c r="L3" s="55" t="s">
        <v>198</v>
      </c>
      <c r="M3" s="141" t="str">
        <f t="shared" si="0"/>
        <v>DG-F_A</v>
      </c>
      <c r="N3" s="142" t="str">
        <f>LOOKUP(M3,'[2]Doc Set'!E:E,'[2]Doc Set'!F:F)</f>
        <v>_</v>
      </c>
      <c r="O3" s="141" t="s">
        <v>1296</v>
      </c>
      <c r="P3" s="142">
        <f>+LOOKUP(O3,'[2]Doc Set'!E:E,'[2]Doc Set'!G:G)</f>
        <v>43266</v>
      </c>
      <c r="Q3" s="55" t="str">
        <f t="shared" ref="Q3:Q10" si="1">+O3</f>
        <v>DG-F_A</v>
      </c>
      <c r="R3" s="142">
        <f>+LOOKUP(Q3,'[2]Doc Set'!E:E,'[2]Doc Set'!H:H)</f>
        <v>43350</v>
      </c>
      <c r="S3" s="143" t="s">
        <v>200</v>
      </c>
    </row>
    <row r="4" spans="1:19" x14ac:dyDescent="0.3">
      <c r="A4" t="s">
        <v>40</v>
      </c>
      <c r="B4" t="s">
        <v>190</v>
      </c>
      <c r="C4" t="s">
        <v>191</v>
      </c>
      <c r="D4" s="165" t="s">
        <v>1293</v>
      </c>
      <c r="E4" t="s">
        <v>193</v>
      </c>
      <c r="F4" t="s">
        <v>194</v>
      </c>
      <c r="G4" t="s">
        <v>267</v>
      </c>
      <c r="H4" t="s">
        <v>1299</v>
      </c>
      <c r="I4" s="166" t="s">
        <v>51</v>
      </c>
      <c r="J4" s="167" t="s">
        <v>1300</v>
      </c>
      <c r="K4">
        <v>20038918</v>
      </c>
      <c r="L4" s="55" t="s">
        <v>198</v>
      </c>
      <c r="M4" s="141" t="str">
        <f t="shared" si="0"/>
        <v>DG-F_A</v>
      </c>
      <c r="N4" s="142" t="str">
        <f>LOOKUP(M4,'[2]Doc Set'!E:E,'[2]Doc Set'!F:F)</f>
        <v>_</v>
      </c>
      <c r="O4" s="141" t="s">
        <v>1296</v>
      </c>
      <c r="P4" s="142">
        <f>+LOOKUP(O4,'[2]Doc Set'!E:E,'[2]Doc Set'!G:G)</f>
        <v>43266</v>
      </c>
      <c r="Q4" s="55" t="str">
        <f t="shared" si="1"/>
        <v>DG-F_A</v>
      </c>
      <c r="R4" s="142">
        <f>+LOOKUP(Q4,'[2]Doc Set'!E:E,'[2]Doc Set'!H:H)</f>
        <v>43350</v>
      </c>
      <c r="S4" s="143" t="s">
        <v>200</v>
      </c>
    </row>
    <row r="5" spans="1:19" x14ac:dyDescent="0.3">
      <c r="A5" t="s">
        <v>40</v>
      </c>
      <c r="B5" t="s">
        <v>190</v>
      </c>
      <c r="C5" t="s">
        <v>191</v>
      </c>
      <c r="D5" s="165" t="s">
        <v>1293</v>
      </c>
      <c r="E5" t="s">
        <v>193</v>
      </c>
      <c r="F5" t="s">
        <v>194</v>
      </c>
      <c r="G5" t="s">
        <v>282</v>
      </c>
      <c r="H5" t="s">
        <v>1301</v>
      </c>
      <c r="I5" s="166" t="s">
        <v>51</v>
      </c>
      <c r="J5" s="167" t="s">
        <v>1302</v>
      </c>
      <c r="K5">
        <v>20038918</v>
      </c>
      <c r="L5" s="55" t="s">
        <v>198</v>
      </c>
      <c r="M5" s="141" t="str">
        <f t="shared" si="0"/>
        <v>DG-F_A</v>
      </c>
      <c r="N5" s="142" t="str">
        <f>LOOKUP(M5,'[2]Doc Set'!E:E,'[2]Doc Set'!F:F)</f>
        <v>_</v>
      </c>
      <c r="O5" s="141" t="s">
        <v>1296</v>
      </c>
      <c r="P5" s="142">
        <f>+LOOKUP(O5,'[2]Doc Set'!E:E,'[2]Doc Set'!G:G)</f>
        <v>43266</v>
      </c>
      <c r="Q5" s="55" t="str">
        <f t="shared" si="1"/>
        <v>DG-F_A</v>
      </c>
      <c r="R5" s="142">
        <f>+LOOKUP(Q5,'[2]Doc Set'!E:E,'[2]Doc Set'!H:H)</f>
        <v>43350</v>
      </c>
      <c r="S5" s="143" t="s">
        <v>200</v>
      </c>
    </row>
    <row r="6" spans="1:19" x14ac:dyDescent="0.3">
      <c r="A6" t="s">
        <v>40</v>
      </c>
      <c r="B6" t="s">
        <v>190</v>
      </c>
      <c r="C6" t="s">
        <v>191</v>
      </c>
      <c r="D6" s="165" t="s">
        <v>1293</v>
      </c>
      <c r="E6" t="s">
        <v>193</v>
      </c>
      <c r="F6" t="s">
        <v>194</v>
      </c>
      <c r="G6" t="s">
        <v>285</v>
      </c>
      <c r="H6" t="s">
        <v>1303</v>
      </c>
      <c r="I6" s="166" t="s">
        <v>51</v>
      </c>
      <c r="J6" s="167" t="s">
        <v>1304</v>
      </c>
      <c r="K6">
        <v>20038918</v>
      </c>
      <c r="L6" s="55" t="s">
        <v>198</v>
      </c>
      <c r="M6" s="141" t="str">
        <f t="shared" si="0"/>
        <v>DG-F_A</v>
      </c>
      <c r="N6" s="142" t="str">
        <f>LOOKUP(M6,'[2]Doc Set'!E:E,'[2]Doc Set'!F:F)</f>
        <v>_</v>
      </c>
      <c r="O6" s="141" t="s">
        <v>1296</v>
      </c>
      <c r="P6" s="142">
        <f>+LOOKUP(O6,'[2]Doc Set'!E:E,'[2]Doc Set'!G:G)</f>
        <v>43266</v>
      </c>
      <c r="Q6" s="55" t="str">
        <f t="shared" si="1"/>
        <v>DG-F_A</v>
      </c>
      <c r="R6" s="142">
        <f>+LOOKUP(Q6,'[2]Doc Set'!E:E,'[2]Doc Set'!H:H)</f>
        <v>43350</v>
      </c>
      <c r="S6" s="143" t="s">
        <v>200</v>
      </c>
    </row>
    <row r="7" spans="1:19" x14ac:dyDescent="0.3">
      <c r="A7" t="s">
        <v>40</v>
      </c>
      <c r="B7" t="s">
        <v>190</v>
      </c>
      <c r="C7" t="s">
        <v>191</v>
      </c>
      <c r="D7" s="165" t="s">
        <v>1293</v>
      </c>
      <c r="E7" t="s">
        <v>193</v>
      </c>
      <c r="F7" t="s">
        <v>194</v>
      </c>
      <c r="G7" t="s">
        <v>288</v>
      </c>
      <c r="H7" t="s">
        <v>1305</v>
      </c>
      <c r="I7" s="166" t="s">
        <v>51</v>
      </c>
      <c r="J7" s="167" t="s">
        <v>1306</v>
      </c>
      <c r="K7">
        <v>20038918</v>
      </c>
      <c r="L7" s="55" t="s">
        <v>198</v>
      </c>
      <c r="M7" s="141" t="str">
        <f t="shared" si="0"/>
        <v>DG-F_A</v>
      </c>
      <c r="N7" s="142" t="str">
        <f>LOOKUP(M7,'[2]Doc Set'!E:E,'[2]Doc Set'!F:F)</f>
        <v>_</v>
      </c>
      <c r="O7" s="141" t="s">
        <v>1296</v>
      </c>
      <c r="P7" s="142">
        <f>+LOOKUP(O7,'[2]Doc Set'!E:E,'[2]Doc Set'!G:G)</f>
        <v>43266</v>
      </c>
      <c r="Q7" s="55" t="str">
        <f t="shared" si="1"/>
        <v>DG-F_A</v>
      </c>
      <c r="R7" s="142">
        <f>+LOOKUP(Q7,'[2]Doc Set'!E:E,'[2]Doc Set'!H:H)</f>
        <v>43350</v>
      </c>
      <c r="S7" s="143" t="s">
        <v>200</v>
      </c>
    </row>
    <row r="8" spans="1:19" x14ac:dyDescent="0.3">
      <c r="A8" t="s">
        <v>40</v>
      </c>
      <c r="B8" t="s">
        <v>190</v>
      </c>
      <c r="C8" t="s">
        <v>191</v>
      </c>
      <c r="D8" s="165" t="s">
        <v>1293</v>
      </c>
      <c r="E8" t="s">
        <v>193</v>
      </c>
      <c r="F8" t="s">
        <v>194</v>
      </c>
      <c r="G8" t="s">
        <v>303</v>
      </c>
      <c r="H8" t="s">
        <v>1307</v>
      </c>
      <c r="I8" s="166" t="s">
        <v>51</v>
      </c>
      <c r="J8" s="167" t="s">
        <v>1308</v>
      </c>
      <c r="K8">
        <v>20038918</v>
      </c>
      <c r="L8" s="55" t="s">
        <v>198</v>
      </c>
      <c r="M8" s="141" t="str">
        <f t="shared" si="0"/>
        <v>DG-F_A</v>
      </c>
      <c r="N8" s="142" t="str">
        <f>LOOKUP(M8,'[2]Doc Set'!E:E,'[2]Doc Set'!F:F)</f>
        <v>_</v>
      </c>
      <c r="O8" s="141" t="s">
        <v>1296</v>
      </c>
      <c r="P8" s="142">
        <f>+LOOKUP(O8,'[2]Doc Set'!E:E,'[2]Doc Set'!G:G)</f>
        <v>43266</v>
      </c>
      <c r="Q8" s="55" t="str">
        <f t="shared" si="1"/>
        <v>DG-F_A</v>
      </c>
      <c r="R8" s="142">
        <f>+LOOKUP(Q8,'[2]Doc Set'!E:E,'[2]Doc Set'!H:H)</f>
        <v>43350</v>
      </c>
      <c r="S8" s="143" t="s">
        <v>200</v>
      </c>
    </row>
    <row r="9" spans="1:19" x14ac:dyDescent="0.3">
      <c r="A9" t="s">
        <v>40</v>
      </c>
      <c r="B9" t="s">
        <v>190</v>
      </c>
      <c r="C9" t="s">
        <v>191</v>
      </c>
      <c r="D9" s="165" t="s">
        <v>1293</v>
      </c>
      <c r="E9" t="s">
        <v>193</v>
      </c>
      <c r="F9" t="s">
        <v>194</v>
      </c>
      <c r="G9" t="s">
        <v>307</v>
      </c>
      <c r="H9" t="s">
        <v>1309</v>
      </c>
      <c r="I9" s="166" t="s">
        <v>51</v>
      </c>
      <c r="J9" s="167" t="s">
        <v>1310</v>
      </c>
      <c r="K9">
        <v>20038918</v>
      </c>
      <c r="L9" s="55" t="s">
        <v>198</v>
      </c>
      <c r="M9" s="141" t="str">
        <f t="shared" si="0"/>
        <v>DG-F_A</v>
      </c>
      <c r="N9" s="142" t="str">
        <f>LOOKUP(M9,'[2]Doc Set'!E:E,'[2]Doc Set'!F:F)</f>
        <v>_</v>
      </c>
      <c r="O9" s="141" t="s">
        <v>1296</v>
      </c>
      <c r="P9" s="142">
        <f>+LOOKUP(O9,'[2]Doc Set'!E:E,'[2]Doc Set'!G:G)</f>
        <v>43266</v>
      </c>
      <c r="Q9" s="55" t="str">
        <f t="shared" si="1"/>
        <v>DG-F_A</v>
      </c>
      <c r="R9" s="142">
        <f>+LOOKUP(Q9,'[2]Doc Set'!E:E,'[2]Doc Set'!H:H)</f>
        <v>43350</v>
      </c>
      <c r="S9" s="143" t="s">
        <v>200</v>
      </c>
    </row>
    <row r="10" spans="1:19" x14ac:dyDescent="0.3">
      <c r="A10" t="s">
        <v>40</v>
      </c>
      <c r="B10" t="s">
        <v>190</v>
      </c>
      <c r="C10" t="s">
        <v>191</v>
      </c>
      <c r="D10" s="165" t="s">
        <v>1293</v>
      </c>
      <c r="E10" t="s">
        <v>193</v>
      </c>
      <c r="F10" t="s">
        <v>194</v>
      </c>
      <c r="G10" t="s">
        <v>310</v>
      </c>
      <c r="H10" t="s">
        <v>1311</v>
      </c>
      <c r="I10" s="166" t="s">
        <v>51</v>
      </c>
      <c r="J10" s="167" t="s">
        <v>1312</v>
      </c>
      <c r="K10">
        <v>20038918</v>
      </c>
      <c r="L10" s="55" t="s">
        <v>198</v>
      </c>
      <c r="M10" s="141" t="str">
        <f t="shared" si="0"/>
        <v>DG-F_A</v>
      </c>
      <c r="N10" s="142" t="str">
        <f>LOOKUP(M10,'[2]Doc Set'!E:E,'[2]Doc Set'!F:F)</f>
        <v>_</v>
      </c>
      <c r="O10" s="141" t="s">
        <v>1296</v>
      </c>
      <c r="P10" s="142">
        <f>+LOOKUP(O10,'[2]Doc Set'!E:E,'[2]Doc Set'!G:G)</f>
        <v>43266</v>
      </c>
      <c r="Q10" s="55" t="str">
        <f t="shared" si="1"/>
        <v>DG-F_A</v>
      </c>
      <c r="R10" s="142">
        <f>+LOOKUP(Q10,'[2]Doc Set'!E:E,'[2]Doc Set'!H:H)</f>
        <v>43350</v>
      </c>
      <c r="S10" s="143" t="s">
        <v>200</v>
      </c>
    </row>
  </sheetData>
  <autoFilter ref="A1:S10"/>
  <conditionalFormatting sqref="G2:G10">
    <cfRule type="duplicateValues" dxfId="89" priority="8"/>
  </conditionalFormatting>
  <conditionalFormatting sqref="G2:G10">
    <cfRule type="duplicateValues" dxfId="88" priority="7"/>
  </conditionalFormatting>
  <conditionalFormatting sqref="G2:G10">
    <cfRule type="duplicateValues" dxfId="87" priority="6"/>
  </conditionalFormatting>
  <conditionalFormatting sqref="G2:G10">
    <cfRule type="duplicateValues" dxfId="86" priority="5"/>
  </conditionalFormatting>
  <conditionalFormatting sqref="G1:G1048576">
    <cfRule type="duplicateValues" dxfId="85" priority="2"/>
    <cfRule type="duplicateValues" dxfId="84" priority="3"/>
    <cfRule type="duplicateValues" dxfId="83" priority="4"/>
  </conditionalFormatting>
  <conditionalFormatting sqref="H1:H1048576">
    <cfRule type="duplicateValues" dxfId="82" priority="1"/>
  </conditionalFormatting>
  <dataValidations count="1">
    <dataValidation type="list" allowBlank="1" showInputMessage="1" showErrorMessage="1" sqref="O2:O10 M2:M10">
      <formula1>Document_Set_Name</formula1>
    </dataValidation>
  </dataValidations>
  <pageMargins left="0.7" right="0.7" top="0.75" bottom="0.75" header="0.3" footer="0.3"/>
  <pageSetup orientation="portrait" r:id="rId1"/>
  <headerFooter>
    <oddFooter>&amp;L&amp;1#&amp;"Calibri"&amp;8 Sensitivity: LNT Construction Internal Use</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S12"/>
  <sheetViews>
    <sheetView topLeftCell="G1" zoomScaleNormal="100" workbookViewId="0">
      <selection activeCell="H86" sqref="H86:H98"/>
    </sheetView>
  </sheetViews>
  <sheetFormatPr defaultRowHeight="14.4" x14ac:dyDescent="0.3"/>
  <cols>
    <col min="1" max="1" width="11.44140625" bestFit="1" customWidth="1"/>
    <col min="3" max="3" width="11.109375" bestFit="1" customWidth="1"/>
    <col min="4" max="4" width="11.33203125" style="155" bestFit="1" customWidth="1"/>
    <col min="5" max="5" width="10.5546875" bestFit="1" customWidth="1"/>
    <col min="6" max="6" width="8.5546875" bestFit="1" customWidth="1"/>
    <col min="8" max="8" width="22.5546875" bestFit="1" customWidth="1"/>
    <col min="10" max="10" width="56.5546875" bestFit="1" customWidth="1"/>
    <col min="11" max="11" width="11.6640625" customWidth="1"/>
    <col min="12" max="12" width="20.44140625" customWidth="1"/>
    <col min="16" max="16" width="12.5546875" bestFit="1" customWidth="1"/>
    <col min="18" max="18" width="9.6640625" bestFit="1" customWidth="1"/>
    <col min="19" max="19" width="0" hidden="1" customWidth="1"/>
  </cols>
  <sheetData>
    <row r="1" spans="1:19" s="136" customFormat="1" x14ac:dyDescent="0.3">
      <c r="A1" s="136" t="s">
        <v>174</v>
      </c>
      <c r="B1" s="136" t="s">
        <v>175</v>
      </c>
      <c r="C1" s="136" t="s">
        <v>176</v>
      </c>
      <c r="D1" s="137" t="s">
        <v>177</v>
      </c>
      <c r="E1" s="136" t="s">
        <v>178</v>
      </c>
      <c r="F1" s="136" t="s">
        <v>179</v>
      </c>
      <c r="G1" s="136" t="s">
        <v>180</v>
      </c>
      <c r="H1" s="136" t="s">
        <v>181</v>
      </c>
      <c r="I1" s="136" t="s">
        <v>182</v>
      </c>
      <c r="J1" s="136" t="s">
        <v>183</v>
      </c>
      <c r="K1" s="136" t="s">
        <v>184</v>
      </c>
      <c r="L1" s="136" t="s">
        <v>185</v>
      </c>
      <c r="M1" s="136" t="s">
        <v>34</v>
      </c>
      <c r="N1" s="136" t="s">
        <v>186</v>
      </c>
      <c r="O1" s="136" t="s">
        <v>67</v>
      </c>
      <c r="P1" s="136" t="s">
        <v>187</v>
      </c>
      <c r="Q1" s="136" t="s">
        <v>133</v>
      </c>
      <c r="R1" s="136" t="s">
        <v>188</v>
      </c>
      <c r="S1" s="136" t="s">
        <v>189</v>
      </c>
    </row>
    <row r="2" spans="1:19" x14ac:dyDescent="0.3">
      <c r="A2" t="s">
        <v>40</v>
      </c>
      <c r="B2" t="s">
        <v>190</v>
      </c>
      <c r="C2" t="s">
        <v>191</v>
      </c>
      <c r="D2" s="165" t="s">
        <v>63</v>
      </c>
      <c r="E2" t="s">
        <v>193</v>
      </c>
      <c r="F2" t="s">
        <v>194</v>
      </c>
      <c r="G2" t="s">
        <v>240</v>
      </c>
      <c r="H2" t="s">
        <v>1269</v>
      </c>
      <c r="I2" s="166" t="s">
        <v>51</v>
      </c>
      <c r="J2" s="167" t="s">
        <v>1270</v>
      </c>
      <c r="K2">
        <v>20038918</v>
      </c>
      <c r="L2" s="55" t="s">
        <v>198</v>
      </c>
      <c r="M2" s="141" t="str">
        <f t="shared" ref="M2:M12" si="0">+O2</f>
        <v>SG-F_A</v>
      </c>
      <c r="N2" s="142" t="str">
        <f>LOOKUP(M2,'[2]Doc Set'!E:E,'[2]Doc Set'!F:F)</f>
        <v>_</v>
      </c>
      <c r="O2" s="141" t="s">
        <v>1271</v>
      </c>
      <c r="P2" s="142">
        <f>+LOOKUP(O2,'[2]Doc Set'!E:E,'[2]Doc Set'!G:G)</f>
        <v>43329</v>
      </c>
      <c r="Q2" s="55" t="str">
        <f>+O2</f>
        <v>SG-F_A</v>
      </c>
      <c r="R2" s="142">
        <f>+LOOKUP(Q2,'[2]Doc Set'!E:E,'[2]Doc Set'!H:H)</f>
        <v>43381</v>
      </c>
      <c r="S2" s="143" t="s">
        <v>200</v>
      </c>
    </row>
    <row r="3" spans="1:19" x14ac:dyDescent="0.3">
      <c r="A3" t="s">
        <v>40</v>
      </c>
      <c r="B3" t="s">
        <v>190</v>
      </c>
      <c r="C3" t="s">
        <v>191</v>
      </c>
      <c r="D3" s="165" t="s">
        <v>63</v>
      </c>
      <c r="E3" t="s">
        <v>193</v>
      </c>
      <c r="F3" t="s">
        <v>194</v>
      </c>
      <c r="G3" t="s">
        <v>243</v>
      </c>
      <c r="H3" t="s">
        <v>1272</v>
      </c>
      <c r="I3" s="166" t="s">
        <v>51</v>
      </c>
      <c r="J3" s="167" t="s">
        <v>1273</v>
      </c>
      <c r="K3">
        <v>20038918</v>
      </c>
      <c r="L3" s="55" t="s">
        <v>198</v>
      </c>
      <c r="M3" s="141" t="str">
        <f t="shared" si="0"/>
        <v>SG-F_A</v>
      </c>
      <c r="N3" s="142" t="str">
        <f>LOOKUP(M3,'[2]Doc Set'!E:E,'[2]Doc Set'!F:F)</f>
        <v>_</v>
      </c>
      <c r="O3" s="141" t="s">
        <v>1271</v>
      </c>
      <c r="P3" s="142">
        <f>+LOOKUP(O3,'[2]Doc Set'!E:E,'[2]Doc Set'!G:G)</f>
        <v>43329</v>
      </c>
      <c r="Q3" s="55" t="str">
        <f t="shared" ref="Q3:Q12" si="1">+O3</f>
        <v>SG-F_A</v>
      </c>
      <c r="R3" s="142">
        <f>+LOOKUP(Q3,'[2]Doc Set'!E:E,'[2]Doc Set'!H:H)</f>
        <v>43381</v>
      </c>
      <c r="S3" s="143" t="s">
        <v>200</v>
      </c>
    </row>
    <row r="4" spans="1:19" x14ac:dyDescent="0.3">
      <c r="A4" t="s">
        <v>40</v>
      </c>
      <c r="B4" t="s">
        <v>190</v>
      </c>
      <c r="C4" t="s">
        <v>191</v>
      </c>
      <c r="D4" s="165" t="s">
        <v>63</v>
      </c>
      <c r="E4" t="s">
        <v>193</v>
      </c>
      <c r="F4" t="s">
        <v>194</v>
      </c>
      <c r="G4" t="s">
        <v>246</v>
      </c>
      <c r="H4" t="s">
        <v>1274</v>
      </c>
      <c r="I4" s="166" t="s">
        <v>51</v>
      </c>
      <c r="J4" s="167" t="s">
        <v>1275</v>
      </c>
      <c r="K4">
        <v>20038918</v>
      </c>
      <c r="L4" s="55" t="s">
        <v>198</v>
      </c>
      <c r="M4" s="141" t="str">
        <f t="shared" si="0"/>
        <v>SG-F_A</v>
      </c>
      <c r="N4" s="142" t="str">
        <f>LOOKUP(M4,'[2]Doc Set'!E:E,'[2]Doc Set'!F:F)</f>
        <v>_</v>
      </c>
      <c r="O4" s="141" t="s">
        <v>1271</v>
      </c>
      <c r="P4" s="142">
        <f>+LOOKUP(O4,'[2]Doc Set'!E:E,'[2]Doc Set'!G:G)</f>
        <v>43329</v>
      </c>
      <c r="Q4" s="55" t="str">
        <f t="shared" si="1"/>
        <v>SG-F_A</v>
      </c>
      <c r="R4" s="142">
        <f>+LOOKUP(Q4,'[2]Doc Set'!E:E,'[2]Doc Set'!H:H)</f>
        <v>43381</v>
      </c>
      <c r="S4" s="143" t="s">
        <v>200</v>
      </c>
    </row>
    <row r="5" spans="1:19" x14ac:dyDescent="0.3">
      <c r="A5" t="s">
        <v>40</v>
      </c>
      <c r="B5" t="s">
        <v>190</v>
      </c>
      <c r="C5" t="s">
        <v>191</v>
      </c>
      <c r="D5" s="165" t="s">
        <v>63</v>
      </c>
      <c r="E5" t="s">
        <v>193</v>
      </c>
      <c r="F5" t="s">
        <v>194</v>
      </c>
      <c r="G5" t="s">
        <v>249</v>
      </c>
      <c r="H5" t="s">
        <v>1276</v>
      </c>
      <c r="I5" s="166" t="s">
        <v>51</v>
      </c>
      <c r="J5" s="167" t="s">
        <v>1277</v>
      </c>
      <c r="K5">
        <v>20038918</v>
      </c>
      <c r="L5" s="55" t="s">
        <v>198</v>
      </c>
      <c r="M5" s="141" t="str">
        <f t="shared" si="0"/>
        <v>SG-F_A</v>
      </c>
      <c r="N5" s="142" t="str">
        <f>LOOKUP(M5,'[2]Doc Set'!E:E,'[2]Doc Set'!F:F)</f>
        <v>_</v>
      </c>
      <c r="O5" s="141" t="s">
        <v>1271</v>
      </c>
      <c r="P5" s="142">
        <f>+LOOKUP(O5,'[2]Doc Set'!E:E,'[2]Doc Set'!G:G)</f>
        <v>43329</v>
      </c>
      <c r="Q5" s="55" t="str">
        <f t="shared" si="1"/>
        <v>SG-F_A</v>
      </c>
      <c r="R5" s="142">
        <f>+LOOKUP(Q5,'[2]Doc Set'!E:E,'[2]Doc Set'!H:H)</f>
        <v>43381</v>
      </c>
      <c r="S5" s="143" t="s">
        <v>200</v>
      </c>
    </row>
    <row r="6" spans="1:19" x14ac:dyDescent="0.3">
      <c r="A6" t="s">
        <v>40</v>
      </c>
      <c r="B6" t="s">
        <v>190</v>
      </c>
      <c r="C6" t="s">
        <v>191</v>
      </c>
      <c r="D6" s="165" t="s">
        <v>63</v>
      </c>
      <c r="E6" t="s">
        <v>193</v>
      </c>
      <c r="F6" t="s">
        <v>194</v>
      </c>
      <c r="G6" t="s">
        <v>252</v>
      </c>
      <c r="H6" t="s">
        <v>1278</v>
      </c>
      <c r="I6" s="166" t="s">
        <v>51</v>
      </c>
      <c r="J6" s="167" t="s">
        <v>1279</v>
      </c>
      <c r="K6">
        <v>20038918</v>
      </c>
      <c r="L6" s="55" t="s">
        <v>198</v>
      </c>
      <c r="M6" s="141" t="str">
        <f t="shared" si="0"/>
        <v>SG-F_A</v>
      </c>
      <c r="N6" s="142" t="str">
        <f>LOOKUP(M6,'[2]Doc Set'!E:E,'[2]Doc Set'!F:F)</f>
        <v>_</v>
      </c>
      <c r="O6" s="141" t="s">
        <v>1271</v>
      </c>
      <c r="P6" s="142">
        <f>+LOOKUP(O6,'[2]Doc Set'!E:E,'[2]Doc Set'!G:G)</f>
        <v>43329</v>
      </c>
      <c r="Q6" s="55" t="str">
        <f t="shared" si="1"/>
        <v>SG-F_A</v>
      </c>
      <c r="R6" s="142">
        <f>+LOOKUP(Q6,'[2]Doc Set'!E:E,'[2]Doc Set'!H:H)</f>
        <v>43381</v>
      </c>
      <c r="S6" s="143" t="s">
        <v>200</v>
      </c>
    </row>
    <row r="7" spans="1:19" x14ac:dyDescent="0.3">
      <c r="A7" t="s">
        <v>40</v>
      </c>
      <c r="B7" t="s">
        <v>190</v>
      </c>
      <c r="C7" t="s">
        <v>191</v>
      </c>
      <c r="D7" s="165" t="s">
        <v>63</v>
      </c>
      <c r="E7" t="s">
        <v>193</v>
      </c>
      <c r="F7" t="s">
        <v>194</v>
      </c>
      <c r="G7" t="s">
        <v>255</v>
      </c>
      <c r="H7" t="s">
        <v>1280</v>
      </c>
      <c r="I7" s="166" t="s">
        <v>51</v>
      </c>
      <c r="J7" s="167" t="s">
        <v>1281</v>
      </c>
      <c r="K7">
        <v>20038918</v>
      </c>
      <c r="L7" s="55" t="s">
        <v>198</v>
      </c>
      <c r="M7" s="141" t="str">
        <f t="shared" si="0"/>
        <v>SG-F_A</v>
      </c>
      <c r="N7" s="142" t="str">
        <f>LOOKUP(M7,'[2]Doc Set'!E:E,'[2]Doc Set'!F:F)</f>
        <v>_</v>
      </c>
      <c r="O7" s="141" t="s">
        <v>1271</v>
      </c>
      <c r="P7" s="142">
        <f>+LOOKUP(O7,'[2]Doc Set'!E:E,'[2]Doc Set'!G:G)</f>
        <v>43329</v>
      </c>
      <c r="Q7" s="55" t="str">
        <f t="shared" si="1"/>
        <v>SG-F_A</v>
      </c>
      <c r="R7" s="142">
        <f>+LOOKUP(Q7,'[2]Doc Set'!E:E,'[2]Doc Set'!H:H)</f>
        <v>43381</v>
      </c>
      <c r="S7" s="143" t="s">
        <v>200</v>
      </c>
    </row>
    <row r="8" spans="1:19" x14ac:dyDescent="0.3">
      <c r="A8" t="s">
        <v>40</v>
      </c>
      <c r="B8" t="s">
        <v>190</v>
      </c>
      <c r="C8" t="s">
        <v>191</v>
      </c>
      <c r="D8" s="165" t="s">
        <v>63</v>
      </c>
      <c r="E8" t="s">
        <v>193</v>
      </c>
      <c r="F8" t="s">
        <v>194</v>
      </c>
      <c r="G8" t="s">
        <v>258</v>
      </c>
      <c r="H8" t="s">
        <v>1282</v>
      </c>
      <c r="I8" s="166" t="s">
        <v>51</v>
      </c>
      <c r="J8" s="167" t="s">
        <v>1283</v>
      </c>
      <c r="K8">
        <v>20038918</v>
      </c>
      <c r="L8" s="55" t="s">
        <v>198</v>
      </c>
      <c r="M8" s="141" t="str">
        <f t="shared" si="0"/>
        <v>SG-F_A</v>
      </c>
      <c r="N8" s="142" t="str">
        <f>LOOKUP(M8,'[2]Doc Set'!E:E,'[2]Doc Set'!F:F)</f>
        <v>_</v>
      </c>
      <c r="O8" s="141" t="s">
        <v>1271</v>
      </c>
      <c r="P8" s="142">
        <f>+LOOKUP(O8,'[2]Doc Set'!E:E,'[2]Doc Set'!G:G)</f>
        <v>43329</v>
      </c>
      <c r="Q8" s="55" t="str">
        <f t="shared" si="1"/>
        <v>SG-F_A</v>
      </c>
      <c r="R8" s="142">
        <f>+LOOKUP(Q8,'[2]Doc Set'!E:E,'[2]Doc Set'!H:H)</f>
        <v>43381</v>
      </c>
      <c r="S8" s="143" t="s">
        <v>200</v>
      </c>
    </row>
    <row r="9" spans="1:19" x14ac:dyDescent="0.3">
      <c r="A9" t="s">
        <v>40</v>
      </c>
      <c r="B9" t="s">
        <v>190</v>
      </c>
      <c r="C9" t="s">
        <v>191</v>
      </c>
      <c r="D9" s="165" t="s">
        <v>63</v>
      </c>
      <c r="E9" t="s">
        <v>193</v>
      </c>
      <c r="F9" t="s">
        <v>194</v>
      </c>
      <c r="G9" t="s">
        <v>739</v>
      </c>
      <c r="H9" t="s">
        <v>1284</v>
      </c>
      <c r="I9" s="166" t="s">
        <v>51</v>
      </c>
      <c r="J9" s="167" t="s">
        <v>1285</v>
      </c>
      <c r="K9">
        <v>20038918</v>
      </c>
      <c r="L9" s="55" t="s">
        <v>198</v>
      </c>
      <c r="M9" s="141" t="str">
        <f t="shared" si="0"/>
        <v>SG-F_A</v>
      </c>
      <c r="N9" s="142" t="str">
        <f>LOOKUP(M9,'[2]Doc Set'!E:E,'[2]Doc Set'!F:F)</f>
        <v>_</v>
      </c>
      <c r="O9" s="141" t="s">
        <v>1271</v>
      </c>
      <c r="P9" s="142">
        <f>+LOOKUP(O9,'[2]Doc Set'!E:E,'[2]Doc Set'!G:G)</f>
        <v>43329</v>
      </c>
      <c r="Q9" s="55" t="str">
        <f t="shared" si="1"/>
        <v>SG-F_A</v>
      </c>
      <c r="R9" s="142">
        <f>+LOOKUP(Q9,'[2]Doc Set'!E:E,'[2]Doc Set'!H:H)</f>
        <v>43381</v>
      </c>
      <c r="S9" s="143" t="s">
        <v>200</v>
      </c>
    </row>
    <row r="10" spans="1:19" x14ac:dyDescent="0.3">
      <c r="A10" t="s">
        <v>40</v>
      </c>
      <c r="B10" t="s">
        <v>190</v>
      </c>
      <c r="C10" t="s">
        <v>191</v>
      </c>
      <c r="D10" s="165" t="s">
        <v>63</v>
      </c>
      <c r="E10" t="s">
        <v>193</v>
      </c>
      <c r="F10" t="s">
        <v>194</v>
      </c>
      <c r="G10" t="s">
        <v>742</v>
      </c>
      <c r="H10" t="s">
        <v>1286</v>
      </c>
      <c r="I10" s="166" t="s">
        <v>51</v>
      </c>
      <c r="J10" s="167" t="s">
        <v>1287</v>
      </c>
      <c r="K10">
        <v>20038918</v>
      </c>
      <c r="L10" s="55" t="s">
        <v>198</v>
      </c>
      <c r="M10" s="141" t="str">
        <f t="shared" si="0"/>
        <v>SG-F_A</v>
      </c>
      <c r="N10" s="142" t="str">
        <f>LOOKUP(M10,'[2]Doc Set'!E:E,'[2]Doc Set'!F:F)</f>
        <v>_</v>
      </c>
      <c r="O10" s="141" t="s">
        <v>1271</v>
      </c>
      <c r="P10" s="142">
        <f>+LOOKUP(O10,'[2]Doc Set'!E:E,'[2]Doc Set'!G:G)</f>
        <v>43329</v>
      </c>
      <c r="Q10" s="55" t="str">
        <f t="shared" si="1"/>
        <v>SG-F_A</v>
      </c>
      <c r="R10" s="142">
        <f>+LOOKUP(Q10,'[2]Doc Set'!E:E,'[2]Doc Set'!H:H)</f>
        <v>43381</v>
      </c>
      <c r="S10" s="143" t="s">
        <v>200</v>
      </c>
    </row>
    <row r="11" spans="1:19" x14ac:dyDescent="0.3">
      <c r="A11" t="s">
        <v>40</v>
      </c>
      <c r="B11" t="s">
        <v>190</v>
      </c>
      <c r="C11" t="s">
        <v>191</v>
      </c>
      <c r="D11" s="165" t="s">
        <v>63</v>
      </c>
      <c r="E11" t="s">
        <v>193</v>
      </c>
      <c r="F11" t="s">
        <v>194</v>
      </c>
      <c r="G11" t="s">
        <v>1288</v>
      </c>
      <c r="H11" t="s">
        <v>1289</v>
      </c>
      <c r="I11" s="166" t="s">
        <v>51</v>
      </c>
      <c r="J11" s="167" t="s">
        <v>1290</v>
      </c>
      <c r="K11">
        <v>20038918</v>
      </c>
      <c r="L11" s="55" t="s">
        <v>198</v>
      </c>
      <c r="M11" s="141" t="str">
        <f t="shared" si="0"/>
        <v>SG-F_A</v>
      </c>
      <c r="N11" s="142" t="str">
        <f>LOOKUP(M11,'[2]Doc Set'!E:E,'[2]Doc Set'!F:F)</f>
        <v>_</v>
      </c>
      <c r="O11" s="141" t="s">
        <v>1271</v>
      </c>
      <c r="P11" s="142">
        <f>+LOOKUP(O11,'[2]Doc Set'!E:E,'[2]Doc Set'!G:G)</f>
        <v>43329</v>
      </c>
      <c r="Q11" s="55" t="str">
        <f t="shared" si="1"/>
        <v>SG-F_A</v>
      </c>
      <c r="R11" s="142">
        <f>+LOOKUP(Q11,'[2]Doc Set'!E:E,'[2]Doc Set'!H:H)</f>
        <v>43381</v>
      </c>
      <c r="S11" s="143" t="s">
        <v>200</v>
      </c>
    </row>
    <row r="12" spans="1:19" x14ac:dyDescent="0.3">
      <c r="A12" t="s">
        <v>40</v>
      </c>
      <c r="B12" t="s">
        <v>190</v>
      </c>
      <c r="C12" t="s">
        <v>191</v>
      </c>
      <c r="D12" s="165" t="s">
        <v>63</v>
      </c>
      <c r="E12" t="s">
        <v>193</v>
      </c>
      <c r="F12" t="s">
        <v>194</v>
      </c>
      <c r="G12" t="s">
        <v>491</v>
      </c>
      <c r="H12" t="s">
        <v>1291</v>
      </c>
      <c r="I12" s="166" t="s">
        <v>134</v>
      </c>
      <c r="J12" s="167" t="s">
        <v>1292</v>
      </c>
      <c r="K12">
        <v>20038918</v>
      </c>
      <c r="L12" s="55" t="s">
        <v>198</v>
      </c>
      <c r="M12" s="141" t="str">
        <f t="shared" si="0"/>
        <v>SG-F_A</v>
      </c>
      <c r="N12" s="142" t="str">
        <f>LOOKUP(M12,'[2]Doc Set'!E:E,'[2]Doc Set'!F:F)</f>
        <v>_</v>
      </c>
      <c r="O12" s="141" t="s">
        <v>1271</v>
      </c>
      <c r="P12" s="142">
        <f>+LOOKUP(O12,'[2]Doc Set'!E:E,'[2]Doc Set'!G:G)</f>
        <v>43329</v>
      </c>
      <c r="Q12" s="55" t="str">
        <f t="shared" si="1"/>
        <v>SG-F_A</v>
      </c>
      <c r="R12" s="142">
        <f>+LOOKUP(Q12,'[2]Doc Set'!E:E,'[2]Doc Set'!H:H)</f>
        <v>43381</v>
      </c>
      <c r="S12" s="143" t="s">
        <v>200</v>
      </c>
    </row>
  </sheetData>
  <autoFilter ref="A1:S12"/>
  <conditionalFormatting sqref="G2:G12">
    <cfRule type="duplicateValues" dxfId="81" priority="6"/>
  </conditionalFormatting>
  <conditionalFormatting sqref="G2:G12">
    <cfRule type="duplicateValues" dxfId="80" priority="5"/>
  </conditionalFormatting>
  <conditionalFormatting sqref="G2:G12">
    <cfRule type="duplicateValues" dxfId="79" priority="4"/>
  </conditionalFormatting>
  <conditionalFormatting sqref="G1:G1048576">
    <cfRule type="duplicateValues" dxfId="78" priority="2"/>
    <cfRule type="duplicateValues" dxfId="77" priority="3"/>
  </conditionalFormatting>
  <conditionalFormatting sqref="H1:H1048576">
    <cfRule type="duplicateValues" dxfId="76" priority="1"/>
  </conditionalFormatting>
  <dataValidations count="1">
    <dataValidation type="list" allowBlank="1" showInputMessage="1" showErrorMessage="1" sqref="O2:O12 M2:M12">
      <formula1>Document_Set_Name</formula1>
    </dataValidation>
  </dataValidations>
  <pageMargins left="0.7" right="0.7" top="0.75" bottom="0.75" header="0.3" footer="0.3"/>
  <pageSetup orientation="portrait" r:id="rId1"/>
  <headerFooter>
    <oddFooter>&amp;L&amp;1#&amp;"Calibri"&amp;8 Sensitivity: LNT Construction Internal Use</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S31"/>
  <sheetViews>
    <sheetView topLeftCell="G10" zoomScale="98" zoomScaleNormal="98" workbookViewId="0">
      <selection activeCell="H86" sqref="H86:H98"/>
    </sheetView>
  </sheetViews>
  <sheetFormatPr defaultRowHeight="14.4" x14ac:dyDescent="0.3"/>
  <cols>
    <col min="1" max="1" width="11.44140625" bestFit="1" customWidth="1"/>
    <col min="3" max="3" width="11.109375" bestFit="1" customWidth="1"/>
    <col min="4" max="4" width="11.33203125" style="155" bestFit="1" customWidth="1"/>
    <col min="5" max="5" width="10.5546875" bestFit="1" customWidth="1"/>
    <col min="6" max="6" width="8.5546875" bestFit="1" customWidth="1"/>
    <col min="8" max="8" width="22.5546875" bestFit="1" customWidth="1"/>
    <col min="10" max="10" width="56.5546875" bestFit="1" customWidth="1"/>
    <col min="11" max="11" width="11.6640625" customWidth="1"/>
    <col min="12" max="12" width="20.44140625" customWidth="1"/>
    <col min="13" max="13" width="9.109375" customWidth="1"/>
    <col min="14" max="14" width="11.5546875" bestFit="1" customWidth="1"/>
    <col min="15" max="15" width="9.109375" customWidth="1"/>
    <col min="16" max="16" width="12.5546875" bestFit="1" customWidth="1"/>
    <col min="17" max="17" width="9.109375" customWidth="1"/>
    <col min="18" max="18" width="12.44140625" bestFit="1" customWidth="1"/>
    <col min="19" max="19" width="13.88671875" bestFit="1" customWidth="1"/>
  </cols>
  <sheetData>
    <row r="1" spans="1:19" s="136" customFormat="1" x14ac:dyDescent="0.3">
      <c r="A1" s="160" t="s">
        <v>174</v>
      </c>
      <c r="B1" s="160" t="s">
        <v>175</v>
      </c>
      <c r="C1" s="160" t="s">
        <v>176</v>
      </c>
      <c r="D1" s="161" t="s">
        <v>177</v>
      </c>
      <c r="E1" s="160" t="s">
        <v>178</v>
      </c>
      <c r="F1" s="160" t="s">
        <v>179</v>
      </c>
      <c r="G1" s="160" t="s">
        <v>180</v>
      </c>
      <c r="H1" s="160" t="s">
        <v>181</v>
      </c>
      <c r="I1" s="160" t="s">
        <v>182</v>
      </c>
      <c r="J1" s="160" t="s">
        <v>183</v>
      </c>
      <c r="K1" s="160" t="s">
        <v>184</v>
      </c>
      <c r="L1" s="160" t="s">
        <v>185</v>
      </c>
      <c r="M1" s="160" t="s">
        <v>34</v>
      </c>
      <c r="N1" s="160" t="s">
        <v>186</v>
      </c>
      <c r="O1" s="160" t="s">
        <v>67</v>
      </c>
      <c r="P1" s="160" t="s">
        <v>187</v>
      </c>
      <c r="Q1" s="160" t="s">
        <v>133</v>
      </c>
      <c r="R1" s="160" t="s">
        <v>188</v>
      </c>
      <c r="S1" s="160" t="s">
        <v>189</v>
      </c>
    </row>
    <row r="2" spans="1:19" x14ac:dyDescent="0.3">
      <c r="A2" s="55" t="s">
        <v>40</v>
      </c>
      <c r="B2" s="55" t="s">
        <v>190</v>
      </c>
      <c r="C2" s="55" t="s">
        <v>191</v>
      </c>
      <c r="D2" s="138" t="s">
        <v>1182</v>
      </c>
      <c r="E2" s="55" t="s">
        <v>193</v>
      </c>
      <c r="F2" s="55" t="s">
        <v>194</v>
      </c>
      <c r="G2" s="55" t="s">
        <v>1183</v>
      </c>
      <c r="H2" s="55" t="s">
        <v>1184</v>
      </c>
      <c r="I2" s="139" t="s">
        <v>134</v>
      </c>
      <c r="J2" s="159" t="s">
        <v>1185</v>
      </c>
      <c r="K2" s="55">
        <v>20038918</v>
      </c>
      <c r="L2" s="55" t="s">
        <v>198</v>
      </c>
      <c r="M2" s="141" t="s">
        <v>1186</v>
      </c>
      <c r="N2" s="142" t="str">
        <f>LOOKUP(M2,'[2]Doc Set'!E:E,'[2]Doc Set'!F:F)</f>
        <v>_</v>
      </c>
      <c r="O2" s="141" t="s">
        <v>1186</v>
      </c>
      <c r="P2" s="142">
        <f>+LOOKUP(O2,'[2]Doc Set'!E:E,'[2]Doc Set'!G:G)</f>
        <v>43451</v>
      </c>
      <c r="Q2" s="55" t="str">
        <f>+O2</f>
        <v>MSP-F_A</v>
      </c>
      <c r="R2" s="142">
        <f>+LOOKUP(Q2,'[2]Doc Set'!E:E,'[2]Doc Set'!H:H)</f>
        <v>43479</v>
      </c>
      <c r="S2" s="143" t="s">
        <v>200</v>
      </c>
    </row>
    <row r="3" spans="1:19" x14ac:dyDescent="0.3">
      <c r="A3" s="55" t="s">
        <v>40</v>
      </c>
      <c r="B3" s="55" t="s">
        <v>190</v>
      </c>
      <c r="C3" s="55" t="s">
        <v>191</v>
      </c>
      <c r="D3" s="138" t="s">
        <v>1182</v>
      </c>
      <c r="E3" s="55" t="s">
        <v>193</v>
      </c>
      <c r="F3" s="55" t="s">
        <v>194</v>
      </c>
      <c r="G3" s="55" t="s">
        <v>1187</v>
      </c>
      <c r="H3" s="55" t="s">
        <v>1188</v>
      </c>
      <c r="I3" s="139" t="s">
        <v>134</v>
      </c>
      <c r="J3" s="159" t="s">
        <v>1189</v>
      </c>
      <c r="K3" s="55">
        <v>20038918</v>
      </c>
      <c r="L3" s="55" t="s">
        <v>198</v>
      </c>
      <c r="M3" s="141" t="s">
        <v>1186</v>
      </c>
      <c r="N3" s="142" t="str">
        <f>LOOKUP(M3,'[2]Doc Set'!E:E,'[2]Doc Set'!F:F)</f>
        <v>_</v>
      </c>
      <c r="O3" s="141" t="s">
        <v>1186</v>
      </c>
      <c r="P3" s="142">
        <f>+LOOKUP(O3,'[2]Doc Set'!E:E,'[2]Doc Set'!G:G)</f>
        <v>43451</v>
      </c>
      <c r="Q3" s="55" t="str">
        <f t="shared" ref="Q3:Q31" si="0">+O3</f>
        <v>MSP-F_A</v>
      </c>
      <c r="R3" s="142">
        <f>+LOOKUP(Q3,'[2]Doc Set'!E:E,'[2]Doc Set'!H:H)</f>
        <v>43479</v>
      </c>
      <c r="S3" s="143" t="s">
        <v>200</v>
      </c>
    </row>
    <row r="4" spans="1:19" x14ac:dyDescent="0.3">
      <c r="A4" s="55" t="s">
        <v>40</v>
      </c>
      <c r="B4" s="55" t="s">
        <v>190</v>
      </c>
      <c r="C4" s="55" t="s">
        <v>191</v>
      </c>
      <c r="D4" s="138" t="s">
        <v>1182</v>
      </c>
      <c r="E4" s="55" t="s">
        <v>193</v>
      </c>
      <c r="F4" s="55" t="s">
        <v>194</v>
      </c>
      <c r="G4" s="55" t="s">
        <v>1190</v>
      </c>
      <c r="H4" s="55" t="s">
        <v>1191</v>
      </c>
      <c r="I4" s="139" t="s">
        <v>134</v>
      </c>
      <c r="J4" s="159" t="s">
        <v>1192</v>
      </c>
      <c r="K4" s="55">
        <v>20038918</v>
      </c>
      <c r="L4" s="55" t="s">
        <v>198</v>
      </c>
      <c r="M4" s="141" t="s">
        <v>1186</v>
      </c>
      <c r="N4" s="142" t="str">
        <f>LOOKUP(M4,'[2]Doc Set'!E:E,'[2]Doc Set'!F:F)</f>
        <v>_</v>
      </c>
      <c r="O4" s="141" t="s">
        <v>1186</v>
      </c>
      <c r="P4" s="142">
        <f>+LOOKUP(O4,'[2]Doc Set'!E:E,'[2]Doc Set'!G:G)</f>
        <v>43451</v>
      </c>
      <c r="Q4" s="55" t="str">
        <f t="shared" si="0"/>
        <v>MSP-F_A</v>
      </c>
      <c r="R4" s="142">
        <f>+LOOKUP(Q4,'[2]Doc Set'!E:E,'[2]Doc Set'!H:H)</f>
        <v>43479</v>
      </c>
      <c r="S4" s="143" t="s">
        <v>200</v>
      </c>
    </row>
    <row r="5" spans="1:19" x14ac:dyDescent="0.3">
      <c r="A5" s="55" t="s">
        <v>40</v>
      </c>
      <c r="B5" s="55" t="s">
        <v>190</v>
      </c>
      <c r="C5" s="55" t="s">
        <v>191</v>
      </c>
      <c r="D5" s="138" t="s">
        <v>1182</v>
      </c>
      <c r="E5" s="55" t="s">
        <v>193</v>
      </c>
      <c r="F5" s="55" t="s">
        <v>194</v>
      </c>
      <c r="G5" s="55" t="s">
        <v>1193</v>
      </c>
      <c r="H5" s="55" t="s">
        <v>1194</v>
      </c>
      <c r="I5" s="139" t="s">
        <v>134</v>
      </c>
      <c r="J5" s="159" t="s">
        <v>1195</v>
      </c>
      <c r="K5" s="55">
        <v>20038918</v>
      </c>
      <c r="L5" s="55" t="s">
        <v>198</v>
      </c>
      <c r="M5" s="141" t="s">
        <v>1186</v>
      </c>
      <c r="N5" s="142" t="str">
        <f>LOOKUP(M5,'[2]Doc Set'!E:E,'[2]Doc Set'!F:F)</f>
        <v>_</v>
      </c>
      <c r="O5" s="141" t="s">
        <v>1186</v>
      </c>
      <c r="P5" s="142">
        <f>+LOOKUP(O5,'[2]Doc Set'!E:E,'[2]Doc Set'!G:G)</f>
        <v>43451</v>
      </c>
      <c r="Q5" s="55" t="str">
        <f t="shared" si="0"/>
        <v>MSP-F_A</v>
      </c>
      <c r="R5" s="142">
        <f>+LOOKUP(Q5,'[2]Doc Set'!E:E,'[2]Doc Set'!H:H)</f>
        <v>43479</v>
      </c>
      <c r="S5" s="143" t="s">
        <v>200</v>
      </c>
    </row>
    <row r="6" spans="1:19" x14ac:dyDescent="0.3">
      <c r="A6" s="55" t="s">
        <v>40</v>
      </c>
      <c r="B6" s="55" t="s">
        <v>190</v>
      </c>
      <c r="C6" s="55" t="s">
        <v>191</v>
      </c>
      <c r="D6" s="138" t="s">
        <v>1182</v>
      </c>
      <c r="E6" s="55" t="s">
        <v>193</v>
      </c>
      <c r="F6" s="55" t="s">
        <v>194</v>
      </c>
      <c r="G6" s="55" t="s">
        <v>1196</v>
      </c>
      <c r="H6" s="55" t="s">
        <v>1197</v>
      </c>
      <c r="I6" s="139" t="s">
        <v>134</v>
      </c>
      <c r="J6" s="159" t="s">
        <v>1198</v>
      </c>
      <c r="K6" s="55">
        <v>20038918</v>
      </c>
      <c r="L6" s="55" t="s">
        <v>198</v>
      </c>
      <c r="M6" s="141" t="s">
        <v>1186</v>
      </c>
      <c r="N6" s="142" t="str">
        <f>LOOKUP(M6,'[2]Doc Set'!E:E,'[2]Doc Set'!F:F)</f>
        <v>_</v>
      </c>
      <c r="O6" s="141" t="s">
        <v>1186</v>
      </c>
      <c r="P6" s="142">
        <f>+LOOKUP(O6,'[2]Doc Set'!E:E,'[2]Doc Set'!G:G)</f>
        <v>43451</v>
      </c>
      <c r="Q6" s="55" t="str">
        <f t="shared" si="0"/>
        <v>MSP-F_A</v>
      </c>
      <c r="R6" s="142">
        <f>+LOOKUP(Q6,'[2]Doc Set'!E:E,'[2]Doc Set'!H:H)</f>
        <v>43479</v>
      </c>
      <c r="S6" s="143" t="s">
        <v>200</v>
      </c>
    </row>
    <row r="7" spans="1:19" x14ac:dyDescent="0.3">
      <c r="A7" s="55" t="s">
        <v>40</v>
      </c>
      <c r="B7" s="55" t="s">
        <v>190</v>
      </c>
      <c r="C7" s="55" t="s">
        <v>191</v>
      </c>
      <c r="D7" s="138" t="s">
        <v>1182</v>
      </c>
      <c r="E7" s="55" t="s">
        <v>193</v>
      </c>
      <c r="F7" s="55" t="s">
        <v>194</v>
      </c>
      <c r="G7" s="55" t="s">
        <v>1199</v>
      </c>
      <c r="H7" s="55" t="s">
        <v>1200</v>
      </c>
      <c r="I7" s="139" t="s">
        <v>134</v>
      </c>
      <c r="J7" s="159" t="s">
        <v>1201</v>
      </c>
      <c r="K7" s="55">
        <v>20038918</v>
      </c>
      <c r="L7" s="55" t="s">
        <v>198</v>
      </c>
      <c r="M7" s="141" t="s">
        <v>1186</v>
      </c>
      <c r="N7" s="142" t="str">
        <f>LOOKUP(M7,'[2]Doc Set'!E:E,'[2]Doc Set'!F:F)</f>
        <v>_</v>
      </c>
      <c r="O7" s="141" t="s">
        <v>1186</v>
      </c>
      <c r="P7" s="142">
        <f>+LOOKUP(O7,'[2]Doc Set'!E:E,'[2]Doc Set'!G:G)</f>
        <v>43451</v>
      </c>
      <c r="Q7" s="55" t="str">
        <f t="shared" si="0"/>
        <v>MSP-F_A</v>
      </c>
      <c r="R7" s="142">
        <f>+LOOKUP(Q7,'[2]Doc Set'!E:E,'[2]Doc Set'!H:H)</f>
        <v>43479</v>
      </c>
      <c r="S7" s="143" t="s">
        <v>200</v>
      </c>
    </row>
    <row r="8" spans="1:19" x14ac:dyDescent="0.3">
      <c r="A8" s="55" t="s">
        <v>40</v>
      </c>
      <c r="B8" s="55" t="s">
        <v>190</v>
      </c>
      <c r="C8" s="55" t="s">
        <v>191</v>
      </c>
      <c r="D8" s="138" t="s">
        <v>1182</v>
      </c>
      <c r="E8" s="55" t="s">
        <v>193</v>
      </c>
      <c r="F8" s="55" t="s">
        <v>194</v>
      </c>
      <c r="G8" s="55" t="s">
        <v>1202</v>
      </c>
      <c r="H8" s="55" t="s">
        <v>1203</v>
      </c>
      <c r="I8" s="139" t="s">
        <v>134</v>
      </c>
      <c r="J8" s="159" t="s">
        <v>1204</v>
      </c>
      <c r="K8" s="55">
        <v>20038918</v>
      </c>
      <c r="L8" s="55" t="s">
        <v>198</v>
      </c>
      <c r="M8" s="141" t="s">
        <v>1186</v>
      </c>
      <c r="N8" s="142" t="str">
        <f>LOOKUP(M8,'[2]Doc Set'!E:E,'[2]Doc Set'!F:F)</f>
        <v>_</v>
      </c>
      <c r="O8" s="141" t="s">
        <v>1186</v>
      </c>
      <c r="P8" s="142">
        <f>+LOOKUP(O8,'[2]Doc Set'!E:E,'[2]Doc Set'!G:G)</f>
        <v>43451</v>
      </c>
      <c r="Q8" s="55" t="str">
        <f t="shared" si="0"/>
        <v>MSP-F_A</v>
      </c>
      <c r="R8" s="142">
        <f>+LOOKUP(Q8,'[2]Doc Set'!E:E,'[2]Doc Set'!H:H)</f>
        <v>43479</v>
      </c>
      <c r="S8" s="143" t="s">
        <v>200</v>
      </c>
    </row>
    <row r="9" spans="1:19" x14ac:dyDescent="0.3">
      <c r="A9" s="55" t="s">
        <v>40</v>
      </c>
      <c r="B9" s="55" t="s">
        <v>190</v>
      </c>
      <c r="C9" s="55" t="s">
        <v>191</v>
      </c>
      <c r="D9" s="138" t="s">
        <v>1182</v>
      </c>
      <c r="E9" s="55" t="s">
        <v>193</v>
      </c>
      <c r="F9" s="55" t="s">
        <v>194</v>
      </c>
      <c r="G9" s="55" t="s">
        <v>1205</v>
      </c>
      <c r="H9" s="55" t="s">
        <v>1206</v>
      </c>
      <c r="I9" s="139" t="s">
        <v>134</v>
      </c>
      <c r="J9" s="159" t="s">
        <v>1207</v>
      </c>
      <c r="K9" s="55">
        <v>20038918</v>
      </c>
      <c r="L9" s="55" t="s">
        <v>198</v>
      </c>
      <c r="M9" s="141" t="s">
        <v>1186</v>
      </c>
      <c r="N9" s="142" t="str">
        <f>LOOKUP(M9,'[2]Doc Set'!E:E,'[2]Doc Set'!F:F)</f>
        <v>_</v>
      </c>
      <c r="O9" s="141" t="s">
        <v>1186</v>
      </c>
      <c r="P9" s="142">
        <f>+LOOKUP(O9,'[2]Doc Set'!E:E,'[2]Doc Set'!G:G)</f>
        <v>43451</v>
      </c>
      <c r="Q9" s="55" t="str">
        <f t="shared" si="0"/>
        <v>MSP-F_A</v>
      </c>
      <c r="R9" s="142">
        <f>+LOOKUP(Q9,'[2]Doc Set'!E:E,'[2]Doc Set'!H:H)</f>
        <v>43479</v>
      </c>
      <c r="S9" s="143" t="s">
        <v>200</v>
      </c>
    </row>
    <row r="10" spans="1:19" x14ac:dyDescent="0.3">
      <c r="A10" s="55" t="s">
        <v>40</v>
      </c>
      <c r="B10" s="55" t="s">
        <v>190</v>
      </c>
      <c r="C10" s="55" t="s">
        <v>191</v>
      </c>
      <c r="D10" s="138" t="s">
        <v>1182</v>
      </c>
      <c r="E10" s="55" t="s">
        <v>193</v>
      </c>
      <c r="F10" s="55" t="s">
        <v>194</v>
      </c>
      <c r="G10" s="55" t="s">
        <v>1208</v>
      </c>
      <c r="H10" s="55" t="s">
        <v>1209</v>
      </c>
      <c r="I10" s="139" t="s">
        <v>134</v>
      </c>
      <c r="J10" s="159" t="s">
        <v>1210</v>
      </c>
      <c r="K10" s="55">
        <v>20038918</v>
      </c>
      <c r="L10" s="55" t="s">
        <v>198</v>
      </c>
      <c r="M10" s="141" t="s">
        <v>1186</v>
      </c>
      <c r="N10" s="142" t="str">
        <f>LOOKUP(M10,'[2]Doc Set'!E:E,'[2]Doc Set'!F:F)</f>
        <v>_</v>
      </c>
      <c r="O10" s="141" t="s">
        <v>1186</v>
      </c>
      <c r="P10" s="142">
        <f>+LOOKUP(O10,'[2]Doc Set'!E:E,'[2]Doc Set'!G:G)</f>
        <v>43451</v>
      </c>
      <c r="Q10" s="55" t="str">
        <f t="shared" si="0"/>
        <v>MSP-F_A</v>
      </c>
      <c r="R10" s="142">
        <f>+LOOKUP(Q10,'[2]Doc Set'!E:E,'[2]Doc Set'!H:H)</f>
        <v>43479</v>
      </c>
      <c r="S10" s="143" t="s">
        <v>200</v>
      </c>
    </row>
    <row r="11" spans="1:19" x14ac:dyDescent="0.3">
      <c r="A11" s="55" t="s">
        <v>40</v>
      </c>
      <c r="B11" s="55" t="s">
        <v>190</v>
      </c>
      <c r="C11" s="55" t="s">
        <v>191</v>
      </c>
      <c r="D11" s="138" t="s">
        <v>1182</v>
      </c>
      <c r="E11" s="55" t="s">
        <v>193</v>
      </c>
      <c r="F11" s="55" t="s">
        <v>451</v>
      </c>
      <c r="G11" s="55" t="s">
        <v>1211</v>
      </c>
      <c r="H11" s="55" t="s">
        <v>1212</v>
      </c>
      <c r="I11" s="139" t="s">
        <v>134</v>
      </c>
      <c r="J11" s="159" t="s">
        <v>1213</v>
      </c>
      <c r="K11" s="55">
        <v>20038918</v>
      </c>
      <c r="L11" s="55" t="s">
        <v>198</v>
      </c>
      <c r="M11" s="141" t="s">
        <v>1186</v>
      </c>
      <c r="N11" s="142" t="str">
        <f>LOOKUP(M11,'[2]Doc Set'!E:E,'[2]Doc Set'!F:F)</f>
        <v>_</v>
      </c>
      <c r="O11" s="141" t="s">
        <v>1186</v>
      </c>
      <c r="P11" s="142">
        <f>+LOOKUP(O11,'[2]Doc Set'!E:E,'[2]Doc Set'!G:G)</f>
        <v>43451</v>
      </c>
      <c r="Q11" s="55" t="str">
        <f t="shared" si="0"/>
        <v>MSP-F_A</v>
      </c>
      <c r="R11" s="142">
        <f>+LOOKUP(Q11,'[2]Doc Set'!E:E,'[2]Doc Set'!H:H)</f>
        <v>43479</v>
      </c>
      <c r="S11" s="143" t="s">
        <v>200</v>
      </c>
    </row>
    <row r="12" spans="1:19" x14ac:dyDescent="0.3">
      <c r="A12" s="55" t="s">
        <v>40</v>
      </c>
      <c r="B12" s="55" t="s">
        <v>190</v>
      </c>
      <c r="C12" s="55" t="s">
        <v>191</v>
      </c>
      <c r="D12" s="138" t="s">
        <v>1182</v>
      </c>
      <c r="E12" s="55" t="s">
        <v>193</v>
      </c>
      <c r="F12" s="55" t="s">
        <v>451</v>
      </c>
      <c r="G12" s="55" t="s">
        <v>1214</v>
      </c>
      <c r="H12" s="55" t="s">
        <v>1215</v>
      </c>
      <c r="I12" s="139" t="s">
        <v>134</v>
      </c>
      <c r="J12" s="159" t="s">
        <v>1216</v>
      </c>
      <c r="K12" s="55">
        <v>20038918</v>
      </c>
      <c r="L12" s="55" t="s">
        <v>198</v>
      </c>
      <c r="M12" s="141" t="s">
        <v>1186</v>
      </c>
      <c r="N12" s="142" t="str">
        <f>LOOKUP(M12,'[2]Doc Set'!E:E,'[2]Doc Set'!F:F)</f>
        <v>_</v>
      </c>
      <c r="O12" s="141" t="s">
        <v>1186</v>
      </c>
      <c r="P12" s="142">
        <f>+LOOKUP(O12,'[2]Doc Set'!E:E,'[2]Doc Set'!G:G)</f>
        <v>43451</v>
      </c>
      <c r="Q12" s="55" t="str">
        <f t="shared" si="0"/>
        <v>MSP-F_A</v>
      </c>
      <c r="R12" s="142">
        <f>+LOOKUP(Q12,'[2]Doc Set'!E:E,'[2]Doc Set'!H:H)</f>
        <v>43479</v>
      </c>
      <c r="S12" s="143" t="s">
        <v>200</v>
      </c>
    </row>
    <row r="13" spans="1:19" x14ac:dyDescent="0.3">
      <c r="A13" s="55" t="s">
        <v>40</v>
      </c>
      <c r="B13" s="55" t="s">
        <v>190</v>
      </c>
      <c r="C13" s="55" t="s">
        <v>191</v>
      </c>
      <c r="D13" s="138" t="s">
        <v>1182</v>
      </c>
      <c r="E13" s="55" t="s">
        <v>193</v>
      </c>
      <c r="F13" s="55" t="s">
        <v>451</v>
      </c>
      <c r="G13" s="55" t="s">
        <v>1217</v>
      </c>
      <c r="H13" s="55" t="s">
        <v>1218</v>
      </c>
      <c r="I13" s="139" t="s">
        <v>134</v>
      </c>
      <c r="J13" s="159" t="s">
        <v>1219</v>
      </c>
      <c r="K13" s="55">
        <v>20038918</v>
      </c>
      <c r="L13" s="55" t="s">
        <v>198</v>
      </c>
      <c r="M13" s="141" t="s">
        <v>1186</v>
      </c>
      <c r="N13" s="142" t="str">
        <f>LOOKUP(M13,'[2]Doc Set'!E:E,'[2]Doc Set'!F:F)</f>
        <v>_</v>
      </c>
      <c r="O13" s="141" t="s">
        <v>1186</v>
      </c>
      <c r="P13" s="142">
        <f>+LOOKUP(O13,'[2]Doc Set'!E:E,'[2]Doc Set'!G:G)</f>
        <v>43451</v>
      </c>
      <c r="Q13" s="55" t="str">
        <f t="shared" si="0"/>
        <v>MSP-F_A</v>
      </c>
      <c r="R13" s="142">
        <f>+LOOKUP(Q13,'[2]Doc Set'!E:E,'[2]Doc Set'!H:H)</f>
        <v>43479</v>
      </c>
      <c r="S13" s="143" t="s">
        <v>200</v>
      </c>
    </row>
    <row r="14" spans="1:19" x14ac:dyDescent="0.3">
      <c r="A14" s="55" t="s">
        <v>40</v>
      </c>
      <c r="B14" s="55" t="s">
        <v>190</v>
      </c>
      <c r="C14" s="55" t="s">
        <v>191</v>
      </c>
      <c r="D14" s="138" t="s">
        <v>1182</v>
      </c>
      <c r="E14" s="55" t="s">
        <v>193</v>
      </c>
      <c r="F14" s="55" t="s">
        <v>451</v>
      </c>
      <c r="G14" s="55" t="s">
        <v>1220</v>
      </c>
      <c r="H14" s="55" t="s">
        <v>1221</v>
      </c>
      <c r="I14" s="139" t="s">
        <v>134</v>
      </c>
      <c r="J14" s="159" t="s">
        <v>1222</v>
      </c>
      <c r="K14" s="55">
        <v>20038918</v>
      </c>
      <c r="L14" s="55" t="s">
        <v>198</v>
      </c>
      <c r="M14" s="141" t="s">
        <v>1186</v>
      </c>
      <c r="N14" s="142" t="str">
        <f>LOOKUP(M14,'[2]Doc Set'!E:E,'[2]Doc Set'!F:F)</f>
        <v>_</v>
      </c>
      <c r="O14" s="141" t="s">
        <v>1186</v>
      </c>
      <c r="P14" s="142">
        <f>+LOOKUP(O14,'[2]Doc Set'!E:E,'[2]Doc Set'!G:G)</f>
        <v>43451</v>
      </c>
      <c r="Q14" s="55" t="str">
        <f t="shared" si="0"/>
        <v>MSP-F_A</v>
      </c>
      <c r="R14" s="142">
        <f>+LOOKUP(Q14,'[2]Doc Set'!E:E,'[2]Doc Set'!H:H)</f>
        <v>43479</v>
      </c>
      <c r="S14" s="143" t="s">
        <v>200</v>
      </c>
    </row>
    <row r="15" spans="1:19" x14ac:dyDescent="0.3">
      <c r="A15" s="55" t="s">
        <v>40</v>
      </c>
      <c r="B15" s="55" t="s">
        <v>190</v>
      </c>
      <c r="C15" s="55" t="s">
        <v>191</v>
      </c>
      <c r="D15" s="138" t="s">
        <v>1182</v>
      </c>
      <c r="E15" s="55" t="s">
        <v>193</v>
      </c>
      <c r="F15" s="55" t="s">
        <v>451</v>
      </c>
      <c r="G15" s="55" t="s">
        <v>1223</v>
      </c>
      <c r="H15" s="55" t="s">
        <v>1224</v>
      </c>
      <c r="I15" s="139" t="s">
        <v>134</v>
      </c>
      <c r="J15" s="159" t="s">
        <v>1225</v>
      </c>
      <c r="K15" s="55">
        <v>20038918</v>
      </c>
      <c r="L15" s="55" t="s">
        <v>198</v>
      </c>
      <c r="M15" s="141" t="s">
        <v>1186</v>
      </c>
      <c r="N15" s="142" t="str">
        <f>LOOKUP(M15,'[2]Doc Set'!E:E,'[2]Doc Set'!F:F)</f>
        <v>_</v>
      </c>
      <c r="O15" s="141" t="s">
        <v>1186</v>
      </c>
      <c r="P15" s="142">
        <f>+LOOKUP(O15,'[2]Doc Set'!E:E,'[2]Doc Set'!G:G)</f>
        <v>43451</v>
      </c>
      <c r="Q15" s="55" t="str">
        <f t="shared" si="0"/>
        <v>MSP-F_A</v>
      </c>
      <c r="R15" s="142">
        <f>+LOOKUP(Q15,'[2]Doc Set'!E:E,'[2]Doc Set'!H:H)</f>
        <v>43479</v>
      </c>
      <c r="S15" s="143" t="s">
        <v>200</v>
      </c>
    </row>
    <row r="16" spans="1:19" x14ac:dyDescent="0.3">
      <c r="A16" s="55" t="s">
        <v>40</v>
      </c>
      <c r="B16" s="55" t="s">
        <v>190</v>
      </c>
      <c r="C16" s="55" t="s">
        <v>191</v>
      </c>
      <c r="D16" s="138" t="s">
        <v>1182</v>
      </c>
      <c r="E16" s="55" t="s">
        <v>193</v>
      </c>
      <c r="F16" s="55" t="s">
        <v>521</v>
      </c>
      <c r="G16" s="55" t="s">
        <v>1226</v>
      </c>
      <c r="H16" s="55" t="s">
        <v>1227</v>
      </c>
      <c r="I16" s="139" t="s">
        <v>134</v>
      </c>
      <c r="J16" s="159" t="s">
        <v>1228</v>
      </c>
      <c r="K16" s="55">
        <v>20038918</v>
      </c>
      <c r="L16" s="55" t="s">
        <v>198</v>
      </c>
      <c r="M16" s="141" t="s">
        <v>1186</v>
      </c>
      <c r="N16" s="142" t="str">
        <f>LOOKUP(M16,'[2]Doc Set'!E:E,'[2]Doc Set'!F:F)</f>
        <v>_</v>
      </c>
      <c r="O16" s="141" t="s">
        <v>1186</v>
      </c>
      <c r="P16" s="142">
        <f>+LOOKUP(O16,'[2]Doc Set'!E:E,'[2]Doc Set'!G:G)</f>
        <v>43451</v>
      </c>
      <c r="Q16" s="55" t="str">
        <f t="shared" si="0"/>
        <v>MSP-F_A</v>
      </c>
      <c r="R16" s="142">
        <f>+LOOKUP(Q16,'[2]Doc Set'!E:E,'[2]Doc Set'!H:H)</f>
        <v>43479</v>
      </c>
      <c r="S16" s="143" t="s">
        <v>200</v>
      </c>
    </row>
    <row r="17" spans="1:19" x14ac:dyDescent="0.3">
      <c r="A17" s="55" t="s">
        <v>40</v>
      </c>
      <c r="B17" s="55" t="s">
        <v>190</v>
      </c>
      <c r="C17" s="55" t="s">
        <v>191</v>
      </c>
      <c r="D17" s="138" t="s">
        <v>1182</v>
      </c>
      <c r="E17" s="55" t="s">
        <v>193</v>
      </c>
      <c r="F17" s="55" t="s">
        <v>521</v>
      </c>
      <c r="G17" s="55" t="s">
        <v>1229</v>
      </c>
      <c r="H17" s="55" t="s">
        <v>1230</v>
      </c>
      <c r="I17" s="139" t="s">
        <v>134</v>
      </c>
      <c r="J17" s="159" t="s">
        <v>1231</v>
      </c>
      <c r="K17" s="55">
        <v>20038918</v>
      </c>
      <c r="L17" s="55" t="s">
        <v>198</v>
      </c>
      <c r="M17" s="141" t="s">
        <v>1186</v>
      </c>
      <c r="N17" s="142" t="str">
        <f>LOOKUP(M17,'[2]Doc Set'!E:E,'[2]Doc Set'!F:F)</f>
        <v>_</v>
      </c>
      <c r="O17" s="141" t="s">
        <v>1186</v>
      </c>
      <c r="P17" s="142">
        <f>+LOOKUP(O17,'[2]Doc Set'!E:E,'[2]Doc Set'!G:G)</f>
        <v>43451</v>
      </c>
      <c r="Q17" s="55" t="str">
        <f t="shared" si="0"/>
        <v>MSP-F_A</v>
      </c>
      <c r="R17" s="142">
        <f>+LOOKUP(Q17,'[2]Doc Set'!E:E,'[2]Doc Set'!H:H)</f>
        <v>43479</v>
      </c>
      <c r="S17" s="143" t="s">
        <v>200</v>
      </c>
    </row>
    <row r="18" spans="1:19" x14ac:dyDescent="0.3">
      <c r="A18" s="55" t="s">
        <v>40</v>
      </c>
      <c r="B18" s="55" t="s">
        <v>190</v>
      </c>
      <c r="C18" s="55" t="s">
        <v>191</v>
      </c>
      <c r="D18" s="138" t="s">
        <v>1182</v>
      </c>
      <c r="E18" s="55" t="s">
        <v>193</v>
      </c>
      <c r="F18" s="55" t="s">
        <v>555</v>
      </c>
      <c r="G18" s="55" t="s">
        <v>53</v>
      </c>
      <c r="H18" s="55" t="s">
        <v>1232</v>
      </c>
      <c r="I18" s="139" t="s">
        <v>134</v>
      </c>
      <c r="J18" s="159" t="s">
        <v>1233</v>
      </c>
      <c r="K18" s="55">
        <v>20038918</v>
      </c>
      <c r="L18" t="s">
        <v>1234</v>
      </c>
      <c r="M18" s="141" t="s">
        <v>1186</v>
      </c>
      <c r="N18" s="142" t="str">
        <f>LOOKUP(M18,'[2]Doc Set'!E:E,'[2]Doc Set'!F:F)</f>
        <v>_</v>
      </c>
      <c r="O18" s="141" t="s">
        <v>1186</v>
      </c>
      <c r="P18" s="142">
        <f>+LOOKUP(O18,'[2]Doc Set'!E:E,'[2]Doc Set'!G:G)</f>
        <v>43451</v>
      </c>
      <c r="Q18" s="55" t="str">
        <f t="shared" si="0"/>
        <v>MSP-F_A</v>
      </c>
      <c r="R18" s="142">
        <f>+LOOKUP(Q18,'[2]Doc Set'!E:E,'[2]Doc Set'!H:H)</f>
        <v>43479</v>
      </c>
      <c r="S18" s="143" t="s">
        <v>200</v>
      </c>
    </row>
    <row r="19" spans="1:19" ht="28.8" x14ac:dyDescent="0.3">
      <c r="A19" s="55" t="s">
        <v>40</v>
      </c>
      <c r="B19" s="55" t="s">
        <v>190</v>
      </c>
      <c r="C19" s="55" t="s">
        <v>191</v>
      </c>
      <c r="D19" s="138" t="s">
        <v>1182</v>
      </c>
      <c r="E19" s="55" t="s">
        <v>193</v>
      </c>
      <c r="F19" s="55" t="s">
        <v>555</v>
      </c>
      <c r="G19" s="55" t="s">
        <v>561</v>
      </c>
      <c r="H19" s="55" t="s">
        <v>1235</v>
      </c>
      <c r="I19" s="139" t="s">
        <v>134</v>
      </c>
      <c r="J19" s="159" t="s">
        <v>1236</v>
      </c>
      <c r="K19" s="55">
        <v>20038918</v>
      </c>
      <c r="L19" t="s">
        <v>1234</v>
      </c>
      <c r="M19" s="141" t="s">
        <v>1186</v>
      </c>
      <c r="N19" s="142" t="str">
        <f>LOOKUP(M19,'[2]Doc Set'!E:E,'[2]Doc Set'!F:F)</f>
        <v>_</v>
      </c>
      <c r="O19" s="141" t="s">
        <v>1186</v>
      </c>
      <c r="P19" s="142">
        <f>+LOOKUP(O19,'[2]Doc Set'!E:E,'[2]Doc Set'!G:G)</f>
        <v>43451</v>
      </c>
      <c r="Q19" s="55" t="str">
        <f t="shared" si="0"/>
        <v>MSP-F_A</v>
      </c>
      <c r="R19" s="142">
        <f>+LOOKUP(Q19,'[2]Doc Set'!E:E,'[2]Doc Set'!H:H)</f>
        <v>43479</v>
      </c>
      <c r="S19" s="143" t="s">
        <v>200</v>
      </c>
    </row>
    <row r="20" spans="1:19" x14ac:dyDescent="0.3">
      <c r="A20" s="55" t="s">
        <v>40</v>
      </c>
      <c r="B20" s="55" t="s">
        <v>190</v>
      </c>
      <c r="C20" s="55" t="s">
        <v>191</v>
      </c>
      <c r="D20" s="138" t="s">
        <v>1182</v>
      </c>
      <c r="E20" s="55" t="s">
        <v>193</v>
      </c>
      <c r="F20" s="55" t="s">
        <v>555</v>
      </c>
      <c r="G20" s="55" t="s">
        <v>564</v>
      </c>
      <c r="H20" s="55" t="s">
        <v>1237</v>
      </c>
      <c r="I20" s="139" t="s">
        <v>134</v>
      </c>
      <c r="J20" s="159" t="s">
        <v>1238</v>
      </c>
      <c r="K20" s="55">
        <v>20038918</v>
      </c>
      <c r="L20" t="s">
        <v>1234</v>
      </c>
      <c r="M20" s="141" t="s">
        <v>1186</v>
      </c>
      <c r="N20" s="142" t="str">
        <f>LOOKUP(M20,'[2]Doc Set'!E:E,'[2]Doc Set'!F:F)</f>
        <v>_</v>
      </c>
      <c r="O20" s="141" t="s">
        <v>1186</v>
      </c>
      <c r="P20" s="142">
        <f>+LOOKUP(O20,'[2]Doc Set'!E:E,'[2]Doc Set'!G:G)</f>
        <v>43451</v>
      </c>
      <c r="Q20" s="55" t="str">
        <f t="shared" si="0"/>
        <v>MSP-F_A</v>
      </c>
      <c r="R20" s="142">
        <f>+LOOKUP(Q20,'[2]Doc Set'!E:E,'[2]Doc Set'!H:H)</f>
        <v>43479</v>
      </c>
      <c r="S20" s="143" t="s">
        <v>200</v>
      </c>
    </row>
    <row r="21" spans="1:19" x14ac:dyDescent="0.3">
      <c r="A21" s="55" t="s">
        <v>40</v>
      </c>
      <c r="B21" s="55" t="s">
        <v>190</v>
      </c>
      <c r="C21" s="55" t="s">
        <v>191</v>
      </c>
      <c r="D21" s="138" t="s">
        <v>1182</v>
      </c>
      <c r="E21" s="55" t="s">
        <v>193</v>
      </c>
      <c r="F21" s="55" t="s">
        <v>555</v>
      </c>
      <c r="G21" s="55" t="s">
        <v>567</v>
      </c>
      <c r="H21" s="55" t="s">
        <v>1239</v>
      </c>
      <c r="I21" s="139" t="s">
        <v>134</v>
      </c>
      <c r="J21" s="159" t="s">
        <v>1240</v>
      </c>
      <c r="K21" s="55">
        <v>20038918</v>
      </c>
      <c r="L21" t="s">
        <v>1234</v>
      </c>
      <c r="M21" s="141" t="s">
        <v>1186</v>
      </c>
      <c r="N21" s="142" t="str">
        <f>LOOKUP(M21,'[2]Doc Set'!E:E,'[2]Doc Set'!F:F)</f>
        <v>_</v>
      </c>
      <c r="O21" s="141" t="s">
        <v>1186</v>
      </c>
      <c r="P21" s="142">
        <f>+LOOKUP(O21,'[2]Doc Set'!E:E,'[2]Doc Set'!G:G)</f>
        <v>43451</v>
      </c>
      <c r="Q21" s="55" t="str">
        <f t="shared" si="0"/>
        <v>MSP-F_A</v>
      </c>
      <c r="R21" s="142">
        <f>+LOOKUP(Q21,'[2]Doc Set'!E:E,'[2]Doc Set'!H:H)</f>
        <v>43479</v>
      </c>
      <c r="S21" s="143" t="s">
        <v>200</v>
      </c>
    </row>
    <row r="22" spans="1:19" x14ac:dyDescent="0.3">
      <c r="A22" s="55" t="s">
        <v>40</v>
      </c>
      <c r="B22" s="55" t="s">
        <v>190</v>
      </c>
      <c r="C22" s="55" t="s">
        <v>191</v>
      </c>
      <c r="D22" s="138" t="s">
        <v>1182</v>
      </c>
      <c r="E22" s="55" t="s">
        <v>193</v>
      </c>
      <c r="F22" s="55" t="s">
        <v>555</v>
      </c>
      <c r="G22" s="55" t="s">
        <v>570</v>
      </c>
      <c r="H22" s="55" t="s">
        <v>1241</v>
      </c>
      <c r="I22" s="139" t="s">
        <v>134</v>
      </c>
      <c r="J22" s="159" t="s">
        <v>1242</v>
      </c>
      <c r="K22" s="55">
        <v>20038918</v>
      </c>
      <c r="L22" t="s">
        <v>1234</v>
      </c>
      <c r="M22" s="141" t="s">
        <v>1186</v>
      </c>
      <c r="N22" s="142" t="str">
        <f>LOOKUP(M22,'[2]Doc Set'!E:E,'[2]Doc Set'!F:F)</f>
        <v>_</v>
      </c>
      <c r="O22" s="141" t="s">
        <v>1186</v>
      </c>
      <c r="P22" s="142">
        <f>+LOOKUP(O22,'[2]Doc Set'!E:E,'[2]Doc Set'!G:G)</f>
        <v>43451</v>
      </c>
      <c r="Q22" s="55" t="str">
        <f t="shared" si="0"/>
        <v>MSP-F_A</v>
      </c>
      <c r="R22" s="142">
        <f>+LOOKUP(Q22,'[2]Doc Set'!E:E,'[2]Doc Set'!H:H)</f>
        <v>43479</v>
      </c>
      <c r="S22" s="143" t="s">
        <v>200</v>
      </c>
    </row>
    <row r="23" spans="1:19" x14ac:dyDescent="0.3">
      <c r="A23" s="55" t="s">
        <v>40</v>
      </c>
      <c r="B23" s="55" t="s">
        <v>190</v>
      </c>
      <c r="C23" s="55" t="s">
        <v>191</v>
      </c>
      <c r="D23" s="138" t="s">
        <v>1182</v>
      </c>
      <c r="E23" s="55" t="s">
        <v>193</v>
      </c>
      <c r="F23" s="55" t="s">
        <v>555</v>
      </c>
      <c r="G23" s="55" t="s">
        <v>573</v>
      </c>
      <c r="H23" s="55" t="s">
        <v>1243</v>
      </c>
      <c r="I23" s="139" t="s">
        <v>134</v>
      </c>
      <c r="J23" s="159" t="s">
        <v>1244</v>
      </c>
      <c r="K23" s="55">
        <v>20038918</v>
      </c>
      <c r="L23" t="s">
        <v>1234</v>
      </c>
      <c r="M23" s="141" t="s">
        <v>1186</v>
      </c>
      <c r="N23" s="142" t="str">
        <f>LOOKUP(M23,'[2]Doc Set'!E:E,'[2]Doc Set'!F:F)</f>
        <v>_</v>
      </c>
      <c r="O23" s="141" t="s">
        <v>1186</v>
      </c>
      <c r="P23" s="142">
        <f>+LOOKUP(O23,'[2]Doc Set'!E:E,'[2]Doc Set'!G:G)</f>
        <v>43451</v>
      </c>
      <c r="Q23" s="55" t="str">
        <f t="shared" si="0"/>
        <v>MSP-F_A</v>
      </c>
      <c r="R23" s="142">
        <f>+LOOKUP(Q23,'[2]Doc Set'!E:E,'[2]Doc Set'!H:H)</f>
        <v>43479</v>
      </c>
      <c r="S23" s="143" t="s">
        <v>200</v>
      </c>
    </row>
    <row r="24" spans="1:19" x14ac:dyDescent="0.3">
      <c r="A24" s="55" t="s">
        <v>40</v>
      </c>
      <c r="B24" s="55" t="s">
        <v>190</v>
      </c>
      <c r="C24" s="55" t="s">
        <v>191</v>
      </c>
      <c r="D24" s="138" t="s">
        <v>1182</v>
      </c>
      <c r="E24" s="55" t="s">
        <v>193</v>
      </c>
      <c r="F24" s="55" t="s">
        <v>555</v>
      </c>
      <c r="G24" s="55" t="s">
        <v>576</v>
      </c>
      <c r="H24" s="55" t="s">
        <v>1245</v>
      </c>
      <c r="I24" s="139" t="s">
        <v>134</v>
      </c>
      <c r="J24" s="159" t="s">
        <v>1246</v>
      </c>
      <c r="K24" s="55">
        <v>20038918</v>
      </c>
      <c r="L24" t="s">
        <v>1234</v>
      </c>
      <c r="M24" s="141" t="s">
        <v>1186</v>
      </c>
      <c r="N24" s="142" t="str">
        <f>LOOKUP(M24,'[2]Doc Set'!E:E,'[2]Doc Set'!F:F)</f>
        <v>_</v>
      </c>
      <c r="O24" s="141" t="s">
        <v>1186</v>
      </c>
      <c r="P24" s="142">
        <f>+LOOKUP(O24,'[2]Doc Set'!E:E,'[2]Doc Set'!G:G)</f>
        <v>43451</v>
      </c>
      <c r="Q24" s="55" t="str">
        <f t="shared" si="0"/>
        <v>MSP-F_A</v>
      </c>
      <c r="R24" s="142">
        <f>+LOOKUP(Q24,'[2]Doc Set'!E:E,'[2]Doc Set'!H:H)</f>
        <v>43479</v>
      </c>
      <c r="S24" s="143" t="s">
        <v>200</v>
      </c>
    </row>
    <row r="25" spans="1:19" x14ac:dyDescent="0.3">
      <c r="A25" s="55" t="s">
        <v>40</v>
      </c>
      <c r="B25" s="55" t="s">
        <v>190</v>
      </c>
      <c r="C25" s="55" t="s">
        <v>191</v>
      </c>
      <c r="D25" s="138" t="s">
        <v>1182</v>
      </c>
      <c r="E25" s="55" t="s">
        <v>193</v>
      </c>
      <c r="F25" s="55" t="s">
        <v>521</v>
      </c>
      <c r="G25" s="55" t="s">
        <v>1247</v>
      </c>
      <c r="H25" s="55" t="s">
        <v>1248</v>
      </c>
      <c r="I25" s="139" t="s">
        <v>134</v>
      </c>
      <c r="J25" s="159" t="s">
        <v>1249</v>
      </c>
      <c r="K25" s="55">
        <v>20038918</v>
      </c>
      <c r="L25" t="s">
        <v>1234</v>
      </c>
      <c r="M25" s="141" t="s">
        <v>1186</v>
      </c>
      <c r="N25" s="142" t="str">
        <f>LOOKUP(M25,'[2]Doc Set'!E:E,'[2]Doc Set'!F:F)</f>
        <v>_</v>
      </c>
      <c r="O25" s="141" t="s">
        <v>1186</v>
      </c>
      <c r="P25" s="142">
        <f>+LOOKUP(O25,'[2]Doc Set'!E:E,'[2]Doc Set'!G:G)</f>
        <v>43451</v>
      </c>
      <c r="Q25" s="55" t="str">
        <f t="shared" si="0"/>
        <v>MSP-F_A</v>
      </c>
      <c r="R25" s="142">
        <f>+LOOKUP(Q25,'[2]Doc Set'!E:E,'[2]Doc Set'!H:H)</f>
        <v>43479</v>
      </c>
      <c r="S25" s="143" t="s">
        <v>200</v>
      </c>
    </row>
    <row r="26" spans="1:19" x14ac:dyDescent="0.3">
      <c r="A26" s="55" t="s">
        <v>40</v>
      </c>
      <c r="B26" s="55" t="s">
        <v>190</v>
      </c>
      <c r="C26" s="55" t="s">
        <v>191</v>
      </c>
      <c r="D26" s="138" t="s">
        <v>1182</v>
      </c>
      <c r="E26" s="55" t="s">
        <v>193</v>
      </c>
      <c r="F26" s="55" t="s">
        <v>1250</v>
      </c>
      <c r="G26" s="55" t="s">
        <v>1251</v>
      </c>
      <c r="H26" s="55" t="s">
        <v>1252</v>
      </c>
      <c r="I26" s="139" t="s">
        <v>134</v>
      </c>
      <c r="J26" s="159" t="s">
        <v>1253</v>
      </c>
      <c r="K26" s="55">
        <v>20038918</v>
      </c>
      <c r="L26" t="s">
        <v>1234</v>
      </c>
      <c r="M26" s="141" t="s">
        <v>1186</v>
      </c>
      <c r="N26" s="142" t="str">
        <f>LOOKUP(M26,'[2]Doc Set'!E:E,'[2]Doc Set'!F:F)</f>
        <v>_</v>
      </c>
      <c r="O26" s="141" t="s">
        <v>1186</v>
      </c>
      <c r="P26" s="142">
        <f>+LOOKUP(O26,'[2]Doc Set'!E:E,'[2]Doc Set'!G:G)</f>
        <v>43451</v>
      </c>
      <c r="Q26" s="55" t="str">
        <f t="shared" si="0"/>
        <v>MSP-F_A</v>
      </c>
      <c r="R26" s="142">
        <f>+LOOKUP(Q26,'[2]Doc Set'!E:E,'[2]Doc Set'!H:H)</f>
        <v>43479</v>
      </c>
      <c r="S26" s="143" t="s">
        <v>200</v>
      </c>
    </row>
    <row r="27" spans="1:19" x14ac:dyDescent="0.3">
      <c r="A27" s="55" t="s">
        <v>40</v>
      </c>
      <c r="B27" s="55" t="s">
        <v>190</v>
      </c>
      <c r="C27" s="55" t="s">
        <v>191</v>
      </c>
      <c r="D27" s="138" t="s">
        <v>1182</v>
      </c>
      <c r="E27" s="55" t="s">
        <v>193</v>
      </c>
      <c r="F27" s="55" t="s">
        <v>194</v>
      </c>
      <c r="G27" s="55" t="s">
        <v>1254</v>
      </c>
      <c r="H27" s="55" t="s">
        <v>1255</v>
      </c>
      <c r="I27" s="139" t="s">
        <v>51</v>
      </c>
      <c r="J27" s="159" t="s">
        <v>1256</v>
      </c>
      <c r="K27" s="55">
        <v>20038918</v>
      </c>
      <c r="L27" s="55" t="s">
        <v>198</v>
      </c>
      <c r="M27" s="141" t="s">
        <v>1186</v>
      </c>
      <c r="N27" s="142" t="str">
        <f>LOOKUP(M27,'[2]Doc Set'!E:E,'[2]Doc Set'!F:F)</f>
        <v>_</v>
      </c>
      <c r="O27" s="141" t="s">
        <v>1186</v>
      </c>
      <c r="P27" s="142">
        <f>+LOOKUP(O27,'[2]Doc Set'!E:E,'[2]Doc Set'!G:G)</f>
        <v>43451</v>
      </c>
      <c r="Q27" s="55" t="str">
        <f t="shared" si="0"/>
        <v>MSP-F_A</v>
      </c>
      <c r="R27" s="142">
        <f>+LOOKUP(Q27,'[2]Doc Set'!E:E,'[2]Doc Set'!H:H)</f>
        <v>43479</v>
      </c>
      <c r="S27" s="143" t="s">
        <v>200</v>
      </c>
    </row>
    <row r="28" spans="1:19" x14ac:dyDescent="0.3">
      <c r="A28" s="55" t="s">
        <v>40</v>
      </c>
      <c r="B28" s="55" t="s">
        <v>190</v>
      </c>
      <c r="C28" s="55" t="s">
        <v>191</v>
      </c>
      <c r="D28" s="138" t="s">
        <v>1182</v>
      </c>
      <c r="E28" s="55" t="s">
        <v>193</v>
      </c>
      <c r="F28" s="55" t="s">
        <v>194</v>
      </c>
      <c r="G28" s="55" t="s">
        <v>1257</v>
      </c>
      <c r="H28" s="55" t="s">
        <v>1258</v>
      </c>
      <c r="I28" s="139" t="s">
        <v>51</v>
      </c>
      <c r="J28" s="159" t="s">
        <v>1259</v>
      </c>
      <c r="K28" s="55">
        <v>20038918</v>
      </c>
      <c r="L28" s="55" t="s">
        <v>198</v>
      </c>
      <c r="M28" s="141" t="s">
        <v>1186</v>
      </c>
      <c r="N28" s="142" t="str">
        <f>LOOKUP(M28,'[2]Doc Set'!E:E,'[2]Doc Set'!F:F)</f>
        <v>_</v>
      </c>
      <c r="O28" s="141" t="s">
        <v>1186</v>
      </c>
      <c r="P28" s="142">
        <f>+LOOKUP(O28,'[2]Doc Set'!E:E,'[2]Doc Set'!G:G)</f>
        <v>43451</v>
      </c>
      <c r="Q28" s="55" t="str">
        <f t="shared" si="0"/>
        <v>MSP-F_A</v>
      </c>
      <c r="R28" s="142">
        <f>+LOOKUP(Q28,'[2]Doc Set'!E:E,'[2]Doc Set'!H:H)</f>
        <v>43479</v>
      </c>
      <c r="S28" s="143" t="s">
        <v>200</v>
      </c>
    </row>
    <row r="29" spans="1:19" x14ac:dyDescent="0.3">
      <c r="A29" s="55" t="s">
        <v>40</v>
      </c>
      <c r="B29" s="55" t="s">
        <v>190</v>
      </c>
      <c r="C29" s="55" t="s">
        <v>191</v>
      </c>
      <c r="D29" s="138" t="s">
        <v>1182</v>
      </c>
      <c r="E29" s="55" t="s">
        <v>193</v>
      </c>
      <c r="F29" s="55" t="s">
        <v>194</v>
      </c>
      <c r="G29" s="55" t="s">
        <v>1260</v>
      </c>
      <c r="H29" s="55" t="s">
        <v>1261</v>
      </c>
      <c r="I29" s="139" t="s">
        <v>128</v>
      </c>
      <c r="J29" s="159" t="s">
        <v>1262</v>
      </c>
      <c r="K29" s="55">
        <v>20038918</v>
      </c>
      <c r="L29" s="55" t="s">
        <v>198</v>
      </c>
      <c r="M29" s="141" t="s">
        <v>1186</v>
      </c>
      <c r="N29" s="142" t="str">
        <f>LOOKUP(M29,'[2]Doc Set'!E:E,'[2]Doc Set'!F:F)</f>
        <v>_</v>
      </c>
      <c r="O29" s="141" t="s">
        <v>1186</v>
      </c>
      <c r="P29" s="142">
        <f>+LOOKUP(O29,'[2]Doc Set'!E:E,'[2]Doc Set'!G:G)</f>
        <v>43451</v>
      </c>
      <c r="Q29" s="55" t="str">
        <f t="shared" si="0"/>
        <v>MSP-F_A</v>
      </c>
      <c r="R29" s="142">
        <f>+LOOKUP(Q29,'[2]Doc Set'!E:E,'[2]Doc Set'!H:H)</f>
        <v>43479</v>
      </c>
      <c r="S29" s="143" t="s">
        <v>200</v>
      </c>
    </row>
    <row r="30" spans="1:19" x14ac:dyDescent="0.3">
      <c r="A30" s="55" t="s">
        <v>40</v>
      </c>
      <c r="B30" s="55" t="s">
        <v>190</v>
      </c>
      <c r="C30" s="55" t="s">
        <v>191</v>
      </c>
      <c r="D30" s="138" t="s">
        <v>1182</v>
      </c>
      <c r="E30" s="55" t="s">
        <v>193</v>
      </c>
      <c r="F30" s="55" t="s">
        <v>194</v>
      </c>
      <c r="G30" s="55" t="s">
        <v>1263</v>
      </c>
      <c r="H30" s="55" t="s">
        <v>1264</v>
      </c>
      <c r="I30" s="139" t="s">
        <v>128</v>
      </c>
      <c r="J30" s="159" t="s">
        <v>1265</v>
      </c>
      <c r="K30" s="55">
        <v>20038918</v>
      </c>
      <c r="L30" s="55" t="s">
        <v>198</v>
      </c>
      <c r="M30" s="141" t="s">
        <v>1186</v>
      </c>
      <c r="N30" s="142" t="str">
        <f>LOOKUP(M30,'[2]Doc Set'!E:E,'[2]Doc Set'!F:F)</f>
        <v>_</v>
      </c>
      <c r="O30" s="141" t="s">
        <v>1186</v>
      </c>
      <c r="P30" s="142">
        <f>+LOOKUP(O30,'[2]Doc Set'!E:E,'[2]Doc Set'!G:G)</f>
        <v>43451</v>
      </c>
      <c r="Q30" s="55" t="str">
        <f t="shared" si="0"/>
        <v>MSP-F_A</v>
      </c>
      <c r="R30" s="142">
        <f>+LOOKUP(Q30,'[2]Doc Set'!E:E,'[2]Doc Set'!H:H)</f>
        <v>43479</v>
      </c>
      <c r="S30" s="143" t="s">
        <v>200</v>
      </c>
    </row>
    <row r="31" spans="1:19" x14ac:dyDescent="0.3">
      <c r="A31" s="55" t="s">
        <v>40</v>
      </c>
      <c r="B31" s="55" t="s">
        <v>190</v>
      </c>
      <c r="C31" s="55" t="s">
        <v>191</v>
      </c>
      <c r="D31" s="138" t="s">
        <v>1182</v>
      </c>
      <c r="E31" s="55" t="s">
        <v>193</v>
      </c>
      <c r="F31" s="55" t="s">
        <v>194</v>
      </c>
      <c r="G31" s="55" t="s">
        <v>1266</v>
      </c>
      <c r="H31" s="55" t="s">
        <v>1267</v>
      </c>
      <c r="I31" s="139" t="s">
        <v>128</v>
      </c>
      <c r="J31" s="159" t="s">
        <v>1268</v>
      </c>
      <c r="K31" s="55">
        <v>20038918</v>
      </c>
      <c r="L31" s="55" t="s">
        <v>198</v>
      </c>
      <c r="M31" s="141" t="s">
        <v>1186</v>
      </c>
      <c r="N31" s="142" t="str">
        <f>LOOKUP(M31,'[2]Doc Set'!E:E,'[2]Doc Set'!F:F)</f>
        <v>_</v>
      </c>
      <c r="O31" s="141" t="s">
        <v>1186</v>
      </c>
      <c r="P31" s="142">
        <f>+LOOKUP(O31,'[2]Doc Set'!E:E,'[2]Doc Set'!G:G)</f>
        <v>43451</v>
      </c>
      <c r="Q31" s="55" t="str">
        <f t="shared" si="0"/>
        <v>MSP-F_A</v>
      </c>
      <c r="R31" s="142">
        <f>+LOOKUP(Q31,'[2]Doc Set'!E:E,'[2]Doc Set'!H:H)</f>
        <v>43479</v>
      </c>
      <c r="S31" s="143" t="s">
        <v>200</v>
      </c>
    </row>
  </sheetData>
  <autoFilter ref="A1:S26"/>
  <conditionalFormatting sqref="G1:G1048576">
    <cfRule type="duplicateValues" dxfId="75" priority="2"/>
    <cfRule type="duplicateValues" dxfId="74" priority="3"/>
  </conditionalFormatting>
  <conditionalFormatting sqref="H1:H1048576">
    <cfRule type="duplicateValues" dxfId="73" priority="1"/>
  </conditionalFormatting>
  <dataValidations count="1">
    <dataValidation type="list" allowBlank="1" showInputMessage="1" showErrorMessage="1" sqref="O2:O31 M2:M31">
      <formula1>Document_Set_Name</formula1>
    </dataValidation>
  </dataValidations>
  <pageMargins left="0.7" right="0.7" top="0.75" bottom="0.75" header="0.3" footer="0.3"/>
  <pageSetup orientation="portrait" r:id="rId1"/>
  <headerFooter>
    <oddFooter>&amp;L&amp;1#&amp;"Calibri"&amp;8 Sensitivity: LNT Construction Internal Use</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S13"/>
  <sheetViews>
    <sheetView topLeftCell="H1" zoomScaleNormal="100" workbookViewId="0">
      <selection activeCell="H86" sqref="H86:H98"/>
    </sheetView>
  </sheetViews>
  <sheetFormatPr defaultRowHeight="14.4" x14ac:dyDescent="0.3"/>
  <cols>
    <col min="1" max="1" width="11.44140625" bestFit="1" customWidth="1"/>
    <col min="3" max="3" width="11.109375" bestFit="1" customWidth="1"/>
    <col min="4" max="4" width="11.33203125" style="155" bestFit="1" customWidth="1"/>
    <col min="5" max="5" width="10.5546875" bestFit="1" customWidth="1"/>
    <col min="6" max="6" width="8.5546875" bestFit="1" customWidth="1"/>
    <col min="8" max="8" width="22.5546875" bestFit="1" customWidth="1"/>
    <col min="10" max="10" width="38.88671875" bestFit="1" customWidth="1"/>
    <col min="11" max="11" width="11.6640625" customWidth="1"/>
    <col min="12" max="12" width="11.88671875" customWidth="1"/>
    <col min="14" max="14" width="11.5546875" bestFit="1" customWidth="1"/>
    <col min="16" max="16" width="12.5546875" bestFit="1" customWidth="1"/>
    <col min="18" max="18" width="9.6640625" bestFit="1" customWidth="1"/>
    <col min="19" max="19" width="13.88671875" bestFit="1" customWidth="1"/>
  </cols>
  <sheetData>
    <row r="1" spans="1:19" s="136" customFormat="1" x14ac:dyDescent="0.3">
      <c r="A1" s="136" t="s">
        <v>174</v>
      </c>
      <c r="B1" s="136" t="s">
        <v>175</v>
      </c>
      <c r="C1" s="136" t="s">
        <v>176</v>
      </c>
      <c r="D1" s="137" t="s">
        <v>177</v>
      </c>
      <c r="E1" s="136" t="s">
        <v>178</v>
      </c>
      <c r="F1" s="136" t="s">
        <v>179</v>
      </c>
      <c r="G1" s="136" t="s">
        <v>180</v>
      </c>
      <c r="H1" s="136" t="s">
        <v>181</v>
      </c>
      <c r="I1" s="136" t="s">
        <v>182</v>
      </c>
      <c r="J1" s="136" t="s">
        <v>183</v>
      </c>
      <c r="K1" s="136" t="s">
        <v>184</v>
      </c>
      <c r="L1" s="136" t="s">
        <v>185</v>
      </c>
      <c r="M1" s="136" t="s">
        <v>34</v>
      </c>
      <c r="N1" s="136" t="s">
        <v>186</v>
      </c>
      <c r="O1" s="136" t="s">
        <v>67</v>
      </c>
      <c r="P1" s="136" t="s">
        <v>187</v>
      </c>
      <c r="Q1" s="136" t="s">
        <v>133</v>
      </c>
      <c r="R1" s="136" t="s">
        <v>188</v>
      </c>
      <c r="S1" s="136" t="s">
        <v>189</v>
      </c>
    </row>
    <row r="2" spans="1:19" x14ac:dyDescent="0.3">
      <c r="A2" t="s">
        <v>40</v>
      </c>
      <c r="B2" t="s">
        <v>190</v>
      </c>
      <c r="C2" t="s">
        <v>191</v>
      </c>
      <c r="D2" s="165" t="s">
        <v>1156</v>
      </c>
      <c r="E2" t="s">
        <v>193</v>
      </c>
      <c r="F2" t="s">
        <v>194</v>
      </c>
      <c r="G2" t="s">
        <v>303</v>
      </c>
      <c r="H2" t="s">
        <v>1157</v>
      </c>
      <c r="I2" s="139" t="s">
        <v>51</v>
      </c>
      <c r="J2" s="159" t="s">
        <v>1158</v>
      </c>
      <c r="K2">
        <v>20038918</v>
      </c>
      <c r="L2" s="55" t="s">
        <v>198</v>
      </c>
      <c r="M2" s="141" t="str">
        <f t="shared" ref="M2:M7" si="0">+O2</f>
        <v>CCP-SS_B</v>
      </c>
      <c r="N2" s="142" t="str">
        <f>LOOKUP(M2,'[2]Doc Set'!E:E,'[2]Doc Set'!F:F)</f>
        <v>_</v>
      </c>
      <c r="O2" s="141" t="s">
        <v>1159</v>
      </c>
      <c r="P2" s="142">
        <f>+LOOKUP(O2,'[2]Doc Set'!E:E,'[2]Doc Set'!G:G)</f>
        <v>43260</v>
      </c>
      <c r="Q2" s="55" t="str">
        <f>+O2</f>
        <v>CCP-SS_B</v>
      </c>
      <c r="R2" s="142">
        <f>+LOOKUP(Q2,'[2]Doc Set'!E:E,'[2]Doc Set'!H:H)</f>
        <v>43299</v>
      </c>
      <c r="S2" s="143" t="s">
        <v>200</v>
      </c>
    </row>
    <row r="3" spans="1:19" x14ac:dyDescent="0.3">
      <c r="A3" t="s">
        <v>40</v>
      </c>
      <c r="B3" t="s">
        <v>190</v>
      </c>
      <c r="C3" t="s">
        <v>191</v>
      </c>
      <c r="D3" s="165" t="s">
        <v>1156</v>
      </c>
      <c r="E3" t="s">
        <v>193</v>
      </c>
      <c r="F3" t="s">
        <v>194</v>
      </c>
      <c r="G3" t="s">
        <v>307</v>
      </c>
      <c r="H3" t="s">
        <v>1160</v>
      </c>
      <c r="I3" s="139" t="s">
        <v>51</v>
      </c>
      <c r="J3" s="159" t="s">
        <v>1161</v>
      </c>
      <c r="K3">
        <v>20038918</v>
      </c>
      <c r="L3" s="55" t="s">
        <v>198</v>
      </c>
      <c r="M3" s="141" t="str">
        <f t="shared" si="0"/>
        <v>CCP-SS_B</v>
      </c>
      <c r="N3" s="142" t="str">
        <f>LOOKUP(M3,'[2]Doc Set'!E:E,'[2]Doc Set'!F:F)</f>
        <v>_</v>
      </c>
      <c r="O3" s="141" t="s">
        <v>1159</v>
      </c>
      <c r="P3" s="142">
        <f>+LOOKUP(O3,'[2]Doc Set'!E:E,'[2]Doc Set'!G:G)</f>
        <v>43260</v>
      </c>
      <c r="Q3" s="55" t="str">
        <f t="shared" ref="Q3:Q13" si="1">+O3</f>
        <v>CCP-SS_B</v>
      </c>
      <c r="R3" s="142">
        <f>+LOOKUP(Q3,'[2]Doc Set'!E:E,'[2]Doc Set'!H:H)</f>
        <v>43299</v>
      </c>
      <c r="S3" s="143" t="s">
        <v>200</v>
      </c>
    </row>
    <row r="4" spans="1:19" x14ac:dyDescent="0.3">
      <c r="A4" t="s">
        <v>40</v>
      </c>
      <c r="B4" t="s">
        <v>190</v>
      </c>
      <c r="C4" t="s">
        <v>191</v>
      </c>
      <c r="D4" s="165" t="s">
        <v>1156</v>
      </c>
      <c r="E4" t="s">
        <v>193</v>
      </c>
      <c r="F4" t="s">
        <v>194</v>
      </c>
      <c r="G4" t="s">
        <v>282</v>
      </c>
      <c r="H4" t="s">
        <v>1162</v>
      </c>
      <c r="I4" s="139" t="s">
        <v>51</v>
      </c>
      <c r="J4" s="159" t="s">
        <v>1163</v>
      </c>
      <c r="K4">
        <v>20038918</v>
      </c>
      <c r="L4" s="55" t="s">
        <v>198</v>
      </c>
      <c r="M4" s="141" t="str">
        <f t="shared" si="0"/>
        <v>CCP-SS_B</v>
      </c>
      <c r="N4" s="142" t="str">
        <f>LOOKUP(M4,'[2]Doc Set'!E:E,'[2]Doc Set'!F:F)</f>
        <v>_</v>
      </c>
      <c r="O4" s="141" t="s">
        <v>1159</v>
      </c>
      <c r="P4" s="142">
        <f>+LOOKUP(O4,'[2]Doc Set'!E:E,'[2]Doc Set'!G:G)</f>
        <v>43260</v>
      </c>
      <c r="Q4" s="55" t="str">
        <f t="shared" si="1"/>
        <v>CCP-SS_B</v>
      </c>
      <c r="R4" s="142">
        <f>+LOOKUP(Q4,'[2]Doc Set'!E:E,'[2]Doc Set'!H:H)</f>
        <v>43299</v>
      </c>
      <c r="S4" s="143" t="s">
        <v>200</v>
      </c>
    </row>
    <row r="5" spans="1:19" x14ac:dyDescent="0.3">
      <c r="A5" t="s">
        <v>40</v>
      </c>
      <c r="B5" t="s">
        <v>190</v>
      </c>
      <c r="C5" t="s">
        <v>191</v>
      </c>
      <c r="D5" s="165" t="s">
        <v>1156</v>
      </c>
      <c r="E5" t="s">
        <v>193</v>
      </c>
      <c r="F5" t="s">
        <v>194</v>
      </c>
      <c r="G5" t="s">
        <v>285</v>
      </c>
      <c r="H5" t="s">
        <v>1164</v>
      </c>
      <c r="I5" s="139" t="s">
        <v>51</v>
      </c>
      <c r="J5" s="159" t="s">
        <v>1165</v>
      </c>
      <c r="K5">
        <v>20038918</v>
      </c>
      <c r="L5" s="55" t="s">
        <v>198</v>
      </c>
      <c r="M5" s="141" t="str">
        <f t="shared" si="0"/>
        <v>CCP-SS_B</v>
      </c>
      <c r="N5" s="142" t="str">
        <f>LOOKUP(M5,'[2]Doc Set'!E:E,'[2]Doc Set'!F:F)</f>
        <v>_</v>
      </c>
      <c r="O5" s="141" t="s">
        <v>1159</v>
      </c>
      <c r="P5" s="142">
        <f>+LOOKUP(O5,'[2]Doc Set'!E:E,'[2]Doc Set'!G:G)</f>
        <v>43260</v>
      </c>
      <c r="Q5" s="55" t="str">
        <f t="shared" si="1"/>
        <v>CCP-SS_B</v>
      </c>
      <c r="R5" s="142">
        <f>+LOOKUP(Q5,'[2]Doc Set'!E:E,'[2]Doc Set'!H:H)</f>
        <v>43299</v>
      </c>
      <c r="S5" s="143" t="s">
        <v>200</v>
      </c>
    </row>
    <row r="6" spans="1:19" x14ac:dyDescent="0.3">
      <c r="A6" t="s">
        <v>40</v>
      </c>
      <c r="B6" t="s">
        <v>190</v>
      </c>
      <c r="C6" t="s">
        <v>191</v>
      </c>
      <c r="D6" s="165" t="s">
        <v>1156</v>
      </c>
      <c r="E6" t="s">
        <v>193</v>
      </c>
      <c r="F6" t="s">
        <v>194</v>
      </c>
      <c r="G6" t="s">
        <v>261</v>
      </c>
      <c r="H6" t="s">
        <v>1166</v>
      </c>
      <c r="I6" s="139" t="s">
        <v>51</v>
      </c>
      <c r="J6" s="159" t="s">
        <v>1167</v>
      </c>
      <c r="K6">
        <v>20038918</v>
      </c>
      <c r="L6" s="55" t="s">
        <v>198</v>
      </c>
      <c r="M6" s="141" t="str">
        <f t="shared" si="0"/>
        <v>CCP-SS_B</v>
      </c>
      <c r="N6" s="142" t="str">
        <f>LOOKUP(M6,'[2]Doc Set'!E:E,'[2]Doc Set'!F:F)</f>
        <v>_</v>
      </c>
      <c r="O6" s="141" t="s">
        <v>1159</v>
      </c>
      <c r="P6" s="142">
        <f>+LOOKUP(O6,'[2]Doc Set'!E:E,'[2]Doc Set'!G:G)</f>
        <v>43260</v>
      </c>
      <c r="Q6" s="55" t="str">
        <f t="shared" si="1"/>
        <v>CCP-SS_B</v>
      </c>
      <c r="R6" s="142">
        <f>+LOOKUP(Q6,'[2]Doc Set'!E:E,'[2]Doc Set'!H:H)</f>
        <v>43299</v>
      </c>
      <c r="S6" s="143" t="s">
        <v>200</v>
      </c>
    </row>
    <row r="7" spans="1:19" x14ac:dyDescent="0.3">
      <c r="A7" t="s">
        <v>40</v>
      </c>
      <c r="B7" t="s">
        <v>190</v>
      </c>
      <c r="C7" t="s">
        <v>191</v>
      </c>
      <c r="D7" s="165" t="s">
        <v>1156</v>
      </c>
      <c r="E7" t="s">
        <v>193</v>
      </c>
      <c r="F7" t="s">
        <v>194</v>
      </c>
      <c r="G7" t="s">
        <v>264</v>
      </c>
      <c r="H7" t="s">
        <v>1168</v>
      </c>
      <c r="I7" s="139" t="s">
        <v>51</v>
      </c>
      <c r="J7" s="159" t="s">
        <v>1169</v>
      </c>
      <c r="K7">
        <v>20038918</v>
      </c>
      <c r="L7" s="55" t="s">
        <v>198</v>
      </c>
      <c r="M7" s="141" t="str">
        <f t="shared" si="0"/>
        <v>CCP-SS_B</v>
      </c>
      <c r="N7" s="142" t="str">
        <f>LOOKUP(M7,'[2]Doc Set'!E:E,'[2]Doc Set'!F:F)</f>
        <v>_</v>
      </c>
      <c r="O7" s="141" t="s">
        <v>1159</v>
      </c>
      <c r="P7" s="142">
        <f>+LOOKUP(O7,'[2]Doc Set'!E:E,'[2]Doc Set'!G:G)</f>
        <v>43260</v>
      </c>
      <c r="Q7" s="55" t="str">
        <f t="shared" si="1"/>
        <v>CCP-SS_B</v>
      </c>
      <c r="R7" s="142">
        <f>+LOOKUP(Q7,'[2]Doc Set'!E:E,'[2]Doc Set'!H:H)</f>
        <v>43299</v>
      </c>
      <c r="S7" s="143" t="s">
        <v>200</v>
      </c>
    </row>
    <row r="8" spans="1:19" x14ac:dyDescent="0.3">
      <c r="A8" t="s">
        <v>40</v>
      </c>
      <c r="B8" t="s">
        <v>190</v>
      </c>
      <c r="C8" t="s">
        <v>191</v>
      </c>
      <c r="D8" s="165" t="s">
        <v>1156</v>
      </c>
      <c r="E8" t="s">
        <v>193</v>
      </c>
      <c r="F8" t="s">
        <v>194</v>
      </c>
      <c r="G8" t="s">
        <v>500</v>
      </c>
      <c r="H8" t="s">
        <v>1170</v>
      </c>
      <c r="I8" s="139" t="s">
        <v>51</v>
      </c>
      <c r="J8" s="159" t="s">
        <v>1171</v>
      </c>
      <c r="K8">
        <v>20038918</v>
      </c>
      <c r="L8" s="55" t="s">
        <v>198</v>
      </c>
      <c r="M8" s="141" t="s">
        <v>1159</v>
      </c>
      <c r="N8" s="142" t="str">
        <f>LOOKUP(M8,'[2]Doc Set'!E:E,'[2]Doc Set'!F:F)</f>
        <v>_</v>
      </c>
      <c r="O8" s="141" t="s">
        <v>1159</v>
      </c>
      <c r="P8" s="142">
        <f>+LOOKUP(O8,'[2]Doc Set'!E:E,'[2]Doc Set'!G:G)</f>
        <v>43260</v>
      </c>
      <c r="Q8" s="55" t="str">
        <f t="shared" si="1"/>
        <v>CCP-SS_B</v>
      </c>
      <c r="R8" s="142">
        <f>+LOOKUP(Q8,'[2]Doc Set'!E:E,'[2]Doc Set'!H:H)</f>
        <v>43299</v>
      </c>
      <c r="S8" s="143" t="s">
        <v>200</v>
      </c>
    </row>
    <row r="9" spans="1:19" x14ac:dyDescent="0.3">
      <c r="A9" t="s">
        <v>40</v>
      </c>
      <c r="B9" t="s">
        <v>190</v>
      </c>
      <c r="C9" t="s">
        <v>191</v>
      </c>
      <c r="D9" s="165" t="s">
        <v>1156</v>
      </c>
      <c r="E9" t="s">
        <v>193</v>
      </c>
      <c r="F9" t="s">
        <v>194</v>
      </c>
      <c r="G9" t="s">
        <v>497</v>
      </c>
      <c r="H9" t="s">
        <v>1172</v>
      </c>
      <c r="I9" s="139" t="s">
        <v>51</v>
      </c>
      <c r="J9" s="159" t="s">
        <v>1173</v>
      </c>
      <c r="K9">
        <v>20038918</v>
      </c>
      <c r="L9" s="55" t="s">
        <v>198</v>
      </c>
      <c r="M9" s="141" t="str">
        <f>+O9</f>
        <v>CCP-SS_B</v>
      </c>
      <c r="N9" s="142" t="str">
        <f>LOOKUP(M9,'[2]Doc Set'!E:E,'[2]Doc Set'!F:F)</f>
        <v>_</v>
      </c>
      <c r="O9" s="141" t="s">
        <v>1159</v>
      </c>
      <c r="P9" s="142">
        <f>+LOOKUP(O9,'[2]Doc Set'!E:E,'[2]Doc Set'!G:G)</f>
        <v>43260</v>
      </c>
      <c r="Q9" s="55" t="str">
        <f t="shared" si="1"/>
        <v>CCP-SS_B</v>
      </c>
      <c r="R9" s="142">
        <f>+LOOKUP(Q9,'[2]Doc Set'!E:E,'[2]Doc Set'!H:H)</f>
        <v>43299</v>
      </c>
      <c r="S9" s="143" t="s">
        <v>200</v>
      </c>
    </row>
    <row r="10" spans="1:19" x14ac:dyDescent="0.3">
      <c r="A10" t="s">
        <v>40</v>
      </c>
      <c r="B10" t="s">
        <v>190</v>
      </c>
      <c r="C10" t="s">
        <v>191</v>
      </c>
      <c r="D10" s="165" t="s">
        <v>1156</v>
      </c>
      <c r="E10" t="s">
        <v>193</v>
      </c>
      <c r="F10" t="s">
        <v>194</v>
      </c>
      <c r="G10" t="s">
        <v>494</v>
      </c>
      <c r="H10" t="s">
        <v>1174</v>
      </c>
      <c r="I10" s="139" t="s">
        <v>51</v>
      </c>
      <c r="J10" s="159" t="s">
        <v>1175</v>
      </c>
      <c r="K10">
        <v>20038918</v>
      </c>
      <c r="L10" s="55" t="s">
        <v>198</v>
      </c>
      <c r="M10" s="141" t="str">
        <f>+O10</f>
        <v>CCP-SS_B</v>
      </c>
      <c r="N10" s="142" t="str">
        <f>LOOKUP(M10,'[2]Doc Set'!E:E,'[2]Doc Set'!F:F)</f>
        <v>_</v>
      </c>
      <c r="O10" s="141" t="s">
        <v>1159</v>
      </c>
      <c r="P10" s="142">
        <f>+LOOKUP(O10,'[2]Doc Set'!E:E,'[2]Doc Set'!G:G)</f>
        <v>43260</v>
      </c>
      <c r="Q10" s="55" t="str">
        <f t="shared" si="1"/>
        <v>CCP-SS_B</v>
      </c>
      <c r="R10" s="142">
        <f>+LOOKUP(Q10,'[2]Doc Set'!E:E,'[2]Doc Set'!H:H)</f>
        <v>43299</v>
      </c>
      <c r="S10" s="143" t="s">
        <v>200</v>
      </c>
    </row>
    <row r="11" spans="1:19" x14ac:dyDescent="0.3">
      <c r="A11" t="s">
        <v>40</v>
      </c>
      <c r="B11" t="s">
        <v>190</v>
      </c>
      <c r="C11" t="s">
        <v>191</v>
      </c>
      <c r="D11" s="165" t="s">
        <v>1156</v>
      </c>
      <c r="E11" t="s">
        <v>193</v>
      </c>
      <c r="F11" t="s">
        <v>663</v>
      </c>
      <c r="G11" t="s">
        <v>673</v>
      </c>
      <c r="H11" t="s">
        <v>1176</v>
      </c>
      <c r="I11" s="139" t="s">
        <v>134</v>
      </c>
      <c r="J11" s="159" t="s">
        <v>1177</v>
      </c>
      <c r="K11">
        <v>20038918</v>
      </c>
      <c r="L11" s="55" t="s">
        <v>198</v>
      </c>
      <c r="M11" s="141" t="str">
        <f>+O11</f>
        <v>CCP-SS_B</v>
      </c>
      <c r="N11" s="142" t="str">
        <f>LOOKUP(M11,'[2]Doc Set'!E:E,'[2]Doc Set'!F:F)</f>
        <v>_</v>
      </c>
      <c r="O11" s="141" t="s">
        <v>1159</v>
      </c>
      <c r="P11" s="142">
        <f>+LOOKUP(O11,'[2]Doc Set'!E:E,'[2]Doc Set'!G:G)</f>
        <v>43260</v>
      </c>
      <c r="Q11" s="55" t="str">
        <f t="shared" si="1"/>
        <v>CCP-SS_B</v>
      </c>
      <c r="R11" s="142">
        <f>+LOOKUP(Q11,'[2]Doc Set'!E:E,'[2]Doc Set'!H:H)</f>
        <v>43299</v>
      </c>
      <c r="S11" s="143" t="s">
        <v>200</v>
      </c>
    </row>
    <row r="12" spans="1:19" x14ac:dyDescent="0.3">
      <c r="A12" t="s">
        <v>40</v>
      </c>
      <c r="B12" t="s">
        <v>190</v>
      </c>
      <c r="C12" t="s">
        <v>191</v>
      </c>
      <c r="D12" s="165" t="s">
        <v>1156</v>
      </c>
      <c r="E12" t="s">
        <v>193</v>
      </c>
      <c r="F12" t="s">
        <v>663</v>
      </c>
      <c r="G12" t="s">
        <v>679</v>
      </c>
      <c r="H12" t="s">
        <v>1178</v>
      </c>
      <c r="I12" s="139" t="s">
        <v>134</v>
      </c>
      <c r="J12" s="159" t="s">
        <v>1179</v>
      </c>
      <c r="K12">
        <v>20038918</v>
      </c>
      <c r="L12" s="55" t="s">
        <v>198</v>
      </c>
      <c r="M12" s="141" t="str">
        <f>+O12</f>
        <v>CCP-SS_B</v>
      </c>
      <c r="N12" s="142" t="str">
        <f>LOOKUP(M12,'[2]Doc Set'!E:E,'[2]Doc Set'!F:F)</f>
        <v>_</v>
      </c>
      <c r="O12" s="141" t="s">
        <v>1159</v>
      </c>
      <c r="P12" s="142">
        <f>+LOOKUP(O12,'[2]Doc Set'!E:E,'[2]Doc Set'!G:G)</f>
        <v>43260</v>
      </c>
      <c r="Q12" s="55" t="str">
        <f t="shared" si="1"/>
        <v>CCP-SS_B</v>
      </c>
      <c r="R12" s="142">
        <f>+LOOKUP(Q12,'[2]Doc Set'!E:E,'[2]Doc Set'!H:H)</f>
        <v>43299</v>
      </c>
      <c r="S12" s="143" t="s">
        <v>200</v>
      </c>
    </row>
    <row r="13" spans="1:19" x14ac:dyDescent="0.3">
      <c r="A13" t="s">
        <v>40</v>
      </c>
      <c r="B13" t="s">
        <v>190</v>
      </c>
      <c r="C13" t="s">
        <v>191</v>
      </c>
      <c r="D13" s="165" t="s">
        <v>1156</v>
      </c>
      <c r="E13" t="s">
        <v>193</v>
      </c>
      <c r="F13" t="s">
        <v>663</v>
      </c>
      <c r="G13" t="s">
        <v>682</v>
      </c>
      <c r="H13" t="s">
        <v>1180</v>
      </c>
      <c r="I13" s="139" t="s">
        <v>134</v>
      </c>
      <c r="J13" s="159" t="s">
        <v>1181</v>
      </c>
      <c r="K13">
        <v>20038918</v>
      </c>
      <c r="L13" s="55" t="s">
        <v>198</v>
      </c>
      <c r="M13" s="141" t="str">
        <f>+O13</f>
        <v>CCP-SS_B</v>
      </c>
      <c r="N13" s="142" t="str">
        <f>LOOKUP(M13,'[2]Doc Set'!E:E,'[2]Doc Set'!F:F)</f>
        <v>_</v>
      </c>
      <c r="O13" s="141" t="s">
        <v>1159</v>
      </c>
      <c r="P13" s="142">
        <f>+LOOKUP(O13,'[2]Doc Set'!E:E,'[2]Doc Set'!G:G)</f>
        <v>43260</v>
      </c>
      <c r="Q13" s="55" t="str">
        <f t="shared" si="1"/>
        <v>CCP-SS_B</v>
      </c>
      <c r="R13" s="142">
        <f>+LOOKUP(Q13,'[2]Doc Set'!E:E,'[2]Doc Set'!H:H)</f>
        <v>43299</v>
      </c>
      <c r="S13" s="143" t="s">
        <v>200</v>
      </c>
    </row>
  </sheetData>
  <autoFilter ref="A1:S13"/>
  <conditionalFormatting sqref="G2:G13">
    <cfRule type="duplicateValues" dxfId="72" priority="5"/>
  </conditionalFormatting>
  <conditionalFormatting sqref="G2:G13">
    <cfRule type="duplicateValues" dxfId="71" priority="4"/>
  </conditionalFormatting>
  <conditionalFormatting sqref="G1:G1048576">
    <cfRule type="duplicateValues" dxfId="70" priority="2"/>
    <cfRule type="duplicateValues" dxfId="69" priority="3"/>
  </conditionalFormatting>
  <conditionalFormatting sqref="H1:H1048576">
    <cfRule type="duplicateValues" dxfId="68" priority="1"/>
  </conditionalFormatting>
  <dataValidations count="1">
    <dataValidation type="list" allowBlank="1" showInputMessage="1" showErrorMessage="1" sqref="O2:O13 M2:M13">
      <formula1>Document_Set_Name</formula1>
    </dataValidation>
  </dataValidations>
  <pageMargins left="0.7" right="0.7" top="0.75" bottom="0.75" header="0.3" footer="0.3"/>
  <pageSetup orientation="portrait" r:id="rId1"/>
  <headerFooter>
    <oddFooter>&amp;L&amp;1#&amp;"Calibri"&amp;8 Sensitivity: LNT Construction Internal Use</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S19"/>
  <sheetViews>
    <sheetView topLeftCell="D1" zoomScaleNormal="100" workbookViewId="0">
      <selection activeCell="H86" sqref="H86:H98"/>
    </sheetView>
  </sheetViews>
  <sheetFormatPr defaultRowHeight="14.4" x14ac:dyDescent="0.3"/>
  <cols>
    <col min="1" max="1" width="11.44140625" bestFit="1" customWidth="1"/>
    <col min="3" max="3" width="11.109375" bestFit="1" customWidth="1"/>
    <col min="4" max="4" width="11.33203125" style="155" bestFit="1" customWidth="1"/>
    <col min="5" max="5" width="10.5546875" bestFit="1" customWidth="1"/>
    <col min="6" max="6" width="8.5546875" bestFit="1" customWidth="1"/>
    <col min="8" max="8" width="22.5546875" bestFit="1" customWidth="1"/>
    <col min="10" max="10" width="56.5546875" bestFit="1" customWidth="1"/>
    <col min="11" max="11" width="11.6640625" customWidth="1"/>
    <col min="12" max="12" width="20.44140625" customWidth="1"/>
    <col min="15" max="15" width="9.109375" customWidth="1"/>
    <col min="16" max="16" width="12.5546875" bestFit="1" customWidth="1"/>
    <col min="17" max="17" width="0" hidden="1" customWidth="1"/>
    <col min="18" max="18" width="9.6640625" bestFit="1" customWidth="1"/>
    <col min="19" max="19" width="13.88671875" hidden="1" customWidth="1"/>
  </cols>
  <sheetData>
    <row r="1" spans="1:19" s="136" customFormat="1" x14ac:dyDescent="0.3">
      <c r="A1" s="136" t="s">
        <v>174</v>
      </c>
      <c r="B1" s="136" t="s">
        <v>175</v>
      </c>
      <c r="C1" s="136" t="s">
        <v>176</v>
      </c>
      <c r="D1" s="136" t="s">
        <v>177</v>
      </c>
      <c r="E1" s="136" t="s">
        <v>178</v>
      </c>
      <c r="F1" s="136" t="s">
        <v>179</v>
      </c>
      <c r="G1" s="136" t="s">
        <v>180</v>
      </c>
      <c r="H1" s="136" t="s">
        <v>181</v>
      </c>
      <c r="I1" s="136" t="s">
        <v>182</v>
      </c>
      <c r="J1" s="136" t="s">
        <v>183</v>
      </c>
      <c r="K1" s="136" t="s">
        <v>184</v>
      </c>
      <c r="L1" s="136" t="s">
        <v>185</v>
      </c>
      <c r="M1" s="136" t="s">
        <v>34</v>
      </c>
      <c r="N1" s="136" t="s">
        <v>186</v>
      </c>
      <c r="O1" s="160" t="s">
        <v>67</v>
      </c>
      <c r="P1" s="160" t="s">
        <v>187</v>
      </c>
      <c r="Q1" s="136" t="s">
        <v>133</v>
      </c>
      <c r="R1" s="136" t="s">
        <v>188</v>
      </c>
      <c r="S1" s="136" t="s">
        <v>189</v>
      </c>
    </row>
    <row r="2" spans="1:19" x14ac:dyDescent="0.3">
      <c r="A2" t="s">
        <v>40</v>
      </c>
      <c r="B2" t="s">
        <v>190</v>
      </c>
      <c r="C2" t="s">
        <v>191</v>
      </c>
      <c r="D2" s="165" t="s">
        <v>1114</v>
      </c>
      <c r="E2" t="s">
        <v>193</v>
      </c>
      <c r="F2" t="s">
        <v>194</v>
      </c>
      <c r="G2" t="s">
        <v>261</v>
      </c>
      <c r="H2" t="s">
        <v>1115</v>
      </c>
      <c r="I2" s="139" t="s">
        <v>51</v>
      </c>
      <c r="J2" s="159" t="s">
        <v>1116</v>
      </c>
      <c r="K2">
        <v>20038918</v>
      </c>
      <c r="L2" s="55" t="s">
        <v>198</v>
      </c>
      <c r="M2" s="141" t="str">
        <f>+O2</f>
        <v>EH3-SS_B</v>
      </c>
      <c r="N2" s="142" t="str">
        <f>LOOKUP(M2,'[2]Doc Set'!E:E,'[2]Doc Set'!F:F)</f>
        <v>_</v>
      </c>
      <c r="O2" s="141" t="s">
        <v>1117</v>
      </c>
      <c r="P2" s="142">
        <f>+LOOKUP(O2,'[2]Doc Set'!E:E,'[2]Doc Set'!G:G)</f>
        <v>43259</v>
      </c>
      <c r="Q2" s="55" t="str">
        <f>+O2</f>
        <v>EH3-SS_B</v>
      </c>
      <c r="R2" s="142">
        <f>+LOOKUP(Q2,'[2]Doc Set'!E:E,'[2]Doc Set'!H:H)</f>
        <v>43313</v>
      </c>
      <c r="S2" s="143" t="s">
        <v>200</v>
      </c>
    </row>
    <row r="3" spans="1:19" x14ac:dyDescent="0.3">
      <c r="A3" t="s">
        <v>40</v>
      </c>
      <c r="B3" t="s">
        <v>190</v>
      </c>
      <c r="C3" t="s">
        <v>191</v>
      </c>
      <c r="D3" s="165" t="s">
        <v>1114</v>
      </c>
      <c r="E3" t="s">
        <v>193</v>
      </c>
      <c r="F3" t="s">
        <v>194</v>
      </c>
      <c r="G3" t="s">
        <v>264</v>
      </c>
      <c r="H3" t="s">
        <v>1118</v>
      </c>
      <c r="I3" s="139" t="s">
        <v>51</v>
      </c>
      <c r="J3" s="159" t="s">
        <v>1119</v>
      </c>
      <c r="K3">
        <v>20038918</v>
      </c>
      <c r="L3" s="55" t="s">
        <v>198</v>
      </c>
      <c r="M3" s="141" t="str">
        <f t="shared" ref="M3:M19" si="0">+O3</f>
        <v>EH3-SS_B</v>
      </c>
      <c r="N3" s="142" t="str">
        <f>LOOKUP(M3,'[2]Doc Set'!E:E,'[2]Doc Set'!F:F)</f>
        <v>_</v>
      </c>
      <c r="O3" s="141" t="s">
        <v>1117</v>
      </c>
      <c r="P3" s="142">
        <f>+LOOKUP(O3,'[2]Doc Set'!E:E,'[2]Doc Set'!G:G)</f>
        <v>43259</v>
      </c>
      <c r="Q3" s="55" t="str">
        <f t="shared" ref="Q3:Q19" si="1">+O3</f>
        <v>EH3-SS_B</v>
      </c>
      <c r="R3" s="142">
        <f>+LOOKUP(Q3,'[2]Doc Set'!E:E,'[2]Doc Set'!H:H)</f>
        <v>43313</v>
      </c>
      <c r="S3" s="143" t="s">
        <v>200</v>
      </c>
    </row>
    <row r="4" spans="1:19" x14ac:dyDescent="0.3">
      <c r="A4" t="s">
        <v>40</v>
      </c>
      <c r="B4" t="s">
        <v>190</v>
      </c>
      <c r="C4" t="s">
        <v>191</v>
      </c>
      <c r="D4" s="165" t="s">
        <v>1114</v>
      </c>
      <c r="E4" t="s">
        <v>193</v>
      </c>
      <c r="F4" t="s">
        <v>194</v>
      </c>
      <c r="G4" t="s">
        <v>267</v>
      </c>
      <c r="H4" t="s">
        <v>1120</v>
      </c>
      <c r="I4" s="139" t="s">
        <v>51</v>
      </c>
      <c r="J4" s="159" t="s">
        <v>1121</v>
      </c>
      <c r="K4">
        <v>20038918</v>
      </c>
      <c r="L4" s="55" t="s">
        <v>198</v>
      </c>
      <c r="M4" s="141" t="str">
        <f t="shared" si="0"/>
        <v>EH3-SS_B</v>
      </c>
      <c r="N4" s="142" t="str">
        <f>LOOKUP(M4,'[2]Doc Set'!E:E,'[2]Doc Set'!F:F)</f>
        <v>_</v>
      </c>
      <c r="O4" s="141" t="s">
        <v>1117</v>
      </c>
      <c r="P4" s="142">
        <f>+LOOKUP(O4,'[2]Doc Set'!E:E,'[2]Doc Set'!G:G)</f>
        <v>43259</v>
      </c>
      <c r="Q4" s="55" t="str">
        <f t="shared" si="1"/>
        <v>EH3-SS_B</v>
      </c>
      <c r="R4" s="142">
        <f>+LOOKUP(Q4,'[2]Doc Set'!E:E,'[2]Doc Set'!H:H)</f>
        <v>43313</v>
      </c>
      <c r="S4" s="143" t="s">
        <v>200</v>
      </c>
    </row>
    <row r="5" spans="1:19" x14ac:dyDescent="0.3">
      <c r="A5" t="s">
        <v>40</v>
      </c>
      <c r="B5" t="s">
        <v>190</v>
      </c>
      <c r="C5" t="s">
        <v>191</v>
      </c>
      <c r="D5" s="165" t="s">
        <v>1114</v>
      </c>
      <c r="E5" t="s">
        <v>193</v>
      </c>
      <c r="F5" t="s">
        <v>194</v>
      </c>
      <c r="G5" t="s">
        <v>270</v>
      </c>
      <c r="H5" t="s">
        <v>1122</v>
      </c>
      <c r="I5" s="139" t="s">
        <v>51</v>
      </c>
      <c r="J5" s="159" t="s">
        <v>1123</v>
      </c>
      <c r="K5">
        <v>20038918</v>
      </c>
      <c r="L5" s="55" t="s">
        <v>198</v>
      </c>
      <c r="M5" s="141" t="str">
        <f t="shared" si="0"/>
        <v>EH3-SS_B</v>
      </c>
      <c r="N5" s="142" t="str">
        <f>LOOKUP(M5,'[2]Doc Set'!E:E,'[2]Doc Set'!F:F)</f>
        <v>_</v>
      </c>
      <c r="O5" s="141" t="s">
        <v>1117</v>
      </c>
      <c r="P5" s="142">
        <f>+LOOKUP(O5,'[2]Doc Set'!E:E,'[2]Doc Set'!G:G)</f>
        <v>43259</v>
      </c>
      <c r="Q5" s="55" t="str">
        <f t="shared" si="1"/>
        <v>EH3-SS_B</v>
      </c>
      <c r="R5" s="142">
        <f>+LOOKUP(Q5,'[2]Doc Set'!E:E,'[2]Doc Set'!H:H)</f>
        <v>43313</v>
      </c>
      <c r="S5" s="143" t="s">
        <v>200</v>
      </c>
    </row>
    <row r="6" spans="1:19" x14ac:dyDescent="0.3">
      <c r="A6" t="s">
        <v>40</v>
      </c>
      <c r="B6" t="s">
        <v>190</v>
      </c>
      <c r="C6" t="s">
        <v>191</v>
      </c>
      <c r="D6" s="165" t="s">
        <v>1114</v>
      </c>
      <c r="E6" t="s">
        <v>193</v>
      </c>
      <c r="F6" t="s">
        <v>194</v>
      </c>
      <c r="G6" t="s">
        <v>273</v>
      </c>
      <c r="H6" t="s">
        <v>1124</v>
      </c>
      <c r="I6" s="139" t="s">
        <v>51</v>
      </c>
      <c r="J6" s="159" t="s">
        <v>1125</v>
      </c>
      <c r="K6">
        <v>20038918</v>
      </c>
      <c r="L6" s="55" t="s">
        <v>198</v>
      </c>
      <c r="M6" s="141" t="str">
        <f t="shared" si="0"/>
        <v>EH3-SS_B</v>
      </c>
      <c r="N6" s="142" t="str">
        <f>LOOKUP(M6,'[2]Doc Set'!E:E,'[2]Doc Set'!F:F)</f>
        <v>_</v>
      </c>
      <c r="O6" s="141" t="s">
        <v>1117</v>
      </c>
      <c r="P6" s="142">
        <f>+LOOKUP(O6,'[2]Doc Set'!E:E,'[2]Doc Set'!G:G)</f>
        <v>43259</v>
      </c>
      <c r="Q6" s="55" t="str">
        <f t="shared" si="1"/>
        <v>EH3-SS_B</v>
      </c>
      <c r="R6" s="142">
        <f>+LOOKUP(Q6,'[2]Doc Set'!E:E,'[2]Doc Set'!H:H)</f>
        <v>43313</v>
      </c>
      <c r="S6" s="143" t="s">
        <v>200</v>
      </c>
    </row>
    <row r="7" spans="1:19" x14ac:dyDescent="0.3">
      <c r="A7" t="s">
        <v>40</v>
      </c>
      <c r="B7" t="s">
        <v>190</v>
      </c>
      <c r="C7" t="s">
        <v>191</v>
      </c>
      <c r="D7" s="165" t="s">
        <v>1114</v>
      </c>
      <c r="E7" t="s">
        <v>193</v>
      </c>
      <c r="F7" t="s">
        <v>194</v>
      </c>
      <c r="G7" t="s">
        <v>276</v>
      </c>
      <c r="H7" t="s">
        <v>1126</v>
      </c>
      <c r="I7" s="139" t="s">
        <v>51</v>
      </c>
      <c r="J7" s="159" t="s">
        <v>1127</v>
      </c>
      <c r="K7">
        <v>20038918</v>
      </c>
      <c r="L7" s="55" t="s">
        <v>198</v>
      </c>
      <c r="M7" s="141" t="str">
        <f t="shared" si="0"/>
        <v>EH3-SS_B</v>
      </c>
      <c r="N7" s="142" t="str">
        <f>LOOKUP(M7,'[2]Doc Set'!E:E,'[2]Doc Set'!F:F)</f>
        <v>_</v>
      </c>
      <c r="O7" s="141" t="s">
        <v>1117</v>
      </c>
      <c r="P7" s="142">
        <f>+LOOKUP(O7,'[2]Doc Set'!E:E,'[2]Doc Set'!G:G)</f>
        <v>43259</v>
      </c>
      <c r="Q7" s="55" t="str">
        <f t="shared" si="1"/>
        <v>EH3-SS_B</v>
      </c>
      <c r="R7" s="142">
        <f>+LOOKUP(Q7,'[2]Doc Set'!E:E,'[2]Doc Set'!H:H)</f>
        <v>43313</v>
      </c>
      <c r="S7" s="143" t="s">
        <v>200</v>
      </c>
    </row>
    <row r="8" spans="1:19" x14ac:dyDescent="0.3">
      <c r="A8" t="s">
        <v>40</v>
      </c>
      <c r="B8" t="s">
        <v>190</v>
      </c>
      <c r="C8" t="s">
        <v>191</v>
      </c>
      <c r="D8" s="165" t="s">
        <v>1114</v>
      </c>
      <c r="E8" t="s">
        <v>193</v>
      </c>
      <c r="F8" t="s">
        <v>194</v>
      </c>
      <c r="G8" t="s">
        <v>494</v>
      </c>
      <c r="H8" t="s">
        <v>1128</v>
      </c>
      <c r="I8" s="139" t="s">
        <v>51</v>
      </c>
      <c r="J8" s="159" t="s">
        <v>1129</v>
      </c>
      <c r="K8">
        <v>20038918</v>
      </c>
      <c r="L8" s="55" t="s">
        <v>198</v>
      </c>
      <c r="M8" s="141" t="str">
        <f t="shared" si="0"/>
        <v>EH3-SS_B</v>
      </c>
      <c r="N8" s="142" t="str">
        <f>LOOKUP(M8,'[2]Doc Set'!E:E,'[2]Doc Set'!F:F)</f>
        <v>_</v>
      </c>
      <c r="O8" s="141" t="s">
        <v>1117</v>
      </c>
      <c r="P8" s="142">
        <f>+LOOKUP(O8,'[2]Doc Set'!E:E,'[2]Doc Set'!G:G)</f>
        <v>43259</v>
      </c>
      <c r="Q8" s="55" t="str">
        <f t="shared" si="1"/>
        <v>EH3-SS_B</v>
      </c>
      <c r="R8" s="142">
        <f>+LOOKUP(Q8,'[2]Doc Set'!E:E,'[2]Doc Set'!H:H)</f>
        <v>43313</v>
      </c>
      <c r="S8" s="143" t="s">
        <v>200</v>
      </c>
    </row>
    <row r="9" spans="1:19" x14ac:dyDescent="0.3">
      <c r="A9" t="s">
        <v>40</v>
      </c>
      <c r="B9" t="s">
        <v>190</v>
      </c>
      <c r="C9" t="s">
        <v>191</v>
      </c>
      <c r="D9" s="165" t="s">
        <v>1114</v>
      </c>
      <c r="E9" t="s">
        <v>193</v>
      </c>
      <c r="F9" t="s">
        <v>194</v>
      </c>
      <c r="G9" t="s">
        <v>282</v>
      </c>
      <c r="H9" t="s">
        <v>1130</v>
      </c>
      <c r="I9" s="139" t="s">
        <v>51</v>
      </c>
      <c r="J9" s="159" t="s">
        <v>1131</v>
      </c>
      <c r="K9">
        <v>20038918</v>
      </c>
      <c r="L9" s="55" t="s">
        <v>198</v>
      </c>
      <c r="M9" s="141" t="str">
        <f t="shared" si="0"/>
        <v>EH3-SS_B</v>
      </c>
      <c r="N9" s="142" t="str">
        <f>LOOKUP(M9,'[2]Doc Set'!E:E,'[2]Doc Set'!F:F)</f>
        <v>_</v>
      </c>
      <c r="O9" s="141" t="s">
        <v>1117</v>
      </c>
      <c r="P9" s="142">
        <f>+LOOKUP(O9,'[2]Doc Set'!E:E,'[2]Doc Set'!G:G)</f>
        <v>43259</v>
      </c>
      <c r="Q9" s="55" t="str">
        <f t="shared" si="1"/>
        <v>EH3-SS_B</v>
      </c>
      <c r="R9" s="142">
        <f>+LOOKUP(Q9,'[2]Doc Set'!E:E,'[2]Doc Set'!H:H)</f>
        <v>43313</v>
      </c>
      <c r="S9" s="143" t="s">
        <v>200</v>
      </c>
    </row>
    <row r="10" spans="1:19" x14ac:dyDescent="0.3">
      <c r="A10" t="s">
        <v>40</v>
      </c>
      <c r="B10" t="s">
        <v>190</v>
      </c>
      <c r="C10" t="s">
        <v>191</v>
      </c>
      <c r="D10" s="165" t="s">
        <v>1114</v>
      </c>
      <c r="E10" t="s">
        <v>193</v>
      </c>
      <c r="F10" t="s">
        <v>194</v>
      </c>
      <c r="G10" t="s">
        <v>285</v>
      </c>
      <c r="H10" t="s">
        <v>1132</v>
      </c>
      <c r="I10" s="139" t="s">
        <v>51</v>
      </c>
      <c r="J10" s="159" t="s">
        <v>1133</v>
      </c>
      <c r="K10">
        <v>20038918</v>
      </c>
      <c r="L10" s="55" t="s">
        <v>198</v>
      </c>
      <c r="M10" s="141" t="str">
        <f t="shared" si="0"/>
        <v>EH3-SS_B</v>
      </c>
      <c r="N10" s="142" t="str">
        <f>LOOKUP(M10,'[2]Doc Set'!E:E,'[2]Doc Set'!F:F)</f>
        <v>_</v>
      </c>
      <c r="O10" s="141" t="s">
        <v>1117</v>
      </c>
      <c r="P10" s="142">
        <f>+LOOKUP(O10,'[2]Doc Set'!E:E,'[2]Doc Set'!G:G)</f>
        <v>43259</v>
      </c>
      <c r="Q10" s="55" t="str">
        <f t="shared" si="1"/>
        <v>EH3-SS_B</v>
      </c>
      <c r="R10" s="142">
        <f>+LOOKUP(Q10,'[2]Doc Set'!E:E,'[2]Doc Set'!H:H)</f>
        <v>43313</v>
      </c>
      <c r="S10" s="143" t="s">
        <v>200</v>
      </c>
    </row>
    <row r="11" spans="1:19" x14ac:dyDescent="0.3">
      <c r="A11" t="s">
        <v>40</v>
      </c>
      <c r="B11" t="s">
        <v>190</v>
      </c>
      <c r="C11" t="s">
        <v>191</v>
      </c>
      <c r="D11" s="165" t="s">
        <v>1114</v>
      </c>
      <c r="E11" t="s">
        <v>193</v>
      </c>
      <c r="F11" t="s">
        <v>194</v>
      </c>
      <c r="G11" t="s">
        <v>288</v>
      </c>
      <c r="H11" t="s">
        <v>1134</v>
      </c>
      <c r="I11" s="139" t="s">
        <v>51</v>
      </c>
      <c r="J11" s="159" t="s">
        <v>1135</v>
      </c>
      <c r="K11">
        <v>20038918</v>
      </c>
      <c r="L11" s="55" t="s">
        <v>198</v>
      </c>
      <c r="M11" s="141" t="str">
        <f t="shared" si="0"/>
        <v>EH3-SS_B</v>
      </c>
      <c r="N11" s="142" t="str">
        <f>LOOKUP(M11,'[2]Doc Set'!E:E,'[2]Doc Set'!F:F)</f>
        <v>_</v>
      </c>
      <c r="O11" s="141" t="s">
        <v>1117</v>
      </c>
      <c r="P11" s="142">
        <f>+LOOKUP(O11,'[2]Doc Set'!E:E,'[2]Doc Set'!G:G)</f>
        <v>43259</v>
      </c>
      <c r="Q11" s="55" t="str">
        <f t="shared" si="1"/>
        <v>EH3-SS_B</v>
      </c>
      <c r="R11" s="142">
        <f>+LOOKUP(Q11,'[2]Doc Set'!E:E,'[2]Doc Set'!H:H)</f>
        <v>43313</v>
      </c>
      <c r="S11" s="143" t="s">
        <v>200</v>
      </c>
    </row>
    <row r="12" spans="1:19" x14ac:dyDescent="0.3">
      <c r="A12" t="s">
        <v>40</v>
      </c>
      <c r="B12" t="s">
        <v>190</v>
      </c>
      <c r="C12" t="s">
        <v>191</v>
      </c>
      <c r="D12" s="165" t="s">
        <v>1114</v>
      </c>
      <c r="E12" t="s">
        <v>193</v>
      </c>
      <c r="F12" t="s">
        <v>194</v>
      </c>
      <c r="G12" t="s">
        <v>291</v>
      </c>
      <c r="H12" t="s">
        <v>1136</v>
      </c>
      <c r="I12" s="139" t="s">
        <v>51</v>
      </c>
      <c r="J12" s="159" t="s">
        <v>1137</v>
      </c>
      <c r="K12">
        <v>20038918</v>
      </c>
      <c r="L12" s="55" t="s">
        <v>198</v>
      </c>
      <c r="M12" s="141" t="str">
        <f t="shared" si="0"/>
        <v>EH3-SS_B</v>
      </c>
      <c r="N12" s="142" t="str">
        <f>LOOKUP(M12,'[2]Doc Set'!E:E,'[2]Doc Set'!F:F)</f>
        <v>_</v>
      </c>
      <c r="O12" s="141" t="s">
        <v>1117</v>
      </c>
      <c r="P12" s="142">
        <f>+LOOKUP(O12,'[2]Doc Set'!E:E,'[2]Doc Set'!G:G)</f>
        <v>43259</v>
      </c>
      <c r="Q12" s="55" t="str">
        <f t="shared" si="1"/>
        <v>EH3-SS_B</v>
      </c>
      <c r="R12" s="142">
        <f>+LOOKUP(Q12,'[2]Doc Set'!E:E,'[2]Doc Set'!H:H)</f>
        <v>43313</v>
      </c>
      <c r="S12" s="143" t="s">
        <v>200</v>
      </c>
    </row>
    <row r="13" spans="1:19" x14ac:dyDescent="0.3">
      <c r="A13" t="s">
        <v>40</v>
      </c>
      <c r="B13" t="s">
        <v>190</v>
      </c>
      <c r="C13" t="s">
        <v>191</v>
      </c>
      <c r="D13" s="165" t="s">
        <v>1114</v>
      </c>
      <c r="E13" t="s">
        <v>193</v>
      </c>
      <c r="F13" t="s">
        <v>194</v>
      </c>
      <c r="G13" t="s">
        <v>294</v>
      </c>
      <c r="H13" t="s">
        <v>1138</v>
      </c>
      <c r="I13" s="139" t="s">
        <v>51</v>
      </c>
      <c r="J13" s="159" t="s">
        <v>1139</v>
      </c>
      <c r="K13">
        <v>20038918</v>
      </c>
      <c r="L13" s="55" t="s">
        <v>198</v>
      </c>
      <c r="M13" s="141" t="str">
        <f t="shared" si="0"/>
        <v>EH3-SS_B</v>
      </c>
      <c r="N13" s="142" t="str">
        <f>LOOKUP(M13,'[2]Doc Set'!E:E,'[2]Doc Set'!F:F)</f>
        <v>_</v>
      </c>
      <c r="O13" s="141" t="s">
        <v>1117</v>
      </c>
      <c r="P13" s="142">
        <f>+LOOKUP(O13,'[2]Doc Set'!E:E,'[2]Doc Set'!G:G)</f>
        <v>43259</v>
      </c>
      <c r="Q13" s="55" t="str">
        <f t="shared" si="1"/>
        <v>EH3-SS_B</v>
      </c>
      <c r="R13" s="142">
        <f>+LOOKUP(Q13,'[2]Doc Set'!E:E,'[2]Doc Set'!H:H)</f>
        <v>43313</v>
      </c>
      <c r="S13" s="143" t="s">
        <v>200</v>
      </c>
    </row>
    <row r="14" spans="1:19" x14ac:dyDescent="0.3">
      <c r="A14" t="s">
        <v>40</v>
      </c>
      <c r="B14" t="s">
        <v>190</v>
      </c>
      <c r="C14" t="s">
        <v>191</v>
      </c>
      <c r="D14" s="165" t="s">
        <v>1114</v>
      </c>
      <c r="E14" t="s">
        <v>193</v>
      </c>
      <c r="F14" t="s">
        <v>194</v>
      </c>
      <c r="G14" t="s">
        <v>297</v>
      </c>
      <c r="H14" t="s">
        <v>1140</v>
      </c>
      <c r="I14" s="139" t="s">
        <v>51</v>
      </c>
      <c r="J14" s="159" t="s">
        <v>1141</v>
      </c>
      <c r="K14">
        <v>20038918</v>
      </c>
      <c r="L14" s="55" t="s">
        <v>198</v>
      </c>
      <c r="M14" s="141" t="str">
        <f t="shared" si="0"/>
        <v>EH3-SS_B</v>
      </c>
      <c r="N14" s="142" t="str">
        <f>LOOKUP(M14,'[2]Doc Set'!E:E,'[2]Doc Set'!F:F)</f>
        <v>_</v>
      </c>
      <c r="O14" s="141" t="s">
        <v>1117</v>
      </c>
      <c r="P14" s="142">
        <f>+LOOKUP(O14,'[2]Doc Set'!E:E,'[2]Doc Set'!G:G)</f>
        <v>43259</v>
      </c>
      <c r="Q14" s="55" t="str">
        <f t="shared" si="1"/>
        <v>EH3-SS_B</v>
      </c>
      <c r="R14" s="142">
        <f>+LOOKUP(Q14,'[2]Doc Set'!E:E,'[2]Doc Set'!H:H)</f>
        <v>43313</v>
      </c>
      <c r="S14" s="143" t="s">
        <v>200</v>
      </c>
    </row>
    <row r="15" spans="1:19" x14ac:dyDescent="0.3">
      <c r="A15" t="s">
        <v>40</v>
      </c>
      <c r="B15" t="s">
        <v>190</v>
      </c>
      <c r="C15" t="s">
        <v>191</v>
      </c>
      <c r="D15" s="165" t="s">
        <v>1114</v>
      </c>
      <c r="E15" t="s">
        <v>193</v>
      </c>
      <c r="F15" t="s">
        <v>194</v>
      </c>
      <c r="G15" t="s">
        <v>497</v>
      </c>
      <c r="H15" t="s">
        <v>1142</v>
      </c>
      <c r="I15" s="139" t="s">
        <v>51</v>
      </c>
      <c r="J15" s="159" t="s">
        <v>1143</v>
      </c>
      <c r="K15">
        <v>20038918</v>
      </c>
      <c r="L15" s="55" t="s">
        <v>198</v>
      </c>
      <c r="M15" s="141" t="str">
        <f t="shared" si="0"/>
        <v>EH3-SS_B</v>
      </c>
      <c r="N15" s="142" t="str">
        <f>LOOKUP(M15,'[2]Doc Set'!E:E,'[2]Doc Set'!F:F)</f>
        <v>_</v>
      </c>
      <c r="O15" s="141" t="s">
        <v>1117</v>
      </c>
      <c r="P15" s="142">
        <f>+LOOKUP(O15,'[2]Doc Set'!E:E,'[2]Doc Set'!G:G)</f>
        <v>43259</v>
      </c>
      <c r="Q15" s="55" t="str">
        <f t="shared" si="1"/>
        <v>EH3-SS_B</v>
      </c>
      <c r="R15" s="142">
        <f>+LOOKUP(Q15,'[2]Doc Set'!E:E,'[2]Doc Set'!H:H)</f>
        <v>43313</v>
      </c>
      <c r="S15" s="143" t="s">
        <v>200</v>
      </c>
    </row>
    <row r="16" spans="1:19" x14ac:dyDescent="0.3">
      <c r="A16" t="s">
        <v>40</v>
      </c>
      <c r="B16" t="s">
        <v>190</v>
      </c>
      <c r="C16" t="s">
        <v>191</v>
      </c>
      <c r="D16" s="165" t="s">
        <v>1114</v>
      </c>
      <c r="E16" t="s">
        <v>193</v>
      </c>
      <c r="F16" t="s">
        <v>663</v>
      </c>
      <c r="G16" t="s">
        <v>1144</v>
      </c>
      <c r="H16" t="s">
        <v>1145</v>
      </c>
      <c r="I16" s="154" t="s">
        <v>134</v>
      </c>
      <c r="J16" s="159" t="s">
        <v>1146</v>
      </c>
      <c r="K16">
        <v>20038918</v>
      </c>
      <c r="L16" s="55" t="s">
        <v>198</v>
      </c>
      <c r="M16" s="141" t="str">
        <f t="shared" si="0"/>
        <v>EH3-SS_B</v>
      </c>
      <c r="N16" s="142" t="str">
        <f>LOOKUP(M16,'[2]Doc Set'!E:E,'[2]Doc Set'!F:F)</f>
        <v>_</v>
      </c>
      <c r="O16" s="141" t="s">
        <v>1117</v>
      </c>
      <c r="P16" s="142">
        <f>+LOOKUP(O16,'[2]Doc Set'!E:E,'[2]Doc Set'!G:G)</f>
        <v>43259</v>
      </c>
      <c r="Q16" s="55" t="str">
        <f t="shared" si="1"/>
        <v>EH3-SS_B</v>
      </c>
      <c r="R16" s="142">
        <f>+LOOKUP(Q16,'[2]Doc Set'!E:E,'[2]Doc Set'!H:H)</f>
        <v>43313</v>
      </c>
      <c r="S16" s="143" t="s">
        <v>200</v>
      </c>
    </row>
    <row r="17" spans="1:19" x14ac:dyDescent="0.3">
      <c r="A17" t="s">
        <v>40</v>
      </c>
      <c r="B17" t="s">
        <v>190</v>
      </c>
      <c r="C17" t="s">
        <v>191</v>
      </c>
      <c r="D17" s="165" t="s">
        <v>1114</v>
      </c>
      <c r="E17" t="s">
        <v>193</v>
      </c>
      <c r="F17" t="s">
        <v>663</v>
      </c>
      <c r="G17" t="s">
        <v>1147</v>
      </c>
      <c r="H17" t="s">
        <v>1148</v>
      </c>
      <c r="I17" s="154" t="s">
        <v>134</v>
      </c>
      <c r="J17" s="159" t="s">
        <v>1149</v>
      </c>
      <c r="K17">
        <v>20038918</v>
      </c>
      <c r="L17" s="55" t="s">
        <v>198</v>
      </c>
      <c r="M17" s="141" t="str">
        <f t="shared" si="0"/>
        <v>EH3-SS_B</v>
      </c>
      <c r="N17" s="142" t="str">
        <f>LOOKUP(M17,'[2]Doc Set'!E:E,'[2]Doc Set'!F:F)</f>
        <v>_</v>
      </c>
      <c r="O17" s="141" t="s">
        <v>1117</v>
      </c>
      <c r="P17" s="142">
        <f>+LOOKUP(O17,'[2]Doc Set'!E:E,'[2]Doc Set'!G:G)</f>
        <v>43259</v>
      </c>
      <c r="Q17" s="55" t="str">
        <f t="shared" si="1"/>
        <v>EH3-SS_B</v>
      </c>
      <c r="R17" s="142">
        <f>+LOOKUP(Q17,'[2]Doc Set'!E:E,'[2]Doc Set'!H:H)</f>
        <v>43313</v>
      </c>
      <c r="S17" s="143" t="s">
        <v>200</v>
      </c>
    </row>
    <row r="18" spans="1:19" x14ac:dyDescent="0.3">
      <c r="A18" t="s">
        <v>40</v>
      </c>
      <c r="B18" t="s">
        <v>190</v>
      </c>
      <c r="C18" t="s">
        <v>191</v>
      </c>
      <c r="D18" s="165" t="s">
        <v>1114</v>
      </c>
      <c r="E18" t="s">
        <v>193</v>
      </c>
      <c r="F18" t="s">
        <v>663</v>
      </c>
      <c r="G18" t="s">
        <v>1150</v>
      </c>
      <c r="H18" t="s">
        <v>1151</v>
      </c>
      <c r="I18" s="154" t="s">
        <v>134</v>
      </c>
      <c r="J18" s="159" t="s">
        <v>1152</v>
      </c>
      <c r="K18">
        <v>20038918</v>
      </c>
      <c r="L18" s="55" t="s">
        <v>198</v>
      </c>
      <c r="M18" s="141" t="str">
        <f t="shared" si="0"/>
        <v>EH3-SS_B</v>
      </c>
      <c r="N18" s="142" t="str">
        <f>LOOKUP(M18,'[2]Doc Set'!E:E,'[2]Doc Set'!F:F)</f>
        <v>_</v>
      </c>
      <c r="O18" s="141" t="s">
        <v>1117</v>
      </c>
      <c r="P18" s="142">
        <f>+LOOKUP(O18,'[2]Doc Set'!E:E,'[2]Doc Set'!G:G)</f>
        <v>43259</v>
      </c>
      <c r="Q18" s="55" t="str">
        <f t="shared" si="1"/>
        <v>EH3-SS_B</v>
      </c>
      <c r="R18" s="142">
        <f>+LOOKUP(Q18,'[2]Doc Set'!E:E,'[2]Doc Set'!H:H)</f>
        <v>43313</v>
      </c>
      <c r="S18" s="143" t="s">
        <v>200</v>
      </c>
    </row>
    <row r="19" spans="1:19" x14ac:dyDescent="0.3">
      <c r="A19" t="s">
        <v>40</v>
      </c>
      <c r="B19" t="s">
        <v>190</v>
      </c>
      <c r="C19" t="s">
        <v>191</v>
      </c>
      <c r="D19" s="165" t="s">
        <v>1114</v>
      </c>
      <c r="E19" t="s">
        <v>193</v>
      </c>
      <c r="F19" t="s">
        <v>663</v>
      </c>
      <c r="G19" t="s">
        <v>1153</v>
      </c>
      <c r="H19" t="s">
        <v>1154</v>
      </c>
      <c r="I19" s="154" t="s">
        <v>134</v>
      </c>
      <c r="J19" s="159" t="s">
        <v>1155</v>
      </c>
      <c r="K19">
        <v>20038918</v>
      </c>
      <c r="L19" s="55" t="s">
        <v>198</v>
      </c>
      <c r="M19" s="141" t="str">
        <f t="shared" si="0"/>
        <v>EH3-SS_B</v>
      </c>
      <c r="N19" s="142" t="str">
        <f>LOOKUP(M19,'[2]Doc Set'!E:E,'[2]Doc Set'!F:F)</f>
        <v>_</v>
      </c>
      <c r="O19" s="141" t="s">
        <v>1117</v>
      </c>
      <c r="P19" s="142">
        <f>+LOOKUP(O19,'[2]Doc Set'!E:E,'[2]Doc Set'!G:G)</f>
        <v>43259</v>
      </c>
      <c r="Q19" s="55" t="str">
        <f t="shared" si="1"/>
        <v>EH3-SS_B</v>
      </c>
      <c r="R19" s="142">
        <f>+LOOKUP(Q19,'[2]Doc Set'!E:E,'[2]Doc Set'!H:H)</f>
        <v>43313</v>
      </c>
      <c r="S19" s="143" t="s">
        <v>200</v>
      </c>
    </row>
  </sheetData>
  <autoFilter ref="A1:S19"/>
  <conditionalFormatting sqref="G20:G1048576">
    <cfRule type="duplicateValues" dxfId="67" priority="5"/>
  </conditionalFormatting>
  <conditionalFormatting sqref="G2:G19">
    <cfRule type="duplicateValues" dxfId="66" priority="4"/>
  </conditionalFormatting>
  <conditionalFormatting sqref="G2:G19">
    <cfRule type="duplicateValues" dxfId="65" priority="3"/>
  </conditionalFormatting>
  <conditionalFormatting sqref="G2:G1048576">
    <cfRule type="duplicateValues" dxfId="64" priority="2"/>
  </conditionalFormatting>
  <conditionalFormatting sqref="H2:H1048576">
    <cfRule type="duplicateValues" dxfId="63" priority="1"/>
  </conditionalFormatting>
  <dataValidations count="1">
    <dataValidation type="list" allowBlank="1" showInputMessage="1" showErrorMessage="1" sqref="O2:O19 M2:M19">
      <formula1>Document_Set_Name</formula1>
    </dataValidation>
  </dataValidations>
  <pageMargins left="0.7" right="0.7" top="0.75" bottom="0.75" header="0.3" footer="0.3"/>
  <pageSetup orientation="portrait" r:id="rId1"/>
  <headerFooter>
    <oddFooter>&amp;L&amp;1#&amp;"Calibri"&amp;8 Sensitivity: LNT Construction Internal Use</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S95"/>
  <sheetViews>
    <sheetView topLeftCell="H76" zoomScaleNormal="100" workbookViewId="0">
      <selection activeCell="H86" sqref="H86:H98"/>
    </sheetView>
  </sheetViews>
  <sheetFormatPr defaultRowHeight="14.4" x14ac:dyDescent="0.3"/>
  <cols>
    <col min="1" max="1" width="11.44140625" bestFit="1" customWidth="1"/>
    <col min="3" max="3" width="11.109375" bestFit="1" customWidth="1"/>
    <col min="4" max="4" width="11.33203125" style="155" bestFit="1" customWidth="1"/>
    <col min="5" max="5" width="10.5546875" bestFit="1" customWidth="1"/>
    <col min="6" max="6" width="8.5546875" bestFit="1" customWidth="1"/>
    <col min="8" max="8" width="22.5546875" bestFit="1" customWidth="1"/>
    <col min="10" max="10" width="56.5546875" bestFit="1" customWidth="1"/>
    <col min="11" max="11" width="11.6640625" customWidth="1"/>
    <col min="12" max="12" width="20.44140625" customWidth="1"/>
    <col min="14" max="14" width="9.88671875" bestFit="1" customWidth="1"/>
    <col min="15" max="15" width="10.33203125" customWidth="1"/>
    <col min="16" max="16" width="12.5546875" bestFit="1" customWidth="1"/>
    <col min="17" max="17" width="10.33203125" customWidth="1"/>
    <col min="18" max="18" width="9.6640625" bestFit="1" customWidth="1"/>
    <col min="19" max="19" width="9.109375" customWidth="1"/>
  </cols>
  <sheetData>
    <row r="1" spans="1:19" s="136" customFormat="1" x14ac:dyDescent="0.3">
      <c r="A1" s="160" t="s">
        <v>174</v>
      </c>
      <c r="B1" s="160" t="s">
        <v>175</v>
      </c>
      <c r="C1" s="160" t="s">
        <v>176</v>
      </c>
      <c r="D1" s="161" t="s">
        <v>177</v>
      </c>
      <c r="E1" s="160" t="s">
        <v>178</v>
      </c>
      <c r="F1" s="160" t="s">
        <v>179</v>
      </c>
      <c r="G1" s="160" t="s">
        <v>180</v>
      </c>
      <c r="H1" s="160" t="s">
        <v>181</v>
      </c>
      <c r="I1" s="160" t="s">
        <v>182</v>
      </c>
      <c r="J1" s="160" t="s">
        <v>183</v>
      </c>
      <c r="K1" s="160" t="s">
        <v>184</v>
      </c>
      <c r="L1" s="160" t="s">
        <v>185</v>
      </c>
      <c r="M1" s="160" t="s">
        <v>34</v>
      </c>
      <c r="N1" s="160" t="s">
        <v>186</v>
      </c>
      <c r="O1" s="160" t="s">
        <v>67</v>
      </c>
      <c r="P1" s="160" t="s">
        <v>187</v>
      </c>
      <c r="Q1" s="160" t="s">
        <v>133</v>
      </c>
      <c r="R1" s="160" t="s">
        <v>188</v>
      </c>
      <c r="S1" s="160" t="s">
        <v>189</v>
      </c>
    </row>
    <row r="2" spans="1:19" x14ac:dyDescent="0.3">
      <c r="A2" s="55" t="s">
        <v>40</v>
      </c>
      <c r="B2" s="55" t="s">
        <v>190</v>
      </c>
      <c r="C2" s="55" t="s">
        <v>191</v>
      </c>
      <c r="D2" s="162" t="s">
        <v>65</v>
      </c>
      <c r="E2" s="55" t="s">
        <v>193</v>
      </c>
      <c r="F2" s="55" t="s">
        <v>194</v>
      </c>
      <c r="G2" s="55" t="s">
        <v>346</v>
      </c>
      <c r="H2" s="55" t="s">
        <v>929</v>
      </c>
      <c r="I2" s="139" t="s">
        <v>51</v>
      </c>
      <c r="J2" s="159" t="s">
        <v>930</v>
      </c>
      <c r="K2" s="55">
        <v>20038918</v>
      </c>
      <c r="L2" s="55" t="s">
        <v>198</v>
      </c>
      <c r="M2" s="141" t="str">
        <f>+O2</f>
        <v>EH2-INT_D</v>
      </c>
      <c r="N2" s="142" t="str">
        <f>LOOKUP(M2,'[2]Doc Set'!E:E,'[2]Doc Set'!F:F)</f>
        <v>_</v>
      </c>
      <c r="O2" s="141" t="s">
        <v>931</v>
      </c>
      <c r="P2" s="142">
        <f>+LOOKUP(O2,'[2]Doc Set'!E:E,'[2]Doc Set'!G:G)</f>
        <v>43500</v>
      </c>
      <c r="Q2" s="55" t="str">
        <f>+O2</f>
        <v>EH2-INT_D</v>
      </c>
      <c r="R2" s="142">
        <f>+LOOKUP(Q2,'[2]Doc Set'!E:E,'[2]Doc Set'!H:H)</f>
        <v>43528</v>
      </c>
      <c r="S2" s="143" t="s">
        <v>200</v>
      </c>
    </row>
    <row r="3" spans="1:19" x14ac:dyDescent="0.3">
      <c r="A3" s="55" t="s">
        <v>40</v>
      </c>
      <c r="B3" s="55" t="s">
        <v>190</v>
      </c>
      <c r="C3" s="55" t="s">
        <v>191</v>
      </c>
      <c r="D3" s="162" t="s">
        <v>65</v>
      </c>
      <c r="E3" s="55" t="s">
        <v>193</v>
      </c>
      <c r="F3" s="55" t="s">
        <v>194</v>
      </c>
      <c r="G3" s="55" t="s">
        <v>349</v>
      </c>
      <c r="H3" s="55" t="s">
        <v>932</v>
      </c>
      <c r="I3" s="139" t="s">
        <v>51</v>
      </c>
      <c r="J3" s="159" t="s">
        <v>933</v>
      </c>
      <c r="K3" s="55">
        <v>20038918</v>
      </c>
      <c r="L3" s="55" t="s">
        <v>198</v>
      </c>
      <c r="M3" s="141" t="str">
        <f t="shared" ref="M3:M66" si="0">+O3</f>
        <v>EH2-INT_D</v>
      </c>
      <c r="N3" s="142" t="str">
        <f>LOOKUP(M3,'[2]Doc Set'!E:E,'[2]Doc Set'!F:F)</f>
        <v>_</v>
      </c>
      <c r="O3" s="141" t="s">
        <v>931</v>
      </c>
      <c r="P3" s="142">
        <f>+LOOKUP(O3,'[2]Doc Set'!E:E,'[2]Doc Set'!G:G)</f>
        <v>43500</v>
      </c>
      <c r="Q3" s="55" t="str">
        <f t="shared" ref="Q3:Q66" si="1">+O3</f>
        <v>EH2-INT_D</v>
      </c>
      <c r="R3" s="142">
        <f>+LOOKUP(Q3,'[2]Doc Set'!E:E,'[2]Doc Set'!H:H)</f>
        <v>43528</v>
      </c>
      <c r="S3" s="143" t="s">
        <v>200</v>
      </c>
    </row>
    <row r="4" spans="1:19" x14ac:dyDescent="0.3">
      <c r="A4" s="55" t="s">
        <v>40</v>
      </c>
      <c r="B4" s="55" t="s">
        <v>190</v>
      </c>
      <c r="C4" s="55" t="s">
        <v>191</v>
      </c>
      <c r="D4" s="162" t="s">
        <v>65</v>
      </c>
      <c r="E4" s="55" t="s">
        <v>193</v>
      </c>
      <c r="F4" s="55" t="s">
        <v>194</v>
      </c>
      <c r="G4" s="55" t="s">
        <v>352</v>
      </c>
      <c r="H4" s="55" t="s">
        <v>934</v>
      </c>
      <c r="I4" s="139" t="s">
        <v>51</v>
      </c>
      <c r="J4" s="159" t="s">
        <v>935</v>
      </c>
      <c r="K4" s="55">
        <v>20038918</v>
      </c>
      <c r="L4" s="55" t="s">
        <v>198</v>
      </c>
      <c r="M4" s="141" t="str">
        <f t="shared" si="0"/>
        <v>EH2-INT_D</v>
      </c>
      <c r="N4" s="142" t="str">
        <f>LOOKUP(M4,'[2]Doc Set'!E:E,'[2]Doc Set'!F:F)</f>
        <v>_</v>
      </c>
      <c r="O4" s="141" t="s">
        <v>931</v>
      </c>
      <c r="P4" s="142">
        <f>+LOOKUP(O4,'[2]Doc Set'!E:E,'[2]Doc Set'!G:G)</f>
        <v>43500</v>
      </c>
      <c r="Q4" s="55" t="str">
        <f t="shared" si="1"/>
        <v>EH2-INT_D</v>
      </c>
      <c r="R4" s="142">
        <f>+LOOKUP(Q4,'[2]Doc Set'!E:E,'[2]Doc Set'!H:H)</f>
        <v>43528</v>
      </c>
      <c r="S4" s="143" t="s">
        <v>200</v>
      </c>
    </row>
    <row r="5" spans="1:19" x14ac:dyDescent="0.3">
      <c r="A5" s="55" t="s">
        <v>40</v>
      </c>
      <c r="B5" s="55" t="s">
        <v>190</v>
      </c>
      <c r="C5" s="55" t="s">
        <v>191</v>
      </c>
      <c r="D5" s="162" t="s">
        <v>65</v>
      </c>
      <c r="E5" s="55" t="s">
        <v>193</v>
      </c>
      <c r="F5" s="55" t="s">
        <v>194</v>
      </c>
      <c r="G5" s="55" t="s">
        <v>355</v>
      </c>
      <c r="H5" s="55" t="s">
        <v>936</v>
      </c>
      <c r="I5" s="139" t="s">
        <v>51</v>
      </c>
      <c r="J5" s="159" t="s">
        <v>937</v>
      </c>
      <c r="K5" s="55">
        <v>20038918</v>
      </c>
      <c r="L5" s="55" t="s">
        <v>198</v>
      </c>
      <c r="M5" s="141" t="str">
        <f t="shared" si="0"/>
        <v>EH2-INT_D</v>
      </c>
      <c r="N5" s="142" t="str">
        <f>LOOKUP(M5,'[2]Doc Set'!E:E,'[2]Doc Set'!F:F)</f>
        <v>_</v>
      </c>
      <c r="O5" s="141" t="s">
        <v>931</v>
      </c>
      <c r="P5" s="142">
        <f>+LOOKUP(O5,'[2]Doc Set'!E:E,'[2]Doc Set'!G:G)</f>
        <v>43500</v>
      </c>
      <c r="Q5" s="55" t="str">
        <f t="shared" si="1"/>
        <v>EH2-INT_D</v>
      </c>
      <c r="R5" s="142">
        <f>+LOOKUP(Q5,'[2]Doc Set'!E:E,'[2]Doc Set'!H:H)</f>
        <v>43528</v>
      </c>
      <c r="S5" s="143" t="s">
        <v>200</v>
      </c>
    </row>
    <row r="6" spans="1:19" x14ac:dyDescent="0.3">
      <c r="A6" s="55" t="s">
        <v>40</v>
      </c>
      <c r="B6" s="55" t="s">
        <v>190</v>
      </c>
      <c r="C6" s="55" t="s">
        <v>191</v>
      </c>
      <c r="D6" s="162" t="s">
        <v>65</v>
      </c>
      <c r="E6" s="55" t="s">
        <v>193</v>
      </c>
      <c r="F6" s="55" t="s">
        <v>194</v>
      </c>
      <c r="G6" s="55" t="s">
        <v>358</v>
      </c>
      <c r="H6" s="55" t="s">
        <v>938</v>
      </c>
      <c r="I6" s="139" t="s">
        <v>51</v>
      </c>
      <c r="J6" s="159" t="s">
        <v>939</v>
      </c>
      <c r="K6" s="55">
        <v>20038918</v>
      </c>
      <c r="L6" s="55" t="s">
        <v>198</v>
      </c>
      <c r="M6" s="141" t="str">
        <f t="shared" si="0"/>
        <v>EH2-INT_D</v>
      </c>
      <c r="N6" s="142" t="str">
        <f>LOOKUP(M6,'[2]Doc Set'!E:E,'[2]Doc Set'!F:F)</f>
        <v>_</v>
      </c>
      <c r="O6" s="141" t="s">
        <v>931</v>
      </c>
      <c r="P6" s="142">
        <f>+LOOKUP(O6,'[2]Doc Set'!E:E,'[2]Doc Set'!G:G)</f>
        <v>43500</v>
      </c>
      <c r="Q6" s="55" t="str">
        <f t="shared" si="1"/>
        <v>EH2-INT_D</v>
      </c>
      <c r="R6" s="142">
        <f>+LOOKUP(Q6,'[2]Doc Set'!E:E,'[2]Doc Set'!H:H)</f>
        <v>43528</v>
      </c>
      <c r="S6" s="143" t="s">
        <v>200</v>
      </c>
    </row>
    <row r="7" spans="1:19" x14ac:dyDescent="0.3">
      <c r="A7" s="55" t="s">
        <v>40</v>
      </c>
      <c r="B7" s="55" t="s">
        <v>190</v>
      </c>
      <c r="C7" s="55" t="s">
        <v>191</v>
      </c>
      <c r="D7" s="162" t="s">
        <v>65</v>
      </c>
      <c r="E7" s="55" t="s">
        <v>193</v>
      </c>
      <c r="F7" s="55" t="s">
        <v>194</v>
      </c>
      <c r="G7" s="55" t="s">
        <v>361</v>
      </c>
      <c r="H7" s="55" t="s">
        <v>940</v>
      </c>
      <c r="I7" s="139" t="s">
        <v>51</v>
      </c>
      <c r="J7" s="159" t="s">
        <v>941</v>
      </c>
      <c r="K7" s="55">
        <v>20038918</v>
      </c>
      <c r="L7" s="55" t="s">
        <v>198</v>
      </c>
      <c r="M7" s="141" t="str">
        <f t="shared" si="0"/>
        <v>EH2-INT_D</v>
      </c>
      <c r="N7" s="142" t="str">
        <f>LOOKUP(M7,'[2]Doc Set'!E:E,'[2]Doc Set'!F:F)</f>
        <v>_</v>
      </c>
      <c r="O7" s="141" t="s">
        <v>931</v>
      </c>
      <c r="P7" s="142">
        <f>+LOOKUP(O7,'[2]Doc Set'!E:E,'[2]Doc Set'!G:G)</f>
        <v>43500</v>
      </c>
      <c r="Q7" s="55" t="str">
        <f t="shared" si="1"/>
        <v>EH2-INT_D</v>
      </c>
      <c r="R7" s="142">
        <f>+LOOKUP(Q7,'[2]Doc Set'!E:E,'[2]Doc Set'!H:H)</f>
        <v>43528</v>
      </c>
      <c r="S7" s="143" t="s">
        <v>200</v>
      </c>
    </row>
    <row r="8" spans="1:19" x14ac:dyDescent="0.3">
      <c r="A8" s="55" t="s">
        <v>40</v>
      </c>
      <c r="B8" s="55" t="s">
        <v>190</v>
      </c>
      <c r="C8" s="55" t="s">
        <v>191</v>
      </c>
      <c r="D8" s="162" t="s">
        <v>65</v>
      </c>
      <c r="E8" s="55" t="s">
        <v>193</v>
      </c>
      <c r="F8" s="55" t="s">
        <v>194</v>
      </c>
      <c r="G8" s="55" t="s">
        <v>240</v>
      </c>
      <c r="H8" s="55" t="s">
        <v>942</v>
      </c>
      <c r="I8" s="139" t="s">
        <v>51</v>
      </c>
      <c r="J8" s="159" t="s">
        <v>943</v>
      </c>
      <c r="K8" s="55">
        <v>20038918</v>
      </c>
      <c r="L8" s="55" t="s">
        <v>198</v>
      </c>
      <c r="M8" s="141" t="str">
        <f t="shared" si="0"/>
        <v>EH2-INT_D</v>
      </c>
      <c r="N8" s="142" t="str">
        <f>LOOKUP(M8,'[2]Doc Set'!E:E,'[2]Doc Set'!F:F)</f>
        <v>_</v>
      </c>
      <c r="O8" s="141" t="s">
        <v>931</v>
      </c>
      <c r="P8" s="142">
        <f>+LOOKUP(O8,'[2]Doc Set'!E:E,'[2]Doc Set'!G:G)</f>
        <v>43500</v>
      </c>
      <c r="Q8" s="55" t="str">
        <f t="shared" si="1"/>
        <v>EH2-INT_D</v>
      </c>
      <c r="R8" s="142">
        <f>+LOOKUP(Q8,'[2]Doc Set'!E:E,'[2]Doc Set'!H:H)</f>
        <v>43528</v>
      </c>
      <c r="S8" s="143" t="s">
        <v>200</v>
      </c>
    </row>
    <row r="9" spans="1:19" x14ac:dyDescent="0.3">
      <c r="A9" s="55" t="s">
        <v>40</v>
      </c>
      <c r="B9" s="55" t="s">
        <v>190</v>
      </c>
      <c r="C9" s="55" t="s">
        <v>191</v>
      </c>
      <c r="D9" s="162" t="s">
        <v>65</v>
      </c>
      <c r="E9" s="55" t="s">
        <v>193</v>
      </c>
      <c r="F9" s="55" t="s">
        <v>194</v>
      </c>
      <c r="G9" s="55" t="s">
        <v>243</v>
      </c>
      <c r="H9" s="55" t="s">
        <v>944</v>
      </c>
      <c r="I9" s="139" t="s">
        <v>51</v>
      </c>
      <c r="J9" s="159" t="s">
        <v>945</v>
      </c>
      <c r="K9" s="55">
        <v>20038918</v>
      </c>
      <c r="L9" s="55" t="s">
        <v>198</v>
      </c>
      <c r="M9" s="141" t="str">
        <f t="shared" si="0"/>
        <v>EH2-INT_D</v>
      </c>
      <c r="N9" s="142" t="str">
        <f>LOOKUP(M9,'[2]Doc Set'!E:E,'[2]Doc Set'!F:F)</f>
        <v>_</v>
      </c>
      <c r="O9" s="141" t="s">
        <v>931</v>
      </c>
      <c r="P9" s="142">
        <f>+LOOKUP(O9,'[2]Doc Set'!E:E,'[2]Doc Set'!G:G)</f>
        <v>43500</v>
      </c>
      <c r="Q9" s="55" t="str">
        <f t="shared" si="1"/>
        <v>EH2-INT_D</v>
      </c>
      <c r="R9" s="142">
        <f>+LOOKUP(Q9,'[2]Doc Set'!E:E,'[2]Doc Set'!H:H)</f>
        <v>43528</v>
      </c>
      <c r="S9" s="143" t="s">
        <v>200</v>
      </c>
    </row>
    <row r="10" spans="1:19" x14ac:dyDescent="0.3">
      <c r="A10" s="55" t="s">
        <v>40</v>
      </c>
      <c r="B10" s="55" t="s">
        <v>190</v>
      </c>
      <c r="C10" s="55" t="s">
        <v>191</v>
      </c>
      <c r="D10" s="162" t="s">
        <v>65</v>
      </c>
      <c r="E10" s="55" t="s">
        <v>193</v>
      </c>
      <c r="F10" s="55" t="s">
        <v>194</v>
      </c>
      <c r="G10" s="55" t="s">
        <v>246</v>
      </c>
      <c r="H10" s="55" t="s">
        <v>946</v>
      </c>
      <c r="I10" s="139" t="s">
        <v>51</v>
      </c>
      <c r="J10" s="159" t="s">
        <v>947</v>
      </c>
      <c r="K10" s="55">
        <v>20038918</v>
      </c>
      <c r="L10" s="55" t="s">
        <v>198</v>
      </c>
      <c r="M10" s="141" t="str">
        <f t="shared" si="0"/>
        <v>EH2-INT_D</v>
      </c>
      <c r="N10" s="142" t="str">
        <f>LOOKUP(M10,'[2]Doc Set'!E:E,'[2]Doc Set'!F:F)</f>
        <v>_</v>
      </c>
      <c r="O10" s="141" t="s">
        <v>931</v>
      </c>
      <c r="P10" s="142">
        <f>+LOOKUP(O10,'[2]Doc Set'!E:E,'[2]Doc Set'!G:G)</f>
        <v>43500</v>
      </c>
      <c r="Q10" s="55" t="str">
        <f t="shared" si="1"/>
        <v>EH2-INT_D</v>
      </c>
      <c r="R10" s="142">
        <f>+LOOKUP(Q10,'[2]Doc Set'!E:E,'[2]Doc Set'!H:H)</f>
        <v>43528</v>
      </c>
      <c r="S10" s="143" t="s">
        <v>200</v>
      </c>
    </row>
    <row r="11" spans="1:19" x14ac:dyDescent="0.3">
      <c r="A11" s="55" t="s">
        <v>40</v>
      </c>
      <c r="B11" s="55" t="s">
        <v>190</v>
      </c>
      <c r="C11" s="55" t="s">
        <v>191</v>
      </c>
      <c r="D11" s="162" t="s">
        <v>65</v>
      </c>
      <c r="E11" s="55" t="s">
        <v>193</v>
      </c>
      <c r="F11" s="55" t="s">
        <v>194</v>
      </c>
      <c r="G11" s="55" t="s">
        <v>249</v>
      </c>
      <c r="H11" s="55" t="s">
        <v>948</v>
      </c>
      <c r="I11" s="139" t="s">
        <v>51</v>
      </c>
      <c r="J11" s="159" t="s">
        <v>949</v>
      </c>
      <c r="K11" s="55">
        <v>20038918</v>
      </c>
      <c r="L11" s="55" t="s">
        <v>198</v>
      </c>
      <c r="M11" s="141" t="str">
        <f t="shared" si="0"/>
        <v>EH2-INT_D</v>
      </c>
      <c r="N11" s="142" t="str">
        <f>LOOKUP(M11,'[2]Doc Set'!E:E,'[2]Doc Set'!F:F)</f>
        <v>_</v>
      </c>
      <c r="O11" s="141" t="s">
        <v>931</v>
      </c>
      <c r="P11" s="142">
        <f>+LOOKUP(O11,'[2]Doc Set'!E:E,'[2]Doc Set'!G:G)</f>
        <v>43500</v>
      </c>
      <c r="Q11" s="55" t="str">
        <f t="shared" si="1"/>
        <v>EH2-INT_D</v>
      </c>
      <c r="R11" s="142">
        <f>+LOOKUP(Q11,'[2]Doc Set'!E:E,'[2]Doc Set'!H:H)</f>
        <v>43528</v>
      </c>
      <c r="S11" s="143" t="s">
        <v>200</v>
      </c>
    </row>
    <row r="12" spans="1:19" x14ac:dyDescent="0.3">
      <c r="A12" s="55" t="s">
        <v>40</v>
      </c>
      <c r="B12" s="55" t="s">
        <v>190</v>
      </c>
      <c r="C12" s="55" t="s">
        <v>191</v>
      </c>
      <c r="D12" s="162" t="s">
        <v>65</v>
      </c>
      <c r="E12" s="55" t="s">
        <v>193</v>
      </c>
      <c r="F12" s="55" t="s">
        <v>194</v>
      </c>
      <c r="G12" s="55" t="s">
        <v>252</v>
      </c>
      <c r="H12" s="55" t="s">
        <v>950</v>
      </c>
      <c r="I12" s="139" t="s">
        <v>51</v>
      </c>
      <c r="J12" s="159" t="s">
        <v>951</v>
      </c>
      <c r="K12" s="55">
        <v>20038918</v>
      </c>
      <c r="L12" s="55" t="s">
        <v>198</v>
      </c>
      <c r="M12" s="141" t="str">
        <f t="shared" si="0"/>
        <v>EH2-INT_D</v>
      </c>
      <c r="N12" s="142" t="str">
        <f>LOOKUP(M12,'[2]Doc Set'!E:E,'[2]Doc Set'!F:F)</f>
        <v>_</v>
      </c>
      <c r="O12" s="141" t="s">
        <v>931</v>
      </c>
      <c r="P12" s="142">
        <f>+LOOKUP(O12,'[2]Doc Set'!E:E,'[2]Doc Set'!G:G)</f>
        <v>43500</v>
      </c>
      <c r="Q12" s="55" t="str">
        <f t="shared" si="1"/>
        <v>EH2-INT_D</v>
      </c>
      <c r="R12" s="142">
        <f>+LOOKUP(Q12,'[2]Doc Set'!E:E,'[2]Doc Set'!H:H)</f>
        <v>43528</v>
      </c>
      <c r="S12" s="143" t="s">
        <v>200</v>
      </c>
    </row>
    <row r="13" spans="1:19" x14ac:dyDescent="0.3">
      <c r="A13" s="55" t="s">
        <v>40</v>
      </c>
      <c r="B13" s="55" t="s">
        <v>190</v>
      </c>
      <c r="C13" s="55" t="s">
        <v>191</v>
      </c>
      <c r="D13" s="162" t="s">
        <v>65</v>
      </c>
      <c r="E13" s="55" t="s">
        <v>193</v>
      </c>
      <c r="F13" s="55" t="s">
        <v>194</v>
      </c>
      <c r="G13" s="55" t="s">
        <v>255</v>
      </c>
      <c r="H13" s="55" t="s">
        <v>952</v>
      </c>
      <c r="I13" s="139" t="s">
        <v>51</v>
      </c>
      <c r="J13" s="159" t="s">
        <v>953</v>
      </c>
      <c r="K13" s="55">
        <v>20038918</v>
      </c>
      <c r="L13" s="55" t="s">
        <v>198</v>
      </c>
      <c r="M13" s="141" t="str">
        <f t="shared" si="0"/>
        <v>EH2-INT_D</v>
      </c>
      <c r="N13" s="142" t="str">
        <f>LOOKUP(M13,'[2]Doc Set'!E:E,'[2]Doc Set'!F:F)</f>
        <v>_</v>
      </c>
      <c r="O13" s="141" t="s">
        <v>931</v>
      </c>
      <c r="P13" s="142">
        <f>+LOOKUP(O13,'[2]Doc Set'!E:E,'[2]Doc Set'!G:G)</f>
        <v>43500</v>
      </c>
      <c r="Q13" s="55" t="str">
        <f t="shared" si="1"/>
        <v>EH2-INT_D</v>
      </c>
      <c r="R13" s="142">
        <f>+LOOKUP(Q13,'[2]Doc Set'!E:E,'[2]Doc Set'!H:H)</f>
        <v>43528</v>
      </c>
      <c r="S13" s="143" t="s">
        <v>200</v>
      </c>
    </row>
    <row r="14" spans="1:19" x14ac:dyDescent="0.3">
      <c r="A14" s="55" t="s">
        <v>40</v>
      </c>
      <c r="B14" s="55" t="s">
        <v>190</v>
      </c>
      <c r="C14" s="55" t="s">
        <v>191</v>
      </c>
      <c r="D14" s="162" t="s">
        <v>65</v>
      </c>
      <c r="E14" s="55" t="s">
        <v>193</v>
      </c>
      <c r="F14" s="55" t="s">
        <v>194</v>
      </c>
      <c r="G14" s="55" t="s">
        <v>258</v>
      </c>
      <c r="H14" s="55" t="s">
        <v>954</v>
      </c>
      <c r="I14" s="139" t="s">
        <v>51</v>
      </c>
      <c r="J14" s="159" t="s">
        <v>955</v>
      </c>
      <c r="K14" s="55">
        <v>20038918</v>
      </c>
      <c r="L14" s="55" t="s">
        <v>198</v>
      </c>
      <c r="M14" s="141" t="str">
        <f t="shared" si="0"/>
        <v>EH2-INT_D</v>
      </c>
      <c r="N14" s="142" t="str">
        <f>LOOKUP(M14,'[2]Doc Set'!E:E,'[2]Doc Set'!F:F)</f>
        <v>_</v>
      </c>
      <c r="O14" s="141" t="s">
        <v>931</v>
      </c>
      <c r="P14" s="142">
        <f>+LOOKUP(O14,'[2]Doc Set'!E:E,'[2]Doc Set'!G:G)</f>
        <v>43500</v>
      </c>
      <c r="Q14" s="55" t="str">
        <f t="shared" si="1"/>
        <v>EH2-INT_D</v>
      </c>
      <c r="R14" s="142">
        <f>+LOOKUP(Q14,'[2]Doc Set'!E:E,'[2]Doc Set'!H:H)</f>
        <v>43528</v>
      </c>
      <c r="S14" s="143" t="s">
        <v>200</v>
      </c>
    </row>
    <row r="15" spans="1:19" x14ac:dyDescent="0.3">
      <c r="A15" s="55" t="s">
        <v>40</v>
      </c>
      <c r="B15" s="55" t="s">
        <v>190</v>
      </c>
      <c r="C15" s="55" t="s">
        <v>191</v>
      </c>
      <c r="D15" s="162" t="s">
        <v>65</v>
      </c>
      <c r="E15" s="55" t="s">
        <v>193</v>
      </c>
      <c r="F15" s="55" t="s">
        <v>194</v>
      </c>
      <c r="G15" s="55" t="s">
        <v>739</v>
      </c>
      <c r="H15" s="55" t="s">
        <v>956</v>
      </c>
      <c r="I15" s="139" t="s">
        <v>51</v>
      </c>
      <c r="J15" s="159" t="s">
        <v>957</v>
      </c>
      <c r="K15" s="55">
        <v>20038918</v>
      </c>
      <c r="L15" s="55" t="s">
        <v>198</v>
      </c>
      <c r="M15" s="141" t="str">
        <f t="shared" si="0"/>
        <v>EH2-INT_D</v>
      </c>
      <c r="N15" s="142" t="str">
        <f>LOOKUP(M15,'[2]Doc Set'!E:E,'[2]Doc Set'!F:F)</f>
        <v>_</v>
      </c>
      <c r="O15" s="141" t="s">
        <v>931</v>
      </c>
      <c r="P15" s="142">
        <f>+LOOKUP(O15,'[2]Doc Set'!E:E,'[2]Doc Set'!G:G)</f>
        <v>43500</v>
      </c>
      <c r="Q15" s="55" t="str">
        <f t="shared" si="1"/>
        <v>EH2-INT_D</v>
      </c>
      <c r="R15" s="142">
        <f>+LOOKUP(Q15,'[2]Doc Set'!E:E,'[2]Doc Set'!H:H)</f>
        <v>43528</v>
      </c>
      <c r="S15" s="143" t="s">
        <v>200</v>
      </c>
    </row>
    <row r="16" spans="1:19" x14ac:dyDescent="0.3">
      <c r="A16" s="55" t="s">
        <v>40</v>
      </c>
      <c r="B16" s="55" t="s">
        <v>190</v>
      </c>
      <c r="C16" s="55" t="s">
        <v>191</v>
      </c>
      <c r="D16" s="162" t="s">
        <v>65</v>
      </c>
      <c r="E16" s="55" t="s">
        <v>193</v>
      </c>
      <c r="F16" s="55" t="s">
        <v>194</v>
      </c>
      <c r="G16" s="55" t="s">
        <v>742</v>
      </c>
      <c r="H16" s="55" t="s">
        <v>958</v>
      </c>
      <c r="I16" s="139" t="s">
        <v>51</v>
      </c>
      <c r="J16" s="159" t="s">
        <v>959</v>
      </c>
      <c r="K16" s="55">
        <v>20038918</v>
      </c>
      <c r="L16" s="55" t="s">
        <v>198</v>
      </c>
      <c r="M16" s="141" t="str">
        <f t="shared" si="0"/>
        <v>EH2-INT_D</v>
      </c>
      <c r="N16" s="142" t="str">
        <f>LOOKUP(M16,'[2]Doc Set'!E:E,'[2]Doc Set'!F:F)</f>
        <v>_</v>
      </c>
      <c r="O16" s="141" t="s">
        <v>931</v>
      </c>
      <c r="P16" s="142">
        <f>+LOOKUP(O16,'[2]Doc Set'!E:E,'[2]Doc Set'!G:G)</f>
        <v>43500</v>
      </c>
      <c r="Q16" s="55" t="str">
        <f t="shared" si="1"/>
        <v>EH2-INT_D</v>
      </c>
      <c r="R16" s="142">
        <f>+LOOKUP(Q16,'[2]Doc Set'!E:E,'[2]Doc Set'!H:H)</f>
        <v>43528</v>
      </c>
      <c r="S16" s="143" t="s">
        <v>200</v>
      </c>
    </row>
    <row r="17" spans="1:19" x14ac:dyDescent="0.3">
      <c r="A17" s="55" t="s">
        <v>40</v>
      </c>
      <c r="B17" s="55" t="s">
        <v>190</v>
      </c>
      <c r="C17" s="55" t="s">
        <v>191</v>
      </c>
      <c r="D17" s="162" t="s">
        <v>65</v>
      </c>
      <c r="E17" s="55" t="s">
        <v>193</v>
      </c>
      <c r="F17" s="55" t="s">
        <v>194</v>
      </c>
      <c r="G17" s="55" t="s">
        <v>430</v>
      </c>
      <c r="H17" s="55" t="s">
        <v>960</v>
      </c>
      <c r="I17" s="139" t="s">
        <v>51</v>
      </c>
      <c r="J17" s="159" t="s">
        <v>961</v>
      </c>
      <c r="K17" s="55">
        <v>20038918</v>
      </c>
      <c r="L17" s="55" t="s">
        <v>198</v>
      </c>
      <c r="M17" s="141" t="str">
        <f t="shared" si="0"/>
        <v>EH2-INT_D</v>
      </c>
      <c r="N17" s="142" t="str">
        <f>LOOKUP(M17,'[2]Doc Set'!E:E,'[2]Doc Set'!F:F)</f>
        <v>_</v>
      </c>
      <c r="O17" s="141" t="s">
        <v>931</v>
      </c>
      <c r="P17" s="142">
        <f>+LOOKUP(O17,'[2]Doc Set'!E:E,'[2]Doc Set'!G:G)</f>
        <v>43500</v>
      </c>
      <c r="Q17" s="55" t="str">
        <f t="shared" si="1"/>
        <v>EH2-INT_D</v>
      </c>
      <c r="R17" s="142">
        <f>+LOOKUP(Q17,'[2]Doc Set'!E:E,'[2]Doc Set'!H:H)</f>
        <v>43528</v>
      </c>
      <c r="S17" s="143" t="s">
        <v>200</v>
      </c>
    </row>
    <row r="18" spans="1:19" x14ac:dyDescent="0.3">
      <c r="A18" s="55" t="s">
        <v>40</v>
      </c>
      <c r="B18" s="55" t="s">
        <v>190</v>
      </c>
      <c r="C18" s="55" t="s">
        <v>191</v>
      </c>
      <c r="D18" s="162" t="s">
        <v>65</v>
      </c>
      <c r="E18" s="55" t="s">
        <v>193</v>
      </c>
      <c r="F18" s="55" t="s">
        <v>194</v>
      </c>
      <c r="G18" s="55" t="s">
        <v>433</v>
      </c>
      <c r="H18" s="55" t="s">
        <v>962</v>
      </c>
      <c r="I18" s="139" t="s">
        <v>51</v>
      </c>
      <c r="J18" s="159" t="s">
        <v>963</v>
      </c>
      <c r="K18" s="55">
        <v>20038918</v>
      </c>
      <c r="L18" s="55" t="s">
        <v>198</v>
      </c>
      <c r="M18" s="141" t="str">
        <f t="shared" si="0"/>
        <v>EH2-INT_D</v>
      </c>
      <c r="N18" s="142" t="str">
        <f>LOOKUP(M18,'[2]Doc Set'!E:E,'[2]Doc Set'!F:F)</f>
        <v>_</v>
      </c>
      <c r="O18" s="141" t="s">
        <v>931</v>
      </c>
      <c r="P18" s="142">
        <f>+LOOKUP(O18,'[2]Doc Set'!E:E,'[2]Doc Set'!G:G)</f>
        <v>43500</v>
      </c>
      <c r="Q18" s="55" t="str">
        <f t="shared" si="1"/>
        <v>EH2-INT_D</v>
      </c>
      <c r="R18" s="142">
        <f>+LOOKUP(Q18,'[2]Doc Set'!E:E,'[2]Doc Set'!H:H)</f>
        <v>43528</v>
      </c>
      <c r="S18" s="143" t="s">
        <v>200</v>
      </c>
    </row>
    <row r="19" spans="1:19" x14ac:dyDescent="0.3">
      <c r="A19" s="55" t="s">
        <v>40</v>
      </c>
      <c r="B19" s="55" t="s">
        <v>190</v>
      </c>
      <c r="C19" s="55" t="s">
        <v>191</v>
      </c>
      <c r="D19" s="162" t="s">
        <v>65</v>
      </c>
      <c r="E19" s="55" t="s">
        <v>193</v>
      </c>
      <c r="F19" s="55" t="s">
        <v>194</v>
      </c>
      <c r="G19" s="55" t="s">
        <v>261</v>
      </c>
      <c r="H19" s="55" t="s">
        <v>964</v>
      </c>
      <c r="I19" s="139" t="s">
        <v>51</v>
      </c>
      <c r="J19" s="159" t="s">
        <v>965</v>
      </c>
      <c r="K19" s="55">
        <v>20038918</v>
      </c>
      <c r="L19" s="55" t="s">
        <v>198</v>
      </c>
      <c r="M19" s="141" t="str">
        <f t="shared" si="0"/>
        <v>EH2-INT_D</v>
      </c>
      <c r="N19" s="142" t="str">
        <f>LOOKUP(M19,'[2]Doc Set'!E:E,'[2]Doc Set'!F:F)</f>
        <v>_</v>
      </c>
      <c r="O19" s="141" t="s">
        <v>931</v>
      </c>
      <c r="P19" s="142">
        <f>+LOOKUP(O19,'[2]Doc Set'!E:E,'[2]Doc Set'!G:G)</f>
        <v>43500</v>
      </c>
      <c r="Q19" s="55" t="str">
        <f t="shared" si="1"/>
        <v>EH2-INT_D</v>
      </c>
      <c r="R19" s="142">
        <f>+LOOKUP(Q19,'[2]Doc Set'!E:E,'[2]Doc Set'!H:H)</f>
        <v>43528</v>
      </c>
      <c r="S19" s="143" t="s">
        <v>200</v>
      </c>
    </row>
    <row r="20" spans="1:19" x14ac:dyDescent="0.3">
      <c r="A20" s="55" t="s">
        <v>40</v>
      </c>
      <c r="B20" s="55" t="s">
        <v>190</v>
      </c>
      <c r="C20" s="55" t="s">
        <v>191</v>
      </c>
      <c r="D20" s="162" t="s">
        <v>65</v>
      </c>
      <c r="E20" s="55" t="s">
        <v>193</v>
      </c>
      <c r="F20" s="55" t="s">
        <v>194</v>
      </c>
      <c r="G20" s="55" t="s">
        <v>264</v>
      </c>
      <c r="H20" s="55" t="s">
        <v>966</v>
      </c>
      <c r="I20" s="139" t="s">
        <v>51</v>
      </c>
      <c r="J20" s="159" t="s">
        <v>967</v>
      </c>
      <c r="K20" s="55">
        <v>20038918</v>
      </c>
      <c r="L20" s="55" t="s">
        <v>198</v>
      </c>
      <c r="M20" s="141" t="str">
        <f t="shared" si="0"/>
        <v>EH2-INT_D</v>
      </c>
      <c r="N20" s="142" t="str">
        <f>LOOKUP(M20,'[2]Doc Set'!E:E,'[2]Doc Set'!F:F)</f>
        <v>_</v>
      </c>
      <c r="O20" s="141" t="s">
        <v>931</v>
      </c>
      <c r="P20" s="142">
        <f>+LOOKUP(O20,'[2]Doc Set'!E:E,'[2]Doc Set'!G:G)</f>
        <v>43500</v>
      </c>
      <c r="Q20" s="55" t="str">
        <f t="shared" si="1"/>
        <v>EH2-INT_D</v>
      </c>
      <c r="R20" s="142">
        <f>+LOOKUP(Q20,'[2]Doc Set'!E:E,'[2]Doc Set'!H:H)</f>
        <v>43528</v>
      </c>
      <c r="S20" s="143" t="s">
        <v>200</v>
      </c>
    </row>
    <row r="21" spans="1:19" x14ac:dyDescent="0.3">
      <c r="A21" s="55" t="s">
        <v>40</v>
      </c>
      <c r="B21" s="55" t="s">
        <v>190</v>
      </c>
      <c r="C21" s="55" t="s">
        <v>191</v>
      </c>
      <c r="D21" s="162" t="s">
        <v>65</v>
      </c>
      <c r="E21" s="55" t="s">
        <v>193</v>
      </c>
      <c r="F21" s="55" t="s">
        <v>194</v>
      </c>
      <c r="G21" s="55" t="s">
        <v>267</v>
      </c>
      <c r="H21" s="55" t="s">
        <v>968</v>
      </c>
      <c r="I21" s="139" t="s">
        <v>51</v>
      </c>
      <c r="J21" s="159" t="s">
        <v>969</v>
      </c>
      <c r="K21" s="55">
        <v>20038918</v>
      </c>
      <c r="L21" s="55" t="s">
        <v>198</v>
      </c>
      <c r="M21" s="141" t="str">
        <f t="shared" si="0"/>
        <v>EH2-INT_D</v>
      </c>
      <c r="N21" s="142" t="str">
        <f>LOOKUP(M21,'[2]Doc Set'!E:E,'[2]Doc Set'!F:F)</f>
        <v>_</v>
      </c>
      <c r="O21" s="141" t="s">
        <v>931</v>
      </c>
      <c r="P21" s="142">
        <f>+LOOKUP(O21,'[2]Doc Set'!E:E,'[2]Doc Set'!G:G)</f>
        <v>43500</v>
      </c>
      <c r="Q21" s="55" t="str">
        <f t="shared" si="1"/>
        <v>EH2-INT_D</v>
      </c>
      <c r="R21" s="142">
        <f>+LOOKUP(Q21,'[2]Doc Set'!E:E,'[2]Doc Set'!H:H)</f>
        <v>43528</v>
      </c>
      <c r="S21" s="143" t="s">
        <v>200</v>
      </c>
    </row>
    <row r="22" spans="1:19" x14ac:dyDescent="0.3">
      <c r="A22" s="55" t="s">
        <v>40</v>
      </c>
      <c r="B22" s="55" t="s">
        <v>190</v>
      </c>
      <c r="C22" s="55" t="s">
        <v>191</v>
      </c>
      <c r="D22" s="162" t="s">
        <v>65</v>
      </c>
      <c r="E22" s="55" t="s">
        <v>193</v>
      </c>
      <c r="F22" s="55" t="s">
        <v>194</v>
      </c>
      <c r="G22" s="55" t="s">
        <v>270</v>
      </c>
      <c r="H22" s="55" t="s">
        <v>970</v>
      </c>
      <c r="I22" s="139" t="s">
        <v>51</v>
      </c>
      <c r="J22" s="159" t="s">
        <v>971</v>
      </c>
      <c r="K22" s="55">
        <v>20038918</v>
      </c>
      <c r="L22" s="55" t="s">
        <v>198</v>
      </c>
      <c r="M22" s="141" t="str">
        <f t="shared" si="0"/>
        <v>EH2-INT_D</v>
      </c>
      <c r="N22" s="142" t="str">
        <f>LOOKUP(M22,'[2]Doc Set'!E:E,'[2]Doc Set'!F:F)</f>
        <v>_</v>
      </c>
      <c r="O22" s="141" t="s">
        <v>931</v>
      </c>
      <c r="P22" s="142">
        <f>+LOOKUP(O22,'[2]Doc Set'!E:E,'[2]Doc Set'!G:G)</f>
        <v>43500</v>
      </c>
      <c r="Q22" s="55" t="str">
        <f t="shared" si="1"/>
        <v>EH2-INT_D</v>
      </c>
      <c r="R22" s="142">
        <f>+LOOKUP(Q22,'[2]Doc Set'!E:E,'[2]Doc Set'!H:H)</f>
        <v>43528</v>
      </c>
      <c r="S22" s="143" t="s">
        <v>200</v>
      </c>
    </row>
    <row r="23" spans="1:19" x14ac:dyDescent="0.3">
      <c r="A23" s="55" t="s">
        <v>40</v>
      </c>
      <c r="B23" s="55" t="s">
        <v>190</v>
      </c>
      <c r="C23" s="55" t="s">
        <v>191</v>
      </c>
      <c r="D23" s="162" t="s">
        <v>65</v>
      </c>
      <c r="E23" s="55" t="s">
        <v>193</v>
      </c>
      <c r="F23" s="55" t="s">
        <v>194</v>
      </c>
      <c r="G23" s="55" t="s">
        <v>273</v>
      </c>
      <c r="H23" s="55" t="s">
        <v>972</v>
      </c>
      <c r="I23" s="139" t="s">
        <v>51</v>
      </c>
      <c r="J23" s="159" t="s">
        <v>973</v>
      </c>
      <c r="K23" s="55">
        <v>20038918</v>
      </c>
      <c r="L23" s="55" t="s">
        <v>198</v>
      </c>
      <c r="M23" s="141" t="str">
        <f t="shared" si="0"/>
        <v>EH2-INT_D</v>
      </c>
      <c r="N23" s="142" t="str">
        <f>LOOKUP(M23,'[2]Doc Set'!E:E,'[2]Doc Set'!F:F)</f>
        <v>_</v>
      </c>
      <c r="O23" s="141" t="s">
        <v>931</v>
      </c>
      <c r="P23" s="142">
        <f>+LOOKUP(O23,'[2]Doc Set'!E:E,'[2]Doc Set'!G:G)</f>
        <v>43500</v>
      </c>
      <c r="Q23" s="55" t="str">
        <f t="shared" si="1"/>
        <v>EH2-INT_D</v>
      </c>
      <c r="R23" s="142">
        <f>+LOOKUP(Q23,'[2]Doc Set'!E:E,'[2]Doc Set'!H:H)</f>
        <v>43528</v>
      </c>
      <c r="S23" s="143" t="s">
        <v>200</v>
      </c>
    </row>
    <row r="24" spans="1:19" x14ac:dyDescent="0.3">
      <c r="A24" s="55" t="s">
        <v>40</v>
      </c>
      <c r="B24" s="55" t="s">
        <v>190</v>
      </c>
      <c r="C24" s="55" t="s">
        <v>191</v>
      </c>
      <c r="D24" s="162" t="s">
        <v>65</v>
      </c>
      <c r="E24" s="55" t="s">
        <v>193</v>
      </c>
      <c r="F24" s="55" t="s">
        <v>194</v>
      </c>
      <c r="G24" s="55" t="s">
        <v>276</v>
      </c>
      <c r="H24" s="55" t="s">
        <v>974</v>
      </c>
      <c r="I24" s="139" t="s">
        <v>51</v>
      </c>
      <c r="J24" s="159" t="s">
        <v>975</v>
      </c>
      <c r="K24" s="55">
        <v>20038918</v>
      </c>
      <c r="L24" s="55" t="s">
        <v>198</v>
      </c>
      <c r="M24" s="141" t="str">
        <f t="shared" si="0"/>
        <v>EH2-INT_D</v>
      </c>
      <c r="N24" s="142" t="str">
        <f>LOOKUP(M24,'[2]Doc Set'!E:E,'[2]Doc Set'!F:F)</f>
        <v>_</v>
      </c>
      <c r="O24" s="141" t="s">
        <v>931</v>
      </c>
      <c r="P24" s="142">
        <f>+LOOKUP(O24,'[2]Doc Set'!E:E,'[2]Doc Set'!G:G)</f>
        <v>43500</v>
      </c>
      <c r="Q24" s="55" t="str">
        <f t="shared" si="1"/>
        <v>EH2-INT_D</v>
      </c>
      <c r="R24" s="142">
        <f>+LOOKUP(Q24,'[2]Doc Set'!E:E,'[2]Doc Set'!H:H)</f>
        <v>43528</v>
      </c>
      <c r="S24" s="143" t="s">
        <v>200</v>
      </c>
    </row>
    <row r="25" spans="1:19" x14ac:dyDescent="0.3">
      <c r="A25" s="55" t="s">
        <v>40</v>
      </c>
      <c r="B25" s="55" t="s">
        <v>190</v>
      </c>
      <c r="C25" s="55" t="s">
        <v>191</v>
      </c>
      <c r="D25" s="162" t="s">
        <v>65</v>
      </c>
      <c r="E25" s="55" t="s">
        <v>193</v>
      </c>
      <c r="F25" s="55" t="s">
        <v>194</v>
      </c>
      <c r="G25" s="55" t="s">
        <v>282</v>
      </c>
      <c r="H25" s="55" t="s">
        <v>976</v>
      </c>
      <c r="I25" s="139" t="s">
        <v>51</v>
      </c>
      <c r="J25" s="159" t="s">
        <v>977</v>
      </c>
      <c r="K25" s="55">
        <v>20038918</v>
      </c>
      <c r="L25" s="55" t="s">
        <v>198</v>
      </c>
      <c r="M25" s="141" t="str">
        <f t="shared" si="0"/>
        <v>EH2-INT_D</v>
      </c>
      <c r="N25" s="142" t="str">
        <f>LOOKUP(M25,'[2]Doc Set'!E:E,'[2]Doc Set'!F:F)</f>
        <v>_</v>
      </c>
      <c r="O25" s="141" t="s">
        <v>931</v>
      </c>
      <c r="P25" s="142">
        <f>+LOOKUP(O25,'[2]Doc Set'!E:E,'[2]Doc Set'!G:G)</f>
        <v>43500</v>
      </c>
      <c r="Q25" s="55" t="str">
        <f t="shared" si="1"/>
        <v>EH2-INT_D</v>
      </c>
      <c r="R25" s="142">
        <f>+LOOKUP(Q25,'[2]Doc Set'!E:E,'[2]Doc Set'!H:H)</f>
        <v>43528</v>
      </c>
      <c r="S25" s="143" t="s">
        <v>200</v>
      </c>
    </row>
    <row r="26" spans="1:19" x14ac:dyDescent="0.3">
      <c r="A26" s="55" t="s">
        <v>40</v>
      </c>
      <c r="B26" s="55" t="s">
        <v>190</v>
      </c>
      <c r="C26" s="55" t="s">
        <v>191</v>
      </c>
      <c r="D26" s="162" t="s">
        <v>65</v>
      </c>
      <c r="E26" s="55" t="s">
        <v>193</v>
      </c>
      <c r="F26" s="55" t="s">
        <v>194</v>
      </c>
      <c r="G26" s="55" t="s">
        <v>285</v>
      </c>
      <c r="H26" s="55" t="s">
        <v>978</v>
      </c>
      <c r="I26" s="139" t="s">
        <v>51</v>
      </c>
      <c r="J26" s="159" t="s">
        <v>979</v>
      </c>
      <c r="K26" s="55">
        <v>20038918</v>
      </c>
      <c r="L26" s="55" t="s">
        <v>198</v>
      </c>
      <c r="M26" s="141" t="str">
        <f t="shared" si="0"/>
        <v>EH2-INT_D</v>
      </c>
      <c r="N26" s="142" t="str">
        <f>LOOKUP(M26,'[2]Doc Set'!E:E,'[2]Doc Set'!F:F)</f>
        <v>_</v>
      </c>
      <c r="O26" s="141" t="s">
        <v>931</v>
      </c>
      <c r="P26" s="142">
        <f>+LOOKUP(O26,'[2]Doc Set'!E:E,'[2]Doc Set'!G:G)</f>
        <v>43500</v>
      </c>
      <c r="Q26" s="55" t="str">
        <f t="shared" si="1"/>
        <v>EH2-INT_D</v>
      </c>
      <c r="R26" s="142">
        <f>+LOOKUP(Q26,'[2]Doc Set'!E:E,'[2]Doc Set'!H:H)</f>
        <v>43528</v>
      </c>
      <c r="S26" s="143" t="s">
        <v>200</v>
      </c>
    </row>
    <row r="27" spans="1:19" x14ac:dyDescent="0.3">
      <c r="A27" s="55" t="s">
        <v>40</v>
      </c>
      <c r="B27" s="55" t="s">
        <v>190</v>
      </c>
      <c r="C27" s="55" t="s">
        <v>191</v>
      </c>
      <c r="D27" s="162" t="s">
        <v>65</v>
      </c>
      <c r="E27" s="55" t="s">
        <v>193</v>
      </c>
      <c r="F27" s="55" t="s">
        <v>194</v>
      </c>
      <c r="G27" s="55" t="s">
        <v>288</v>
      </c>
      <c r="H27" s="55" t="s">
        <v>980</v>
      </c>
      <c r="I27" s="139" t="s">
        <v>51</v>
      </c>
      <c r="J27" s="159" t="s">
        <v>981</v>
      </c>
      <c r="K27" s="55">
        <v>20038918</v>
      </c>
      <c r="L27" s="55" t="s">
        <v>198</v>
      </c>
      <c r="M27" s="141" t="str">
        <f t="shared" si="0"/>
        <v>EH2-INT_D</v>
      </c>
      <c r="N27" s="142" t="str">
        <f>LOOKUP(M27,'[2]Doc Set'!E:E,'[2]Doc Set'!F:F)</f>
        <v>_</v>
      </c>
      <c r="O27" s="141" t="s">
        <v>931</v>
      </c>
      <c r="P27" s="142">
        <f>+LOOKUP(O27,'[2]Doc Set'!E:E,'[2]Doc Set'!G:G)</f>
        <v>43500</v>
      </c>
      <c r="Q27" s="55" t="str">
        <f t="shared" si="1"/>
        <v>EH2-INT_D</v>
      </c>
      <c r="R27" s="142">
        <f>+LOOKUP(Q27,'[2]Doc Set'!E:E,'[2]Doc Set'!H:H)</f>
        <v>43528</v>
      </c>
      <c r="S27" s="143" t="s">
        <v>200</v>
      </c>
    </row>
    <row r="28" spans="1:19" x14ac:dyDescent="0.3">
      <c r="A28" s="55" t="s">
        <v>40</v>
      </c>
      <c r="B28" s="55" t="s">
        <v>190</v>
      </c>
      <c r="C28" s="55" t="s">
        <v>191</v>
      </c>
      <c r="D28" s="162" t="s">
        <v>65</v>
      </c>
      <c r="E28" s="55" t="s">
        <v>193</v>
      </c>
      <c r="F28" s="55" t="s">
        <v>194</v>
      </c>
      <c r="G28" s="55" t="s">
        <v>291</v>
      </c>
      <c r="H28" s="55" t="s">
        <v>982</v>
      </c>
      <c r="I28" s="139" t="s">
        <v>51</v>
      </c>
      <c r="J28" s="159" t="s">
        <v>983</v>
      </c>
      <c r="K28" s="55">
        <v>20038918</v>
      </c>
      <c r="L28" s="55" t="s">
        <v>198</v>
      </c>
      <c r="M28" s="141" t="str">
        <f t="shared" si="0"/>
        <v>EH2-INT_D</v>
      </c>
      <c r="N28" s="142" t="str">
        <f>LOOKUP(M28,'[2]Doc Set'!E:E,'[2]Doc Set'!F:F)</f>
        <v>_</v>
      </c>
      <c r="O28" s="141" t="s">
        <v>931</v>
      </c>
      <c r="P28" s="142">
        <f>+LOOKUP(O28,'[2]Doc Set'!E:E,'[2]Doc Set'!G:G)</f>
        <v>43500</v>
      </c>
      <c r="Q28" s="55" t="str">
        <f t="shared" si="1"/>
        <v>EH2-INT_D</v>
      </c>
      <c r="R28" s="142">
        <f>+LOOKUP(Q28,'[2]Doc Set'!E:E,'[2]Doc Set'!H:H)</f>
        <v>43528</v>
      </c>
      <c r="S28" s="143" t="s">
        <v>200</v>
      </c>
    </row>
    <row r="29" spans="1:19" x14ac:dyDescent="0.3">
      <c r="A29" s="55" t="s">
        <v>40</v>
      </c>
      <c r="B29" s="55" t="s">
        <v>190</v>
      </c>
      <c r="C29" s="55" t="s">
        <v>191</v>
      </c>
      <c r="D29" s="162" t="s">
        <v>65</v>
      </c>
      <c r="E29" s="55" t="s">
        <v>193</v>
      </c>
      <c r="F29" s="55" t="s">
        <v>194</v>
      </c>
      <c r="G29" s="55" t="s">
        <v>294</v>
      </c>
      <c r="H29" s="55" t="s">
        <v>984</v>
      </c>
      <c r="I29" s="139" t="s">
        <v>51</v>
      </c>
      <c r="J29" s="159" t="s">
        <v>985</v>
      </c>
      <c r="K29" s="55">
        <v>20038918</v>
      </c>
      <c r="L29" s="55" t="s">
        <v>198</v>
      </c>
      <c r="M29" s="141" t="str">
        <f t="shared" si="0"/>
        <v>EH2-INT_D</v>
      </c>
      <c r="N29" s="142" t="str">
        <f>LOOKUP(M29,'[2]Doc Set'!E:E,'[2]Doc Set'!F:F)</f>
        <v>_</v>
      </c>
      <c r="O29" s="141" t="s">
        <v>931</v>
      </c>
      <c r="P29" s="142">
        <f>+LOOKUP(O29,'[2]Doc Set'!E:E,'[2]Doc Set'!G:G)</f>
        <v>43500</v>
      </c>
      <c r="Q29" s="55" t="str">
        <f t="shared" si="1"/>
        <v>EH2-INT_D</v>
      </c>
      <c r="R29" s="142">
        <f>+LOOKUP(Q29,'[2]Doc Set'!E:E,'[2]Doc Set'!H:H)</f>
        <v>43528</v>
      </c>
      <c r="S29" s="143" t="s">
        <v>200</v>
      </c>
    </row>
    <row r="30" spans="1:19" x14ac:dyDescent="0.3">
      <c r="A30" s="55" t="s">
        <v>40</v>
      </c>
      <c r="B30" s="55" t="s">
        <v>190</v>
      </c>
      <c r="C30" s="55" t="s">
        <v>191</v>
      </c>
      <c r="D30" s="162" t="s">
        <v>65</v>
      </c>
      <c r="E30" s="55" t="s">
        <v>193</v>
      </c>
      <c r="F30" s="55" t="s">
        <v>194</v>
      </c>
      <c r="G30" s="55" t="s">
        <v>297</v>
      </c>
      <c r="H30" s="55" t="s">
        <v>986</v>
      </c>
      <c r="I30" s="139" t="s">
        <v>51</v>
      </c>
      <c r="J30" s="159" t="s">
        <v>987</v>
      </c>
      <c r="K30" s="55">
        <v>20038918</v>
      </c>
      <c r="L30" s="55" t="s">
        <v>198</v>
      </c>
      <c r="M30" s="141" t="str">
        <f t="shared" si="0"/>
        <v>EH2-INT_D</v>
      </c>
      <c r="N30" s="142" t="str">
        <f>LOOKUP(M30,'[2]Doc Set'!E:E,'[2]Doc Set'!F:F)</f>
        <v>_</v>
      </c>
      <c r="O30" s="141" t="s">
        <v>931</v>
      </c>
      <c r="P30" s="142">
        <f>+LOOKUP(O30,'[2]Doc Set'!E:E,'[2]Doc Set'!G:G)</f>
        <v>43500</v>
      </c>
      <c r="Q30" s="55" t="str">
        <f t="shared" si="1"/>
        <v>EH2-INT_D</v>
      </c>
      <c r="R30" s="142">
        <f>+LOOKUP(Q30,'[2]Doc Set'!E:E,'[2]Doc Set'!H:H)</f>
        <v>43528</v>
      </c>
      <c r="S30" s="143" t="s">
        <v>200</v>
      </c>
    </row>
    <row r="31" spans="1:19" x14ac:dyDescent="0.3">
      <c r="A31" s="55" t="s">
        <v>40</v>
      </c>
      <c r="B31" s="55" t="s">
        <v>190</v>
      </c>
      <c r="C31" s="55" t="s">
        <v>191</v>
      </c>
      <c r="D31" s="162" t="s">
        <v>65</v>
      </c>
      <c r="E31" s="55" t="s">
        <v>193</v>
      </c>
      <c r="F31" s="55" t="s">
        <v>194</v>
      </c>
      <c r="G31" s="55" t="s">
        <v>303</v>
      </c>
      <c r="H31" s="55" t="s">
        <v>988</v>
      </c>
      <c r="I31" s="139" t="s">
        <v>51</v>
      </c>
      <c r="J31" s="159" t="s">
        <v>989</v>
      </c>
      <c r="K31" s="55">
        <v>20038918</v>
      </c>
      <c r="L31" s="55" t="s">
        <v>198</v>
      </c>
      <c r="M31" s="141" t="str">
        <f t="shared" si="0"/>
        <v>EH2-INT_D</v>
      </c>
      <c r="N31" s="142" t="str">
        <f>LOOKUP(M31,'[2]Doc Set'!E:E,'[2]Doc Set'!F:F)</f>
        <v>_</v>
      </c>
      <c r="O31" s="141" t="s">
        <v>931</v>
      </c>
      <c r="P31" s="142">
        <f>+LOOKUP(O31,'[2]Doc Set'!E:E,'[2]Doc Set'!G:G)</f>
        <v>43500</v>
      </c>
      <c r="Q31" s="55" t="str">
        <f t="shared" si="1"/>
        <v>EH2-INT_D</v>
      </c>
      <c r="R31" s="142">
        <f>+LOOKUP(Q31,'[2]Doc Set'!E:E,'[2]Doc Set'!H:H)</f>
        <v>43528</v>
      </c>
      <c r="S31" s="143" t="s">
        <v>200</v>
      </c>
    </row>
    <row r="32" spans="1:19" x14ac:dyDescent="0.3">
      <c r="A32" s="55" t="s">
        <v>40</v>
      </c>
      <c r="B32" s="55" t="s">
        <v>190</v>
      </c>
      <c r="C32" s="55" t="s">
        <v>191</v>
      </c>
      <c r="D32" s="162" t="s">
        <v>65</v>
      </c>
      <c r="E32" s="55" t="s">
        <v>193</v>
      </c>
      <c r="F32" s="55" t="s">
        <v>194</v>
      </c>
      <c r="G32" s="55" t="s">
        <v>307</v>
      </c>
      <c r="H32" s="55" t="s">
        <v>990</v>
      </c>
      <c r="I32" s="139" t="s">
        <v>51</v>
      </c>
      <c r="J32" s="159" t="s">
        <v>991</v>
      </c>
      <c r="K32" s="55">
        <v>20038918</v>
      </c>
      <c r="L32" s="55" t="s">
        <v>198</v>
      </c>
      <c r="M32" s="141" t="str">
        <f t="shared" si="0"/>
        <v>EH2-INT_D</v>
      </c>
      <c r="N32" s="142" t="str">
        <f>LOOKUP(M32,'[2]Doc Set'!E:E,'[2]Doc Set'!F:F)</f>
        <v>_</v>
      </c>
      <c r="O32" s="141" t="s">
        <v>931</v>
      </c>
      <c r="P32" s="142">
        <f>+LOOKUP(O32,'[2]Doc Set'!E:E,'[2]Doc Set'!G:G)</f>
        <v>43500</v>
      </c>
      <c r="Q32" s="55" t="str">
        <f t="shared" si="1"/>
        <v>EH2-INT_D</v>
      </c>
      <c r="R32" s="142">
        <f>+LOOKUP(Q32,'[2]Doc Set'!E:E,'[2]Doc Set'!H:H)</f>
        <v>43528</v>
      </c>
      <c r="S32" s="143" t="s">
        <v>200</v>
      </c>
    </row>
    <row r="33" spans="1:19" x14ac:dyDescent="0.3">
      <c r="A33" s="55" t="s">
        <v>40</v>
      </c>
      <c r="B33" s="55" t="s">
        <v>190</v>
      </c>
      <c r="C33" s="55" t="s">
        <v>191</v>
      </c>
      <c r="D33" s="162" t="s">
        <v>65</v>
      </c>
      <c r="E33" s="55" t="s">
        <v>193</v>
      </c>
      <c r="F33" s="55" t="s">
        <v>194</v>
      </c>
      <c r="G33" s="55" t="s">
        <v>310</v>
      </c>
      <c r="H33" s="55" t="s">
        <v>992</v>
      </c>
      <c r="I33" s="139" t="s">
        <v>51</v>
      </c>
      <c r="J33" s="159" t="s">
        <v>993</v>
      </c>
      <c r="K33" s="55">
        <v>20038918</v>
      </c>
      <c r="L33" s="55" t="s">
        <v>198</v>
      </c>
      <c r="M33" s="141" t="str">
        <f t="shared" si="0"/>
        <v>EH2-INT_D</v>
      </c>
      <c r="N33" s="142" t="str">
        <f>LOOKUP(M33,'[2]Doc Set'!E:E,'[2]Doc Set'!F:F)</f>
        <v>_</v>
      </c>
      <c r="O33" s="141" t="s">
        <v>931</v>
      </c>
      <c r="P33" s="142">
        <f>+LOOKUP(O33,'[2]Doc Set'!E:E,'[2]Doc Set'!G:G)</f>
        <v>43500</v>
      </c>
      <c r="Q33" s="55" t="str">
        <f t="shared" si="1"/>
        <v>EH2-INT_D</v>
      </c>
      <c r="R33" s="142">
        <f>+LOOKUP(Q33,'[2]Doc Set'!E:E,'[2]Doc Set'!H:H)</f>
        <v>43528</v>
      </c>
      <c r="S33" s="143" t="s">
        <v>200</v>
      </c>
    </row>
    <row r="34" spans="1:19" x14ac:dyDescent="0.3">
      <c r="A34" s="55" t="s">
        <v>40</v>
      </c>
      <c r="B34" s="55" t="s">
        <v>190</v>
      </c>
      <c r="C34" s="55" t="s">
        <v>191</v>
      </c>
      <c r="D34" s="162" t="s">
        <v>65</v>
      </c>
      <c r="E34" s="55" t="s">
        <v>193</v>
      </c>
      <c r="F34" s="55" t="s">
        <v>194</v>
      </c>
      <c r="G34" s="55" t="s">
        <v>313</v>
      </c>
      <c r="H34" s="55" t="s">
        <v>994</v>
      </c>
      <c r="I34" s="139" t="s">
        <v>51</v>
      </c>
      <c r="J34" s="159" t="s">
        <v>995</v>
      </c>
      <c r="K34" s="55">
        <v>20038918</v>
      </c>
      <c r="L34" s="55" t="s">
        <v>198</v>
      </c>
      <c r="M34" s="141" t="str">
        <f t="shared" si="0"/>
        <v>EH2-INT_D</v>
      </c>
      <c r="N34" s="142" t="str">
        <f>LOOKUP(M34,'[2]Doc Set'!E:E,'[2]Doc Set'!F:F)</f>
        <v>_</v>
      </c>
      <c r="O34" s="141" t="s">
        <v>931</v>
      </c>
      <c r="P34" s="142">
        <f>+LOOKUP(O34,'[2]Doc Set'!E:E,'[2]Doc Set'!G:G)</f>
        <v>43500</v>
      </c>
      <c r="Q34" s="55" t="str">
        <f t="shared" si="1"/>
        <v>EH2-INT_D</v>
      </c>
      <c r="R34" s="142">
        <f>+LOOKUP(Q34,'[2]Doc Set'!E:E,'[2]Doc Set'!H:H)</f>
        <v>43528</v>
      </c>
      <c r="S34" s="143" t="s">
        <v>200</v>
      </c>
    </row>
    <row r="35" spans="1:19" x14ac:dyDescent="0.3">
      <c r="A35" s="55" t="s">
        <v>40</v>
      </c>
      <c r="B35" s="55" t="s">
        <v>190</v>
      </c>
      <c r="C35" s="55" t="s">
        <v>191</v>
      </c>
      <c r="D35" s="162" t="s">
        <v>65</v>
      </c>
      <c r="E35" s="55" t="s">
        <v>193</v>
      </c>
      <c r="F35" s="55" t="s">
        <v>194</v>
      </c>
      <c r="G35" s="55" t="s">
        <v>316</v>
      </c>
      <c r="H35" s="55" t="s">
        <v>996</v>
      </c>
      <c r="I35" s="139" t="s">
        <v>51</v>
      </c>
      <c r="J35" s="159" t="s">
        <v>997</v>
      </c>
      <c r="K35" s="55">
        <v>20038918</v>
      </c>
      <c r="L35" s="55" t="s">
        <v>198</v>
      </c>
      <c r="M35" s="141" t="str">
        <f t="shared" si="0"/>
        <v>EH2-INT_D</v>
      </c>
      <c r="N35" s="142" t="str">
        <f>LOOKUP(M35,'[2]Doc Set'!E:E,'[2]Doc Set'!F:F)</f>
        <v>_</v>
      </c>
      <c r="O35" s="141" t="s">
        <v>931</v>
      </c>
      <c r="P35" s="142">
        <f>+LOOKUP(O35,'[2]Doc Set'!E:E,'[2]Doc Set'!G:G)</f>
        <v>43500</v>
      </c>
      <c r="Q35" s="55" t="str">
        <f t="shared" si="1"/>
        <v>EH2-INT_D</v>
      </c>
      <c r="R35" s="142">
        <f>+LOOKUP(Q35,'[2]Doc Set'!E:E,'[2]Doc Set'!H:H)</f>
        <v>43528</v>
      </c>
      <c r="S35" s="143" t="s">
        <v>200</v>
      </c>
    </row>
    <row r="36" spans="1:19" x14ac:dyDescent="0.3">
      <c r="A36" s="55" t="s">
        <v>40</v>
      </c>
      <c r="B36" s="55" t="s">
        <v>190</v>
      </c>
      <c r="C36" s="55" t="s">
        <v>191</v>
      </c>
      <c r="D36" s="162" t="s">
        <v>65</v>
      </c>
      <c r="E36" s="55" t="s">
        <v>193</v>
      </c>
      <c r="F36" s="55" t="s">
        <v>194</v>
      </c>
      <c r="G36" s="55" t="s">
        <v>319</v>
      </c>
      <c r="H36" s="55" t="s">
        <v>998</v>
      </c>
      <c r="I36" s="139" t="s">
        <v>51</v>
      </c>
      <c r="J36" s="159" t="s">
        <v>999</v>
      </c>
      <c r="K36" s="55">
        <v>20038918</v>
      </c>
      <c r="L36" s="55" t="s">
        <v>198</v>
      </c>
      <c r="M36" s="141" t="str">
        <f t="shared" si="0"/>
        <v>EH2-INT_D</v>
      </c>
      <c r="N36" s="142" t="str">
        <f>LOOKUP(M36,'[2]Doc Set'!E:E,'[2]Doc Set'!F:F)</f>
        <v>_</v>
      </c>
      <c r="O36" s="141" t="s">
        <v>931</v>
      </c>
      <c r="P36" s="142">
        <f>+LOOKUP(O36,'[2]Doc Set'!E:E,'[2]Doc Set'!G:G)</f>
        <v>43500</v>
      </c>
      <c r="Q36" s="55" t="str">
        <f t="shared" si="1"/>
        <v>EH2-INT_D</v>
      </c>
      <c r="R36" s="142">
        <f>+LOOKUP(Q36,'[2]Doc Set'!E:E,'[2]Doc Set'!H:H)</f>
        <v>43528</v>
      </c>
      <c r="S36" s="143" t="s">
        <v>200</v>
      </c>
    </row>
    <row r="37" spans="1:19" x14ac:dyDescent="0.3">
      <c r="A37" s="55" t="s">
        <v>40</v>
      </c>
      <c r="B37" s="55" t="s">
        <v>190</v>
      </c>
      <c r="C37" s="55" t="s">
        <v>191</v>
      </c>
      <c r="D37" s="162" t="s">
        <v>65</v>
      </c>
      <c r="E37" s="55" t="s">
        <v>193</v>
      </c>
      <c r="F37" s="55" t="s">
        <v>194</v>
      </c>
      <c r="G37" s="55" t="s">
        <v>325</v>
      </c>
      <c r="H37" s="55" t="s">
        <v>1000</v>
      </c>
      <c r="I37" s="139" t="s">
        <v>51</v>
      </c>
      <c r="J37" s="159" t="s">
        <v>1001</v>
      </c>
      <c r="K37" s="55">
        <v>20038918</v>
      </c>
      <c r="L37" s="55" t="s">
        <v>198</v>
      </c>
      <c r="M37" s="141" t="str">
        <f t="shared" si="0"/>
        <v>EH2-INT_D</v>
      </c>
      <c r="N37" s="142" t="str">
        <f>LOOKUP(M37,'[2]Doc Set'!E:E,'[2]Doc Set'!F:F)</f>
        <v>_</v>
      </c>
      <c r="O37" s="141" t="s">
        <v>931</v>
      </c>
      <c r="P37" s="142">
        <f>+LOOKUP(O37,'[2]Doc Set'!E:E,'[2]Doc Set'!G:G)</f>
        <v>43500</v>
      </c>
      <c r="Q37" s="55" t="str">
        <f t="shared" si="1"/>
        <v>EH2-INT_D</v>
      </c>
      <c r="R37" s="142">
        <f>+LOOKUP(Q37,'[2]Doc Set'!E:E,'[2]Doc Set'!H:H)</f>
        <v>43528</v>
      </c>
      <c r="S37" s="143" t="s">
        <v>200</v>
      </c>
    </row>
    <row r="38" spans="1:19" x14ac:dyDescent="0.3">
      <c r="A38" s="55" t="s">
        <v>40</v>
      </c>
      <c r="B38" s="55" t="s">
        <v>190</v>
      </c>
      <c r="C38" s="55" t="s">
        <v>191</v>
      </c>
      <c r="D38" s="162" t="s">
        <v>65</v>
      </c>
      <c r="E38" s="55" t="s">
        <v>193</v>
      </c>
      <c r="F38" s="55" t="s">
        <v>194</v>
      </c>
      <c r="G38" s="55" t="s">
        <v>328</v>
      </c>
      <c r="H38" s="55" t="s">
        <v>1002</v>
      </c>
      <c r="I38" s="139" t="s">
        <v>51</v>
      </c>
      <c r="J38" s="159" t="s">
        <v>1003</v>
      </c>
      <c r="K38" s="55">
        <v>20038918</v>
      </c>
      <c r="L38" s="55" t="s">
        <v>198</v>
      </c>
      <c r="M38" s="141" t="str">
        <f t="shared" si="0"/>
        <v>EH2-INT_D</v>
      </c>
      <c r="N38" s="142" t="str">
        <f>LOOKUP(M38,'[2]Doc Set'!E:E,'[2]Doc Set'!F:F)</f>
        <v>_</v>
      </c>
      <c r="O38" s="141" t="s">
        <v>931</v>
      </c>
      <c r="P38" s="142">
        <f>+LOOKUP(O38,'[2]Doc Set'!E:E,'[2]Doc Set'!G:G)</f>
        <v>43500</v>
      </c>
      <c r="Q38" s="55" t="str">
        <f t="shared" si="1"/>
        <v>EH2-INT_D</v>
      </c>
      <c r="R38" s="142">
        <f>+LOOKUP(Q38,'[2]Doc Set'!E:E,'[2]Doc Set'!H:H)</f>
        <v>43528</v>
      </c>
      <c r="S38" s="143" t="s">
        <v>200</v>
      </c>
    </row>
    <row r="39" spans="1:19" x14ac:dyDescent="0.3">
      <c r="A39" s="55" t="s">
        <v>40</v>
      </c>
      <c r="B39" s="55" t="s">
        <v>190</v>
      </c>
      <c r="C39" s="55" t="s">
        <v>191</v>
      </c>
      <c r="D39" s="162" t="s">
        <v>65</v>
      </c>
      <c r="E39" s="55" t="s">
        <v>193</v>
      </c>
      <c r="F39" s="55" t="s">
        <v>194</v>
      </c>
      <c r="G39" s="55" t="s">
        <v>331</v>
      </c>
      <c r="H39" s="55" t="s">
        <v>1004</v>
      </c>
      <c r="I39" s="139" t="s">
        <v>51</v>
      </c>
      <c r="J39" s="159" t="s">
        <v>1005</v>
      </c>
      <c r="K39" s="55">
        <v>20038918</v>
      </c>
      <c r="L39" s="55" t="s">
        <v>198</v>
      </c>
      <c r="M39" s="141" t="str">
        <f t="shared" si="0"/>
        <v>EH2-INT_D</v>
      </c>
      <c r="N39" s="142" t="str">
        <f>LOOKUP(M39,'[2]Doc Set'!E:E,'[2]Doc Set'!F:F)</f>
        <v>_</v>
      </c>
      <c r="O39" s="141" t="s">
        <v>931</v>
      </c>
      <c r="P39" s="142">
        <f>+LOOKUP(O39,'[2]Doc Set'!E:E,'[2]Doc Set'!G:G)</f>
        <v>43500</v>
      </c>
      <c r="Q39" s="55" t="str">
        <f t="shared" si="1"/>
        <v>EH2-INT_D</v>
      </c>
      <c r="R39" s="142">
        <f>+LOOKUP(Q39,'[2]Doc Set'!E:E,'[2]Doc Set'!H:H)</f>
        <v>43528</v>
      </c>
      <c r="S39" s="143" t="s">
        <v>200</v>
      </c>
    </row>
    <row r="40" spans="1:19" x14ac:dyDescent="0.3">
      <c r="A40" s="55" t="s">
        <v>40</v>
      </c>
      <c r="B40" s="55" t="s">
        <v>190</v>
      </c>
      <c r="C40" s="55" t="s">
        <v>191</v>
      </c>
      <c r="D40" s="162" t="s">
        <v>65</v>
      </c>
      <c r="E40" s="55" t="s">
        <v>193</v>
      </c>
      <c r="F40" s="55" t="s">
        <v>194</v>
      </c>
      <c r="G40" s="55" t="s">
        <v>334</v>
      </c>
      <c r="H40" s="55" t="s">
        <v>1006</v>
      </c>
      <c r="I40" s="139" t="s">
        <v>51</v>
      </c>
      <c r="J40" s="159" t="s">
        <v>1007</v>
      </c>
      <c r="K40" s="55">
        <v>20038918</v>
      </c>
      <c r="L40" s="55" t="s">
        <v>198</v>
      </c>
      <c r="M40" s="141" t="str">
        <f t="shared" si="0"/>
        <v>EH2-INT_D</v>
      </c>
      <c r="N40" s="142" t="str">
        <f>LOOKUP(M40,'[2]Doc Set'!E:E,'[2]Doc Set'!F:F)</f>
        <v>_</v>
      </c>
      <c r="O40" s="141" t="s">
        <v>931</v>
      </c>
      <c r="P40" s="142">
        <f>+LOOKUP(O40,'[2]Doc Set'!E:E,'[2]Doc Set'!G:G)</f>
        <v>43500</v>
      </c>
      <c r="Q40" s="55" t="str">
        <f t="shared" si="1"/>
        <v>EH2-INT_D</v>
      </c>
      <c r="R40" s="142">
        <f>+LOOKUP(Q40,'[2]Doc Set'!E:E,'[2]Doc Set'!H:H)</f>
        <v>43528</v>
      </c>
      <c r="S40" s="143" t="s">
        <v>200</v>
      </c>
    </row>
    <row r="41" spans="1:19" x14ac:dyDescent="0.3">
      <c r="A41" s="55" t="s">
        <v>40</v>
      </c>
      <c r="B41" s="55" t="s">
        <v>190</v>
      </c>
      <c r="C41" s="55" t="s">
        <v>191</v>
      </c>
      <c r="D41" s="162" t="s">
        <v>65</v>
      </c>
      <c r="E41" s="55" t="s">
        <v>193</v>
      </c>
      <c r="F41" s="55" t="s">
        <v>194</v>
      </c>
      <c r="G41" s="55" t="s">
        <v>337</v>
      </c>
      <c r="H41" s="55" t="s">
        <v>1008</v>
      </c>
      <c r="I41" s="139" t="s">
        <v>51</v>
      </c>
      <c r="J41" s="159" t="s">
        <v>1009</v>
      </c>
      <c r="K41" s="55">
        <v>20038918</v>
      </c>
      <c r="L41" s="55" t="s">
        <v>198</v>
      </c>
      <c r="M41" s="141" t="str">
        <f t="shared" si="0"/>
        <v>EH2-INT_D</v>
      </c>
      <c r="N41" s="142" t="str">
        <f>LOOKUP(M41,'[2]Doc Set'!E:E,'[2]Doc Set'!F:F)</f>
        <v>_</v>
      </c>
      <c r="O41" s="141" t="s">
        <v>931</v>
      </c>
      <c r="P41" s="142">
        <f>+LOOKUP(O41,'[2]Doc Set'!E:E,'[2]Doc Set'!G:G)</f>
        <v>43500</v>
      </c>
      <c r="Q41" s="55" t="str">
        <f t="shared" si="1"/>
        <v>EH2-INT_D</v>
      </c>
      <c r="R41" s="142">
        <f>+LOOKUP(Q41,'[2]Doc Set'!E:E,'[2]Doc Set'!H:H)</f>
        <v>43528</v>
      </c>
      <c r="S41" s="143" t="s">
        <v>200</v>
      </c>
    </row>
    <row r="42" spans="1:19" x14ac:dyDescent="0.3">
      <c r="A42" s="55" t="s">
        <v>40</v>
      </c>
      <c r="B42" s="55" t="s">
        <v>190</v>
      </c>
      <c r="C42" s="55" t="s">
        <v>191</v>
      </c>
      <c r="D42" s="162" t="s">
        <v>65</v>
      </c>
      <c r="E42" s="55" t="s">
        <v>193</v>
      </c>
      <c r="F42" s="55" t="s">
        <v>194</v>
      </c>
      <c r="G42" s="55" t="s">
        <v>340</v>
      </c>
      <c r="H42" s="55" t="s">
        <v>1010</v>
      </c>
      <c r="I42" s="139" t="s">
        <v>51</v>
      </c>
      <c r="J42" s="159" t="s">
        <v>1011</v>
      </c>
      <c r="K42" s="55">
        <v>20038918</v>
      </c>
      <c r="L42" s="55" t="s">
        <v>198</v>
      </c>
      <c r="M42" s="141" t="str">
        <f t="shared" si="0"/>
        <v>EH2-INT_D</v>
      </c>
      <c r="N42" s="142" t="str">
        <f>LOOKUP(M42,'[2]Doc Set'!E:E,'[2]Doc Set'!F:F)</f>
        <v>_</v>
      </c>
      <c r="O42" s="141" t="s">
        <v>931</v>
      </c>
      <c r="P42" s="142">
        <f>+LOOKUP(O42,'[2]Doc Set'!E:E,'[2]Doc Set'!G:G)</f>
        <v>43500</v>
      </c>
      <c r="Q42" s="55" t="str">
        <f t="shared" si="1"/>
        <v>EH2-INT_D</v>
      </c>
      <c r="R42" s="142">
        <f>+LOOKUP(Q42,'[2]Doc Set'!E:E,'[2]Doc Set'!H:H)</f>
        <v>43528</v>
      </c>
      <c r="S42" s="143" t="s">
        <v>200</v>
      </c>
    </row>
    <row r="43" spans="1:19" x14ac:dyDescent="0.3">
      <c r="A43" s="55" t="s">
        <v>40</v>
      </c>
      <c r="B43" s="55" t="s">
        <v>190</v>
      </c>
      <c r="C43" s="55" t="s">
        <v>191</v>
      </c>
      <c r="D43" s="162" t="s">
        <v>65</v>
      </c>
      <c r="E43" s="55" t="s">
        <v>193</v>
      </c>
      <c r="F43" s="55" t="s">
        <v>194</v>
      </c>
      <c r="G43" s="55" t="s">
        <v>799</v>
      </c>
      <c r="H43" s="55" t="s">
        <v>1012</v>
      </c>
      <c r="I43" s="139" t="s">
        <v>51</v>
      </c>
      <c r="J43" s="159" t="s">
        <v>1013</v>
      </c>
      <c r="K43" s="55">
        <v>20038918</v>
      </c>
      <c r="L43" s="55" t="s">
        <v>198</v>
      </c>
      <c r="M43" s="141" t="str">
        <f t="shared" si="0"/>
        <v>EH2-INT_D</v>
      </c>
      <c r="N43" s="142" t="str">
        <f>LOOKUP(M43,'[2]Doc Set'!E:E,'[2]Doc Set'!F:F)</f>
        <v>_</v>
      </c>
      <c r="O43" s="141" t="s">
        <v>931</v>
      </c>
      <c r="P43" s="142">
        <f>+LOOKUP(O43,'[2]Doc Set'!E:E,'[2]Doc Set'!G:G)</f>
        <v>43500</v>
      </c>
      <c r="Q43" s="55" t="str">
        <f t="shared" si="1"/>
        <v>EH2-INT_D</v>
      </c>
      <c r="R43" s="142">
        <f>+LOOKUP(Q43,'[2]Doc Set'!E:E,'[2]Doc Set'!H:H)</f>
        <v>43528</v>
      </c>
      <c r="S43" s="143" t="s">
        <v>200</v>
      </c>
    </row>
    <row r="44" spans="1:19" x14ac:dyDescent="0.3">
      <c r="A44" s="55" t="s">
        <v>40</v>
      </c>
      <c r="B44" s="55" t="s">
        <v>190</v>
      </c>
      <c r="C44" s="55" t="s">
        <v>191</v>
      </c>
      <c r="D44" s="162" t="s">
        <v>65</v>
      </c>
      <c r="E44" s="55" t="s">
        <v>193</v>
      </c>
      <c r="F44" s="55" t="s">
        <v>194</v>
      </c>
      <c r="G44" s="55" t="s">
        <v>491</v>
      </c>
      <c r="H44" s="55" t="s">
        <v>1014</v>
      </c>
      <c r="I44" s="139" t="s">
        <v>51</v>
      </c>
      <c r="J44" s="159" t="s">
        <v>1015</v>
      </c>
      <c r="K44" s="55">
        <v>20038918</v>
      </c>
      <c r="L44" s="55" t="s">
        <v>198</v>
      </c>
      <c r="M44" s="141" t="str">
        <f t="shared" si="0"/>
        <v>EH2-INT_D</v>
      </c>
      <c r="N44" s="142" t="str">
        <f>LOOKUP(M44,'[2]Doc Set'!E:E,'[2]Doc Set'!F:F)</f>
        <v>_</v>
      </c>
      <c r="O44" s="141" t="s">
        <v>931</v>
      </c>
      <c r="P44" s="142">
        <f>+LOOKUP(O44,'[2]Doc Set'!E:E,'[2]Doc Set'!G:G)</f>
        <v>43500</v>
      </c>
      <c r="Q44" s="55" t="str">
        <f t="shared" si="1"/>
        <v>EH2-INT_D</v>
      </c>
      <c r="R44" s="142">
        <f>+LOOKUP(Q44,'[2]Doc Set'!E:E,'[2]Doc Set'!H:H)</f>
        <v>43528</v>
      </c>
      <c r="S44" s="143" t="s">
        <v>200</v>
      </c>
    </row>
    <row r="45" spans="1:19" x14ac:dyDescent="0.3">
      <c r="A45" s="55" t="s">
        <v>40</v>
      </c>
      <c r="B45" s="55" t="s">
        <v>190</v>
      </c>
      <c r="C45" s="55" t="s">
        <v>191</v>
      </c>
      <c r="D45" s="162" t="s">
        <v>65</v>
      </c>
      <c r="E45" s="55" t="s">
        <v>193</v>
      </c>
      <c r="F45" s="55" t="s">
        <v>194</v>
      </c>
      <c r="G45" s="55" t="s">
        <v>518</v>
      </c>
      <c r="H45" s="55" t="s">
        <v>1016</v>
      </c>
      <c r="I45" s="139" t="s">
        <v>51</v>
      </c>
      <c r="J45" s="159" t="s">
        <v>1017</v>
      </c>
      <c r="K45" s="55">
        <v>20038918</v>
      </c>
      <c r="L45" s="55" t="s">
        <v>198</v>
      </c>
      <c r="M45" s="141" t="str">
        <f t="shared" si="0"/>
        <v>EH2-INT_D</v>
      </c>
      <c r="N45" s="142" t="str">
        <f>LOOKUP(M45,'[2]Doc Set'!E:E,'[2]Doc Set'!F:F)</f>
        <v>_</v>
      </c>
      <c r="O45" s="141" t="s">
        <v>931</v>
      </c>
      <c r="P45" s="142">
        <f>+LOOKUP(O45,'[2]Doc Set'!E:E,'[2]Doc Set'!G:G)</f>
        <v>43500</v>
      </c>
      <c r="Q45" s="55" t="str">
        <f t="shared" si="1"/>
        <v>EH2-INT_D</v>
      </c>
      <c r="R45" s="142">
        <f>+LOOKUP(Q45,'[2]Doc Set'!E:E,'[2]Doc Set'!H:H)</f>
        <v>43528</v>
      </c>
      <c r="S45" s="143" t="s">
        <v>200</v>
      </c>
    </row>
    <row r="46" spans="1:19" x14ac:dyDescent="0.3">
      <c r="A46" s="55" t="s">
        <v>40</v>
      </c>
      <c r="B46" s="55" t="s">
        <v>190</v>
      </c>
      <c r="C46" s="55" t="s">
        <v>191</v>
      </c>
      <c r="D46" s="162" t="s">
        <v>65</v>
      </c>
      <c r="E46" s="55" t="s">
        <v>193</v>
      </c>
      <c r="F46" s="55" t="s">
        <v>194</v>
      </c>
      <c r="G46" s="55" t="s">
        <v>494</v>
      </c>
      <c r="H46" s="55" t="s">
        <v>1018</v>
      </c>
      <c r="I46" s="139" t="s">
        <v>51</v>
      </c>
      <c r="J46" s="159" t="s">
        <v>1019</v>
      </c>
      <c r="K46" s="55">
        <v>20038918</v>
      </c>
      <c r="L46" s="55" t="s">
        <v>198</v>
      </c>
      <c r="M46" s="141" t="str">
        <f t="shared" si="0"/>
        <v>EH2-INT_D</v>
      </c>
      <c r="N46" s="142" t="str">
        <f>LOOKUP(M46,'[2]Doc Set'!E:E,'[2]Doc Set'!F:F)</f>
        <v>_</v>
      </c>
      <c r="O46" s="141" t="s">
        <v>931</v>
      </c>
      <c r="P46" s="142">
        <f>+LOOKUP(O46,'[2]Doc Set'!E:E,'[2]Doc Set'!G:G)</f>
        <v>43500</v>
      </c>
      <c r="Q46" s="55" t="str">
        <f t="shared" si="1"/>
        <v>EH2-INT_D</v>
      </c>
      <c r="R46" s="142">
        <f>+LOOKUP(Q46,'[2]Doc Set'!E:E,'[2]Doc Set'!H:H)</f>
        <v>43528</v>
      </c>
      <c r="S46" s="143" t="s">
        <v>200</v>
      </c>
    </row>
    <row r="47" spans="1:19" x14ac:dyDescent="0.3">
      <c r="A47" s="55" t="s">
        <v>40</v>
      </c>
      <c r="B47" s="55" t="s">
        <v>190</v>
      </c>
      <c r="C47" s="55" t="s">
        <v>191</v>
      </c>
      <c r="D47" s="162" t="s">
        <v>65</v>
      </c>
      <c r="E47" s="55" t="s">
        <v>193</v>
      </c>
      <c r="F47" s="55" t="s">
        <v>194</v>
      </c>
      <c r="G47" s="55" t="s">
        <v>497</v>
      </c>
      <c r="H47" s="55" t="s">
        <v>1020</v>
      </c>
      <c r="I47" s="139" t="s">
        <v>51</v>
      </c>
      <c r="J47" s="159" t="s">
        <v>1021</v>
      </c>
      <c r="K47" s="55">
        <v>20038918</v>
      </c>
      <c r="L47" s="55" t="s">
        <v>198</v>
      </c>
      <c r="M47" s="141" t="str">
        <f t="shared" si="0"/>
        <v>EH2-INT_D</v>
      </c>
      <c r="N47" s="142" t="str">
        <f>LOOKUP(M47,'[2]Doc Set'!E:E,'[2]Doc Set'!F:F)</f>
        <v>_</v>
      </c>
      <c r="O47" s="141" t="s">
        <v>931</v>
      </c>
      <c r="P47" s="142">
        <f>+LOOKUP(O47,'[2]Doc Set'!E:E,'[2]Doc Set'!G:G)</f>
        <v>43500</v>
      </c>
      <c r="Q47" s="55" t="str">
        <f t="shared" si="1"/>
        <v>EH2-INT_D</v>
      </c>
      <c r="R47" s="142">
        <f>+LOOKUP(Q47,'[2]Doc Set'!E:E,'[2]Doc Set'!H:H)</f>
        <v>43528</v>
      </c>
      <c r="S47" s="143" t="s">
        <v>200</v>
      </c>
    </row>
    <row r="48" spans="1:19" x14ac:dyDescent="0.3">
      <c r="A48" s="55" t="s">
        <v>40</v>
      </c>
      <c r="B48" s="55" t="s">
        <v>190</v>
      </c>
      <c r="C48" s="55" t="s">
        <v>191</v>
      </c>
      <c r="D48" s="162" t="s">
        <v>65</v>
      </c>
      <c r="E48" s="55" t="s">
        <v>193</v>
      </c>
      <c r="F48" s="55" t="s">
        <v>194</v>
      </c>
      <c r="G48" s="55" t="s">
        <v>500</v>
      </c>
      <c r="H48" s="55" t="s">
        <v>1022</v>
      </c>
      <c r="I48" s="139" t="s">
        <v>51</v>
      </c>
      <c r="J48" s="159" t="s">
        <v>1023</v>
      </c>
      <c r="K48" s="55">
        <v>20038918</v>
      </c>
      <c r="L48" s="55" t="s">
        <v>198</v>
      </c>
      <c r="M48" s="141" t="str">
        <f t="shared" si="0"/>
        <v>EH2-INT_D</v>
      </c>
      <c r="N48" s="142" t="str">
        <f>LOOKUP(M48,'[2]Doc Set'!E:E,'[2]Doc Set'!F:F)</f>
        <v>_</v>
      </c>
      <c r="O48" s="141" t="s">
        <v>931</v>
      </c>
      <c r="P48" s="142">
        <f>+LOOKUP(O48,'[2]Doc Set'!E:E,'[2]Doc Set'!G:G)</f>
        <v>43500</v>
      </c>
      <c r="Q48" s="55" t="str">
        <f t="shared" si="1"/>
        <v>EH2-INT_D</v>
      </c>
      <c r="R48" s="142">
        <f>+LOOKUP(Q48,'[2]Doc Set'!E:E,'[2]Doc Set'!H:H)</f>
        <v>43528</v>
      </c>
      <c r="S48" s="143" t="s">
        <v>200</v>
      </c>
    </row>
    <row r="49" spans="1:19" x14ac:dyDescent="0.3">
      <c r="A49" s="55" t="s">
        <v>40</v>
      </c>
      <c r="B49" s="55" t="s">
        <v>190</v>
      </c>
      <c r="C49" s="55" t="s">
        <v>191</v>
      </c>
      <c r="D49" s="162" t="s">
        <v>65</v>
      </c>
      <c r="E49" s="55" t="s">
        <v>193</v>
      </c>
      <c r="F49" s="55" t="s">
        <v>194</v>
      </c>
      <c r="G49" s="55" t="s">
        <v>503</v>
      </c>
      <c r="H49" s="55" t="s">
        <v>1024</v>
      </c>
      <c r="I49" s="139" t="s">
        <v>51</v>
      </c>
      <c r="J49" s="159" t="s">
        <v>1025</v>
      </c>
      <c r="K49" s="55">
        <v>20038918</v>
      </c>
      <c r="L49" s="55" t="s">
        <v>198</v>
      </c>
      <c r="M49" s="141" t="str">
        <f t="shared" si="0"/>
        <v>EH2-INT_D</v>
      </c>
      <c r="N49" s="142" t="str">
        <f>LOOKUP(M49,'[2]Doc Set'!E:E,'[2]Doc Set'!F:F)</f>
        <v>_</v>
      </c>
      <c r="O49" s="141" t="s">
        <v>931</v>
      </c>
      <c r="P49" s="142">
        <f>+LOOKUP(O49,'[2]Doc Set'!E:E,'[2]Doc Set'!G:G)</f>
        <v>43500</v>
      </c>
      <c r="Q49" s="55" t="str">
        <f t="shared" si="1"/>
        <v>EH2-INT_D</v>
      </c>
      <c r="R49" s="142">
        <f>+LOOKUP(Q49,'[2]Doc Set'!E:E,'[2]Doc Set'!H:H)</f>
        <v>43528</v>
      </c>
      <c r="S49" s="143" t="s">
        <v>200</v>
      </c>
    </row>
    <row r="50" spans="1:19" x14ac:dyDescent="0.3">
      <c r="A50" s="55" t="s">
        <v>40</v>
      </c>
      <c r="B50" s="55" t="s">
        <v>190</v>
      </c>
      <c r="C50" s="55" t="s">
        <v>191</v>
      </c>
      <c r="D50" s="162" t="s">
        <v>65</v>
      </c>
      <c r="E50" s="55" t="s">
        <v>193</v>
      </c>
      <c r="F50" s="55" t="s">
        <v>451</v>
      </c>
      <c r="G50" s="55" t="s">
        <v>458</v>
      </c>
      <c r="H50" s="55" t="s">
        <v>1026</v>
      </c>
      <c r="I50" s="139" t="s">
        <v>134</v>
      </c>
      <c r="J50" s="159" t="s">
        <v>1027</v>
      </c>
      <c r="K50" s="55">
        <v>20038918</v>
      </c>
      <c r="L50" s="55" t="s">
        <v>198</v>
      </c>
      <c r="M50" s="141" t="str">
        <f t="shared" si="0"/>
        <v>EH2-INT_D</v>
      </c>
      <c r="N50" s="142" t="str">
        <f>LOOKUP(M50,'[2]Doc Set'!E:E,'[2]Doc Set'!F:F)</f>
        <v>_</v>
      </c>
      <c r="O50" s="141" t="s">
        <v>931</v>
      </c>
      <c r="P50" s="142">
        <f>+LOOKUP(O50,'[2]Doc Set'!E:E,'[2]Doc Set'!G:G)</f>
        <v>43500</v>
      </c>
      <c r="Q50" s="55" t="str">
        <f t="shared" si="1"/>
        <v>EH2-INT_D</v>
      </c>
      <c r="R50" s="142">
        <f>+LOOKUP(Q50,'[2]Doc Set'!E:E,'[2]Doc Set'!H:H)</f>
        <v>43528</v>
      </c>
      <c r="S50" s="143" t="s">
        <v>200</v>
      </c>
    </row>
    <row r="51" spans="1:19" x14ac:dyDescent="0.3">
      <c r="A51" s="55" t="s">
        <v>40</v>
      </c>
      <c r="B51" s="55" t="s">
        <v>190</v>
      </c>
      <c r="C51" s="55" t="s">
        <v>191</v>
      </c>
      <c r="D51" s="162" t="s">
        <v>65</v>
      </c>
      <c r="E51" s="55" t="s">
        <v>193</v>
      </c>
      <c r="F51" s="55" t="s">
        <v>451</v>
      </c>
      <c r="G51" s="55" t="s">
        <v>828</v>
      </c>
      <c r="H51" s="55" t="s">
        <v>1028</v>
      </c>
      <c r="I51" s="139" t="s">
        <v>134</v>
      </c>
      <c r="J51" s="159" t="s">
        <v>1029</v>
      </c>
      <c r="K51" s="55">
        <v>20038918</v>
      </c>
      <c r="L51" s="55" t="s">
        <v>198</v>
      </c>
      <c r="M51" s="141" t="str">
        <f t="shared" si="0"/>
        <v>EH2-INT_D</v>
      </c>
      <c r="N51" s="142" t="str">
        <f>LOOKUP(M51,'[2]Doc Set'!E:E,'[2]Doc Set'!F:F)</f>
        <v>_</v>
      </c>
      <c r="O51" s="141" t="s">
        <v>931</v>
      </c>
      <c r="P51" s="142">
        <f>+LOOKUP(O51,'[2]Doc Set'!E:E,'[2]Doc Set'!G:G)</f>
        <v>43500</v>
      </c>
      <c r="Q51" s="55" t="str">
        <f t="shared" si="1"/>
        <v>EH2-INT_D</v>
      </c>
      <c r="R51" s="142">
        <f>+LOOKUP(Q51,'[2]Doc Set'!E:E,'[2]Doc Set'!H:H)</f>
        <v>43528</v>
      </c>
      <c r="S51" s="143" t="s">
        <v>200</v>
      </c>
    </row>
    <row r="52" spans="1:19" x14ac:dyDescent="0.3">
      <c r="A52" s="55" t="s">
        <v>40</v>
      </c>
      <c r="B52" s="55" t="s">
        <v>190</v>
      </c>
      <c r="C52" s="55" t="s">
        <v>191</v>
      </c>
      <c r="D52" s="162" t="s">
        <v>65</v>
      </c>
      <c r="E52" s="55" t="s">
        <v>193</v>
      </c>
      <c r="F52" s="55" t="s">
        <v>451</v>
      </c>
      <c r="G52" s="55" t="s">
        <v>461</v>
      </c>
      <c r="H52" s="55" t="s">
        <v>1030</v>
      </c>
      <c r="I52" s="139" t="s">
        <v>134</v>
      </c>
      <c r="J52" s="159" t="s">
        <v>1031</v>
      </c>
      <c r="K52" s="55">
        <v>20038918</v>
      </c>
      <c r="L52" s="55" t="s">
        <v>198</v>
      </c>
      <c r="M52" s="141" t="str">
        <f t="shared" si="0"/>
        <v>EH2-INT_D</v>
      </c>
      <c r="N52" s="142" t="str">
        <f>LOOKUP(M52,'[2]Doc Set'!E:E,'[2]Doc Set'!F:F)</f>
        <v>_</v>
      </c>
      <c r="O52" s="141" t="s">
        <v>931</v>
      </c>
      <c r="P52" s="142">
        <f>+LOOKUP(O52,'[2]Doc Set'!E:E,'[2]Doc Set'!G:G)</f>
        <v>43500</v>
      </c>
      <c r="Q52" s="55" t="str">
        <f t="shared" si="1"/>
        <v>EH2-INT_D</v>
      </c>
      <c r="R52" s="142">
        <f>+LOOKUP(Q52,'[2]Doc Set'!E:E,'[2]Doc Set'!H:H)</f>
        <v>43528</v>
      </c>
      <c r="S52" s="143" t="s">
        <v>200</v>
      </c>
    </row>
    <row r="53" spans="1:19" x14ac:dyDescent="0.3">
      <c r="A53" s="55" t="s">
        <v>40</v>
      </c>
      <c r="B53" s="55" t="s">
        <v>190</v>
      </c>
      <c r="C53" s="55" t="s">
        <v>191</v>
      </c>
      <c r="D53" s="162" t="s">
        <v>65</v>
      </c>
      <c r="E53" s="55" t="s">
        <v>193</v>
      </c>
      <c r="F53" s="55" t="s">
        <v>451</v>
      </c>
      <c r="G53" s="55" t="s">
        <v>464</v>
      </c>
      <c r="H53" s="55" t="s">
        <v>1032</v>
      </c>
      <c r="I53" s="139" t="s">
        <v>134</v>
      </c>
      <c r="J53" s="159" t="s">
        <v>1033</v>
      </c>
      <c r="K53" s="55">
        <v>20038918</v>
      </c>
      <c r="L53" s="55" t="s">
        <v>198</v>
      </c>
      <c r="M53" s="141" t="str">
        <f t="shared" si="0"/>
        <v>EH2-INT_D</v>
      </c>
      <c r="N53" s="142" t="str">
        <f>LOOKUP(M53,'[2]Doc Set'!E:E,'[2]Doc Set'!F:F)</f>
        <v>_</v>
      </c>
      <c r="O53" s="141" t="s">
        <v>931</v>
      </c>
      <c r="P53" s="142">
        <f>+LOOKUP(O53,'[2]Doc Set'!E:E,'[2]Doc Set'!G:G)</f>
        <v>43500</v>
      </c>
      <c r="Q53" s="55" t="str">
        <f t="shared" si="1"/>
        <v>EH2-INT_D</v>
      </c>
      <c r="R53" s="142">
        <f>+LOOKUP(Q53,'[2]Doc Set'!E:E,'[2]Doc Set'!H:H)</f>
        <v>43528</v>
      </c>
      <c r="S53" s="143" t="s">
        <v>200</v>
      </c>
    </row>
    <row r="54" spans="1:19" x14ac:dyDescent="0.3">
      <c r="A54" s="55" t="s">
        <v>40</v>
      </c>
      <c r="B54" s="55" t="s">
        <v>190</v>
      </c>
      <c r="C54" s="55" t="s">
        <v>191</v>
      </c>
      <c r="D54" s="162" t="s">
        <v>65</v>
      </c>
      <c r="E54" s="55" t="s">
        <v>193</v>
      </c>
      <c r="F54" s="55" t="s">
        <v>451</v>
      </c>
      <c r="G54" s="55" t="s">
        <v>467</v>
      </c>
      <c r="H54" s="55" t="s">
        <v>1034</v>
      </c>
      <c r="I54" s="139" t="s">
        <v>134</v>
      </c>
      <c r="J54" s="159" t="s">
        <v>1035</v>
      </c>
      <c r="K54" s="55">
        <v>20038918</v>
      </c>
      <c r="L54" s="55" t="s">
        <v>198</v>
      </c>
      <c r="M54" s="141" t="str">
        <f t="shared" si="0"/>
        <v>EH2-INT_D</v>
      </c>
      <c r="N54" s="142" t="str">
        <f>LOOKUP(M54,'[2]Doc Set'!E:E,'[2]Doc Set'!F:F)</f>
        <v>_</v>
      </c>
      <c r="O54" s="141" t="s">
        <v>931</v>
      </c>
      <c r="P54" s="142">
        <f>+LOOKUP(O54,'[2]Doc Set'!E:E,'[2]Doc Set'!G:G)</f>
        <v>43500</v>
      </c>
      <c r="Q54" s="55" t="str">
        <f t="shared" si="1"/>
        <v>EH2-INT_D</v>
      </c>
      <c r="R54" s="142">
        <f>+LOOKUP(Q54,'[2]Doc Set'!E:E,'[2]Doc Set'!H:H)</f>
        <v>43528</v>
      </c>
      <c r="S54" s="143" t="s">
        <v>200</v>
      </c>
    </row>
    <row r="55" spans="1:19" x14ac:dyDescent="0.3">
      <c r="A55" s="55" t="s">
        <v>40</v>
      </c>
      <c r="B55" s="55" t="s">
        <v>190</v>
      </c>
      <c r="C55" s="55" t="s">
        <v>191</v>
      </c>
      <c r="D55" s="162" t="s">
        <v>65</v>
      </c>
      <c r="E55" s="55" t="s">
        <v>193</v>
      </c>
      <c r="F55" s="55" t="s">
        <v>609</v>
      </c>
      <c r="G55" s="55" t="s">
        <v>635</v>
      </c>
      <c r="H55" s="55" t="s">
        <v>1036</v>
      </c>
      <c r="I55" s="139" t="s">
        <v>128</v>
      </c>
      <c r="J55" s="159" t="s">
        <v>1037</v>
      </c>
      <c r="K55" s="55">
        <v>20038918</v>
      </c>
      <c r="L55" s="55" t="s">
        <v>198</v>
      </c>
      <c r="M55" s="141" t="str">
        <f t="shared" si="0"/>
        <v>EH2-INT_D</v>
      </c>
      <c r="N55" s="142" t="str">
        <f>LOOKUP(M55,'[2]Doc Set'!E:E,'[2]Doc Set'!F:F)</f>
        <v>_</v>
      </c>
      <c r="O55" s="141" t="s">
        <v>931</v>
      </c>
      <c r="P55" s="142">
        <f>+LOOKUP(O55,'[2]Doc Set'!E:E,'[2]Doc Set'!G:G)</f>
        <v>43500</v>
      </c>
      <c r="Q55" s="55" t="str">
        <f t="shared" si="1"/>
        <v>EH2-INT_D</v>
      </c>
      <c r="R55" s="142">
        <f>+LOOKUP(Q55,'[2]Doc Set'!E:E,'[2]Doc Set'!H:H)</f>
        <v>43528</v>
      </c>
      <c r="S55" s="143" t="s">
        <v>200</v>
      </c>
    </row>
    <row r="56" spans="1:19" x14ac:dyDescent="0.3">
      <c r="A56" s="55" t="s">
        <v>40</v>
      </c>
      <c r="B56" s="55" t="s">
        <v>190</v>
      </c>
      <c r="C56" s="55" t="s">
        <v>191</v>
      </c>
      <c r="D56" s="162" t="s">
        <v>65</v>
      </c>
      <c r="E56" s="55" t="s">
        <v>193</v>
      </c>
      <c r="F56" s="55" t="s">
        <v>609</v>
      </c>
      <c r="G56" s="55" t="s">
        <v>839</v>
      </c>
      <c r="H56" s="55" t="s">
        <v>1038</v>
      </c>
      <c r="I56" s="139" t="s">
        <v>128</v>
      </c>
      <c r="J56" s="159" t="s">
        <v>1039</v>
      </c>
      <c r="K56" s="55">
        <v>20038918</v>
      </c>
      <c r="L56" s="55" t="s">
        <v>198</v>
      </c>
      <c r="M56" s="141" t="str">
        <f t="shared" si="0"/>
        <v>EH2-INT_D</v>
      </c>
      <c r="N56" s="142" t="str">
        <f>LOOKUP(M56,'[2]Doc Set'!E:E,'[2]Doc Set'!F:F)</f>
        <v>_</v>
      </c>
      <c r="O56" s="141" t="s">
        <v>931</v>
      </c>
      <c r="P56" s="142">
        <f>+LOOKUP(O56,'[2]Doc Set'!E:E,'[2]Doc Set'!G:G)</f>
        <v>43500</v>
      </c>
      <c r="Q56" s="55" t="str">
        <f t="shared" si="1"/>
        <v>EH2-INT_D</v>
      </c>
      <c r="R56" s="142">
        <f>+LOOKUP(Q56,'[2]Doc Set'!E:E,'[2]Doc Set'!H:H)</f>
        <v>43528</v>
      </c>
      <c r="S56" s="143" t="s">
        <v>200</v>
      </c>
    </row>
    <row r="57" spans="1:19" s="153" customFormat="1" x14ac:dyDescent="0.3">
      <c r="A57" s="144" t="s">
        <v>40</v>
      </c>
      <c r="B57" s="144" t="s">
        <v>190</v>
      </c>
      <c r="C57" s="144" t="s">
        <v>191</v>
      </c>
      <c r="D57" s="163" t="s">
        <v>65</v>
      </c>
      <c r="E57" s="144" t="s">
        <v>193</v>
      </c>
      <c r="F57" s="144" t="s">
        <v>609</v>
      </c>
      <c r="G57" s="144" t="s">
        <v>638</v>
      </c>
      <c r="H57" s="144" t="s">
        <v>1040</v>
      </c>
      <c r="I57" s="146" t="s">
        <v>128</v>
      </c>
      <c r="J57" s="147" t="s">
        <v>1041</v>
      </c>
      <c r="K57" s="144">
        <v>20038918</v>
      </c>
      <c r="L57" s="144" t="s">
        <v>198</v>
      </c>
      <c r="M57" s="151" t="str">
        <f t="shared" si="0"/>
        <v>EH2-SS_B</v>
      </c>
      <c r="N57" s="150" t="str">
        <f>LOOKUP(M57,'[2]Doc Set'!E:E,'[2]Doc Set'!F:F)</f>
        <v>_</v>
      </c>
      <c r="O57" s="151" t="s">
        <v>1042</v>
      </c>
      <c r="P57" s="150">
        <f>+LOOKUP(O57,'[2]Doc Set'!E:E,'[2]Doc Set'!G:G)</f>
        <v>43305</v>
      </c>
      <c r="Q57" s="144" t="str">
        <f t="shared" si="1"/>
        <v>EH2-SS_B</v>
      </c>
      <c r="R57" s="150">
        <f>+LOOKUP(Q57,'[2]Doc Set'!E:E,'[2]Doc Set'!H:H)</f>
        <v>43350</v>
      </c>
      <c r="S57" s="152" t="s">
        <v>200</v>
      </c>
    </row>
    <row r="58" spans="1:19" s="153" customFormat="1" x14ac:dyDescent="0.3">
      <c r="A58" s="144" t="s">
        <v>40</v>
      </c>
      <c r="B58" s="144" t="s">
        <v>190</v>
      </c>
      <c r="C58" s="144" t="s">
        <v>191</v>
      </c>
      <c r="D58" s="163" t="s">
        <v>65</v>
      </c>
      <c r="E58" s="144" t="s">
        <v>193</v>
      </c>
      <c r="F58" s="144" t="s">
        <v>609</v>
      </c>
      <c r="G58" s="144" t="s">
        <v>641</v>
      </c>
      <c r="H58" s="144" t="s">
        <v>1043</v>
      </c>
      <c r="I58" s="146" t="s">
        <v>128</v>
      </c>
      <c r="J58" s="147" t="s">
        <v>1044</v>
      </c>
      <c r="K58" s="144">
        <v>20038918</v>
      </c>
      <c r="L58" s="144" t="s">
        <v>198</v>
      </c>
      <c r="M58" s="151" t="str">
        <f t="shared" si="0"/>
        <v>EH2-SS_B</v>
      </c>
      <c r="N58" s="150" t="str">
        <f>LOOKUP(M58,'[2]Doc Set'!E:E,'[2]Doc Set'!F:F)</f>
        <v>_</v>
      </c>
      <c r="O58" s="151" t="s">
        <v>1042</v>
      </c>
      <c r="P58" s="150">
        <f>+LOOKUP(O58,'[2]Doc Set'!E:E,'[2]Doc Set'!G:G)</f>
        <v>43305</v>
      </c>
      <c r="Q58" s="144" t="str">
        <f t="shared" si="1"/>
        <v>EH2-SS_B</v>
      </c>
      <c r="R58" s="150">
        <f>+LOOKUP(Q58,'[2]Doc Set'!E:E,'[2]Doc Set'!H:H)</f>
        <v>43350</v>
      </c>
      <c r="S58" s="152" t="s">
        <v>200</v>
      </c>
    </row>
    <row r="59" spans="1:19" s="153" customFormat="1" x14ac:dyDescent="0.3">
      <c r="A59" s="144" t="s">
        <v>40</v>
      </c>
      <c r="B59" s="144" t="s">
        <v>190</v>
      </c>
      <c r="C59" s="144" t="s">
        <v>191</v>
      </c>
      <c r="D59" s="163" t="s">
        <v>65</v>
      </c>
      <c r="E59" s="144" t="s">
        <v>193</v>
      </c>
      <c r="F59" s="144" t="s">
        <v>609</v>
      </c>
      <c r="G59" s="144" t="s">
        <v>644</v>
      </c>
      <c r="H59" s="144" t="s">
        <v>1045</v>
      </c>
      <c r="I59" s="146" t="s">
        <v>128</v>
      </c>
      <c r="J59" s="147" t="s">
        <v>1046</v>
      </c>
      <c r="K59" s="144">
        <v>20038918</v>
      </c>
      <c r="L59" s="144" t="s">
        <v>198</v>
      </c>
      <c r="M59" s="151" t="str">
        <f t="shared" si="0"/>
        <v>EH2-SS_B</v>
      </c>
      <c r="N59" s="150" t="str">
        <f>LOOKUP(M59,'[2]Doc Set'!E:E,'[2]Doc Set'!F:F)</f>
        <v>_</v>
      </c>
      <c r="O59" s="151" t="s">
        <v>1042</v>
      </c>
      <c r="P59" s="150">
        <f>+LOOKUP(O59,'[2]Doc Set'!E:E,'[2]Doc Set'!G:G)</f>
        <v>43305</v>
      </c>
      <c r="Q59" s="144" t="str">
        <f t="shared" si="1"/>
        <v>EH2-SS_B</v>
      </c>
      <c r="R59" s="150">
        <f>+LOOKUP(Q59,'[2]Doc Set'!E:E,'[2]Doc Set'!H:H)</f>
        <v>43350</v>
      </c>
      <c r="S59" s="152" t="s">
        <v>200</v>
      </c>
    </row>
    <row r="60" spans="1:19" s="153" customFormat="1" x14ac:dyDescent="0.3">
      <c r="A60" s="144" t="s">
        <v>40</v>
      </c>
      <c r="B60" s="144" t="s">
        <v>190</v>
      </c>
      <c r="C60" s="144" t="s">
        <v>191</v>
      </c>
      <c r="D60" s="163" t="s">
        <v>65</v>
      </c>
      <c r="E60" s="144" t="s">
        <v>193</v>
      </c>
      <c r="F60" s="144" t="s">
        <v>609</v>
      </c>
      <c r="G60" s="144" t="s">
        <v>849</v>
      </c>
      <c r="H60" s="144" t="s">
        <v>1047</v>
      </c>
      <c r="I60" s="146" t="s">
        <v>128</v>
      </c>
      <c r="J60" s="147" t="s">
        <v>1048</v>
      </c>
      <c r="K60" s="144">
        <v>20038918</v>
      </c>
      <c r="L60" s="144" t="s">
        <v>198</v>
      </c>
      <c r="M60" s="151" t="str">
        <f t="shared" si="0"/>
        <v>EH2-SS_B</v>
      </c>
      <c r="N60" s="150" t="str">
        <f>LOOKUP(M60,'[2]Doc Set'!E:E,'[2]Doc Set'!F:F)</f>
        <v>_</v>
      </c>
      <c r="O60" s="151" t="s">
        <v>1042</v>
      </c>
      <c r="P60" s="150">
        <f>+LOOKUP(O60,'[2]Doc Set'!E:E,'[2]Doc Set'!G:G)</f>
        <v>43305</v>
      </c>
      <c r="Q60" s="144" t="str">
        <f t="shared" si="1"/>
        <v>EH2-SS_B</v>
      </c>
      <c r="R60" s="150">
        <f>+LOOKUP(Q60,'[2]Doc Set'!E:E,'[2]Doc Set'!H:H)</f>
        <v>43350</v>
      </c>
      <c r="S60" s="152" t="s">
        <v>200</v>
      </c>
    </row>
    <row r="61" spans="1:19" s="153" customFormat="1" x14ac:dyDescent="0.3">
      <c r="A61" s="144" t="s">
        <v>40</v>
      </c>
      <c r="B61" s="144" t="s">
        <v>190</v>
      </c>
      <c r="C61" s="144" t="s">
        <v>191</v>
      </c>
      <c r="D61" s="163" t="s">
        <v>65</v>
      </c>
      <c r="E61" s="144" t="s">
        <v>193</v>
      </c>
      <c r="F61" s="144" t="s">
        <v>609</v>
      </c>
      <c r="G61" s="144" t="s">
        <v>852</v>
      </c>
      <c r="H61" s="144" t="s">
        <v>1049</v>
      </c>
      <c r="I61" s="146" t="s">
        <v>51</v>
      </c>
      <c r="J61" s="147" t="s">
        <v>1050</v>
      </c>
      <c r="K61" s="144">
        <v>20038918</v>
      </c>
      <c r="L61" s="144" t="s">
        <v>198</v>
      </c>
      <c r="M61" s="151" t="str">
        <f t="shared" si="0"/>
        <v>EH2-SS_B</v>
      </c>
      <c r="N61" s="150" t="str">
        <f>LOOKUP(M61,'[2]Doc Set'!E:E,'[2]Doc Set'!F:F)</f>
        <v>_</v>
      </c>
      <c r="O61" s="151" t="s">
        <v>1042</v>
      </c>
      <c r="P61" s="150">
        <f>+LOOKUP(O61,'[2]Doc Set'!E:E,'[2]Doc Set'!G:G)</f>
        <v>43305</v>
      </c>
      <c r="Q61" s="144" t="str">
        <f t="shared" si="1"/>
        <v>EH2-SS_B</v>
      </c>
      <c r="R61" s="150">
        <f>+LOOKUP(Q61,'[2]Doc Set'!E:E,'[2]Doc Set'!H:H)</f>
        <v>43350</v>
      </c>
      <c r="S61" s="152" t="s">
        <v>200</v>
      </c>
    </row>
    <row r="62" spans="1:19" s="153" customFormat="1" x14ac:dyDescent="0.3">
      <c r="A62" s="144" t="s">
        <v>40</v>
      </c>
      <c r="B62" s="144" t="s">
        <v>190</v>
      </c>
      <c r="C62" s="144" t="s">
        <v>191</v>
      </c>
      <c r="D62" s="163" t="s">
        <v>65</v>
      </c>
      <c r="E62" s="144" t="s">
        <v>193</v>
      </c>
      <c r="F62" s="144" t="s">
        <v>613</v>
      </c>
      <c r="G62" s="144" t="s">
        <v>1051</v>
      </c>
      <c r="H62" s="144" t="s">
        <v>1052</v>
      </c>
      <c r="I62" s="146" t="s">
        <v>134</v>
      </c>
      <c r="J62" s="147" t="s">
        <v>1053</v>
      </c>
      <c r="K62" s="144">
        <v>20038918</v>
      </c>
      <c r="L62" s="144" t="s">
        <v>198</v>
      </c>
      <c r="M62" s="151" t="str">
        <f t="shared" si="0"/>
        <v>EH2-SS_B</v>
      </c>
      <c r="N62" s="150" t="str">
        <f>LOOKUP(M62,'[2]Doc Set'!E:E,'[2]Doc Set'!F:F)</f>
        <v>_</v>
      </c>
      <c r="O62" s="151" t="s">
        <v>1042</v>
      </c>
      <c r="P62" s="150">
        <f>+LOOKUP(O62,'[2]Doc Set'!E:E,'[2]Doc Set'!G:G)</f>
        <v>43305</v>
      </c>
      <c r="Q62" s="144" t="str">
        <f t="shared" si="1"/>
        <v>EH2-SS_B</v>
      </c>
      <c r="R62" s="150">
        <f>+LOOKUP(Q62,'[2]Doc Set'!E:E,'[2]Doc Set'!H:H)</f>
        <v>43350</v>
      </c>
      <c r="S62" s="152" t="s">
        <v>200</v>
      </c>
    </row>
    <row r="63" spans="1:19" s="153" customFormat="1" x14ac:dyDescent="0.3">
      <c r="A63" s="144" t="s">
        <v>40</v>
      </c>
      <c r="B63" s="144" t="s">
        <v>190</v>
      </c>
      <c r="C63" s="144" t="s">
        <v>191</v>
      </c>
      <c r="D63" s="163" t="s">
        <v>65</v>
      </c>
      <c r="E63" s="144" t="s">
        <v>193</v>
      </c>
      <c r="F63" s="144" t="s">
        <v>609</v>
      </c>
      <c r="G63" s="144" t="s">
        <v>617</v>
      </c>
      <c r="H63" s="144" t="s">
        <v>1054</v>
      </c>
      <c r="I63" s="146" t="s">
        <v>51</v>
      </c>
      <c r="J63" s="147" t="s">
        <v>1055</v>
      </c>
      <c r="K63" s="144">
        <v>20038918</v>
      </c>
      <c r="L63" s="144" t="s">
        <v>198</v>
      </c>
      <c r="M63" s="151" t="str">
        <f t="shared" si="0"/>
        <v>EH2-SS_B</v>
      </c>
      <c r="N63" s="150" t="str">
        <f>LOOKUP(M63,'[2]Doc Set'!E:E,'[2]Doc Set'!F:F)</f>
        <v>_</v>
      </c>
      <c r="O63" s="151" t="s">
        <v>1042</v>
      </c>
      <c r="P63" s="150">
        <f>+LOOKUP(O63,'[2]Doc Set'!E:E,'[2]Doc Set'!G:G)</f>
        <v>43305</v>
      </c>
      <c r="Q63" s="144" t="str">
        <f t="shared" si="1"/>
        <v>EH2-SS_B</v>
      </c>
      <c r="R63" s="150">
        <f>+LOOKUP(Q63,'[2]Doc Set'!E:E,'[2]Doc Set'!H:H)</f>
        <v>43350</v>
      </c>
      <c r="S63" s="152" t="s">
        <v>200</v>
      </c>
    </row>
    <row r="64" spans="1:19" s="153" customFormat="1" x14ac:dyDescent="0.3">
      <c r="A64" s="144" t="s">
        <v>40</v>
      </c>
      <c r="B64" s="144" t="s">
        <v>190</v>
      </c>
      <c r="C64" s="144" t="s">
        <v>191</v>
      </c>
      <c r="D64" s="163" t="s">
        <v>65</v>
      </c>
      <c r="E64" s="144" t="s">
        <v>193</v>
      </c>
      <c r="F64" s="144" t="s">
        <v>609</v>
      </c>
      <c r="G64" s="144" t="s">
        <v>620</v>
      </c>
      <c r="H64" s="144" t="s">
        <v>1056</v>
      </c>
      <c r="I64" s="146" t="s">
        <v>128</v>
      </c>
      <c r="J64" s="147" t="s">
        <v>1057</v>
      </c>
      <c r="K64" s="144">
        <v>20038918</v>
      </c>
      <c r="L64" s="144" t="s">
        <v>198</v>
      </c>
      <c r="M64" s="151" t="str">
        <f t="shared" si="0"/>
        <v>EH2-SS_B</v>
      </c>
      <c r="N64" s="150" t="str">
        <f>LOOKUP(M64,'[2]Doc Set'!E:E,'[2]Doc Set'!F:F)</f>
        <v>_</v>
      </c>
      <c r="O64" s="151" t="s">
        <v>1042</v>
      </c>
      <c r="P64" s="150">
        <f>+LOOKUP(O64,'[2]Doc Set'!E:E,'[2]Doc Set'!G:G)</f>
        <v>43305</v>
      </c>
      <c r="Q64" s="144" t="str">
        <f t="shared" si="1"/>
        <v>EH2-SS_B</v>
      </c>
      <c r="R64" s="150">
        <f>+LOOKUP(Q64,'[2]Doc Set'!E:E,'[2]Doc Set'!H:H)</f>
        <v>43350</v>
      </c>
      <c r="S64" s="152" t="s">
        <v>200</v>
      </c>
    </row>
    <row r="65" spans="1:19" s="153" customFormat="1" x14ac:dyDescent="0.3">
      <c r="A65" s="144" t="s">
        <v>40</v>
      </c>
      <c r="B65" s="144" t="s">
        <v>190</v>
      </c>
      <c r="C65" s="144" t="s">
        <v>191</v>
      </c>
      <c r="D65" s="163" t="s">
        <v>65</v>
      </c>
      <c r="E65" s="144" t="s">
        <v>193</v>
      </c>
      <c r="F65" s="144" t="s">
        <v>609</v>
      </c>
      <c r="G65" s="144" t="s">
        <v>623</v>
      </c>
      <c r="H65" s="144" t="s">
        <v>1058</v>
      </c>
      <c r="I65" s="146" t="s">
        <v>128</v>
      </c>
      <c r="J65" s="147" t="s">
        <v>1059</v>
      </c>
      <c r="K65" s="144">
        <v>20038918</v>
      </c>
      <c r="L65" s="144" t="s">
        <v>198</v>
      </c>
      <c r="M65" s="151" t="str">
        <f t="shared" si="0"/>
        <v>EH2-SS_B</v>
      </c>
      <c r="N65" s="150" t="str">
        <f>LOOKUP(M65,'[2]Doc Set'!E:E,'[2]Doc Set'!F:F)</f>
        <v>_</v>
      </c>
      <c r="O65" s="151" t="s">
        <v>1042</v>
      </c>
      <c r="P65" s="150">
        <f>+LOOKUP(O65,'[2]Doc Set'!E:E,'[2]Doc Set'!G:G)</f>
        <v>43305</v>
      </c>
      <c r="Q65" s="144" t="str">
        <f t="shared" si="1"/>
        <v>EH2-SS_B</v>
      </c>
      <c r="R65" s="150">
        <f>+LOOKUP(Q65,'[2]Doc Set'!E:E,'[2]Doc Set'!H:H)</f>
        <v>43350</v>
      </c>
      <c r="S65" s="152" t="s">
        <v>200</v>
      </c>
    </row>
    <row r="66" spans="1:19" s="153" customFormat="1" x14ac:dyDescent="0.3">
      <c r="A66" s="144" t="s">
        <v>40</v>
      </c>
      <c r="B66" s="144" t="s">
        <v>190</v>
      </c>
      <c r="C66" s="144" t="s">
        <v>191</v>
      </c>
      <c r="D66" s="163" t="s">
        <v>65</v>
      </c>
      <c r="E66" s="144" t="s">
        <v>193</v>
      </c>
      <c r="F66" s="144" t="s">
        <v>609</v>
      </c>
      <c r="G66" s="144" t="s">
        <v>626</v>
      </c>
      <c r="H66" s="144" t="s">
        <v>1060</v>
      </c>
      <c r="I66" s="146" t="s">
        <v>128</v>
      </c>
      <c r="J66" s="147" t="s">
        <v>1061</v>
      </c>
      <c r="K66" s="144">
        <v>20038918</v>
      </c>
      <c r="L66" s="144" t="s">
        <v>198</v>
      </c>
      <c r="M66" s="151" t="str">
        <f t="shared" si="0"/>
        <v>EH2-SS_B</v>
      </c>
      <c r="N66" s="150" t="str">
        <f>LOOKUP(M66,'[2]Doc Set'!E:E,'[2]Doc Set'!F:F)</f>
        <v>_</v>
      </c>
      <c r="O66" s="151" t="s">
        <v>1042</v>
      </c>
      <c r="P66" s="150">
        <f>+LOOKUP(O66,'[2]Doc Set'!E:E,'[2]Doc Set'!G:G)</f>
        <v>43305</v>
      </c>
      <c r="Q66" s="144" t="str">
        <f t="shared" si="1"/>
        <v>EH2-SS_B</v>
      </c>
      <c r="R66" s="150">
        <f>+LOOKUP(Q66,'[2]Doc Set'!E:E,'[2]Doc Set'!H:H)</f>
        <v>43350</v>
      </c>
      <c r="S66" s="152" t="s">
        <v>200</v>
      </c>
    </row>
    <row r="67" spans="1:19" s="153" customFormat="1" ht="28.8" x14ac:dyDescent="0.3">
      <c r="A67" s="144" t="s">
        <v>40</v>
      </c>
      <c r="B67" s="144" t="s">
        <v>190</v>
      </c>
      <c r="C67" s="144" t="s">
        <v>191</v>
      </c>
      <c r="D67" s="163" t="s">
        <v>65</v>
      </c>
      <c r="E67" s="144" t="s">
        <v>193</v>
      </c>
      <c r="F67" s="144" t="s">
        <v>555</v>
      </c>
      <c r="G67" s="144" t="s">
        <v>53</v>
      </c>
      <c r="H67" s="144" t="s">
        <v>1062</v>
      </c>
      <c r="I67" s="164" t="s">
        <v>51</v>
      </c>
      <c r="J67" s="147" t="s">
        <v>1063</v>
      </c>
      <c r="K67" s="144">
        <v>20038918</v>
      </c>
      <c r="L67" s="144" t="s">
        <v>859</v>
      </c>
      <c r="M67" s="151" t="s">
        <v>1064</v>
      </c>
      <c r="N67" s="150">
        <f>LOOKUP(M67,'[2]Doc Set'!E:E,'[2]Doc Set'!F:F)</f>
        <v>43160</v>
      </c>
      <c r="O67" s="151" t="s">
        <v>1042</v>
      </c>
      <c r="P67" s="150">
        <f>+LOOKUP(O67,'[2]Doc Set'!E:E,'[2]Doc Set'!G:G)</f>
        <v>43305</v>
      </c>
      <c r="Q67" s="144" t="str">
        <f t="shared" ref="Q67:Q95" si="2">+O67</f>
        <v>EH2-SS_B</v>
      </c>
      <c r="R67" s="150">
        <f>+LOOKUP(Q67,'[2]Doc Set'!E:E,'[2]Doc Set'!H:H)</f>
        <v>43350</v>
      </c>
      <c r="S67" s="152" t="s">
        <v>200</v>
      </c>
    </row>
    <row r="68" spans="1:19" s="153" customFormat="1" ht="28.8" x14ac:dyDescent="0.3">
      <c r="A68" s="144" t="s">
        <v>40</v>
      </c>
      <c r="B68" s="144" t="s">
        <v>190</v>
      </c>
      <c r="C68" s="144" t="s">
        <v>191</v>
      </c>
      <c r="D68" s="163" t="s">
        <v>65</v>
      </c>
      <c r="E68" s="144" t="s">
        <v>193</v>
      </c>
      <c r="F68" s="144" t="s">
        <v>555</v>
      </c>
      <c r="G68" s="144" t="s">
        <v>561</v>
      </c>
      <c r="H68" s="144" t="s">
        <v>1065</v>
      </c>
      <c r="I68" s="164" t="s">
        <v>51</v>
      </c>
      <c r="J68" s="147" t="s">
        <v>1066</v>
      </c>
      <c r="K68" s="144">
        <v>20038918</v>
      </c>
      <c r="L68" s="144" t="s">
        <v>859</v>
      </c>
      <c r="M68" s="151" t="str">
        <f t="shared" ref="M68:M69" si="3">+O68</f>
        <v>EH2-SS_B</v>
      </c>
      <c r="N68" s="150" t="str">
        <f>LOOKUP(M68,'[2]Doc Set'!E:E,'[2]Doc Set'!F:F)</f>
        <v>_</v>
      </c>
      <c r="O68" s="151" t="s">
        <v>1042</v>
      </c>
      <c r="P68" s="150">
        <f>+LOOKUP(O68,'[2]Doc Set'!E:E,'[2]Doc Set'!G:G)</f>
        <v>43305</v>
      </c>
      <c r="Q68" s="144" t="str">
        <f t="shared" si="2"/>
        <v>EH2-SS_B</v>
      </c>
      <c r="R68" s="150">
        <f>+LOOKUP(Q68,'[2]Doc Set'!E:E,'[2]Doc Set'!H:H)</f>
        <v>43350</v>
      </c>
      <c r="S68" s="152" t="s">
        <v>200</v>
      </c>
    </row>
    <row r="69" spans="1:19" s="153" customFormat="1" x14ac:dyDescent="0.3">
      <c r="A69" s="144" t="s">
        <v>40</v>
      </c>
      <c r="B69" s="144" t="s">
        <v>190</v>
      </c>
      <c r="C69" s="144" t="s">
        <v>191</v>
      </c>
      <c r="D69" s="163" t="s">
        <v>65</v>
      </c>
      <c r="E69" s="144" t="s">
        <v>193</v>
      </c>
      <c r="F69" s="144" t="s">
        <v>555</v>
      </c>
      <c r="G69" s="144" t="s">
        <v>564</v>
      </c>
      <c r="H69" s="144" t="s">
        <v>1067</v>
      </c>
      <c r="I69" s="164" t="s">
        <v>51</v>
      </c>
      <c r="J69" s="147" t="s">
        <v>1068</v>
      </c>
      <c r="K69" s="144">
        <v>20038918</v>
      </c>
      <c r="L69" s="144" t="s">
        <v>859</v>
      </c>
      <c r="M69" s="151" t="str">
        <f t="shared" si="3"/>
        <v>EH2-SS_B</v>
      </c>
      <c r="N69" s="150" t="str">
        <f>LOOKUP(M69,'[2]Doc Set'!E:E,'[2]Doc Set'!F:F)</f>
        <v>_</v>
      </c>
      <c r="O69" s="151" t="s">
        <v>1042</v>
      </c>
      <c r="P69" s="150">
        <f>+LOOKUP(O69,'[2]Doc Set'!E:E,'[2]Doc Set'!G:G)</f>
        <v>43305</v>
      </c>
      <c r="Q69" s="144" t="str">
        <f t="shared" si="2"/>
        <v>EH2-SS_B</v>
      </c>
      <c r="R69" s="150">
        <f>+LOOKUP(Q69,'[2]Doc Set'!E:E,'[2]Doc Set'!H:H)</f>
        <v>43350</v>
      </c>
      <c r="S69" s="152" t="s">
        <v>200</v>
      </c>
    </row>
    <row r="70" spans="1:19" s="153" customFormat="1" x14ac:dyDescent="0.3">
      <c r="A70" s="144" t="s">
        <v>40</v>
      </c>
      <c r="B70" s="144" t="s">
        <v>190</v>
      </c>
      <c r="C70" s="144" t="s">
        <v>191</v>
      </c>
      <c r="D70" s="163" t="s">
        <v>65</v>
      </c>
      <c r="E70" s="144" t="s">
        <v>193</v>
      </c>
      <c r="F70" s="144" t="s">
        <v>555</v>
      </c>
      <c r="G70" s="144" t="s">
        <v>567</v>
      </c>
      <c r="H70" s="144" t="s">
        <v>1069</v>
      </c>
      <c r="I70" s="164" t="s">
        <v>51</v>
      </c>
      <c r="J70" s="147" t="s">
        <v>1070</v>
      </c>
      <c r="K70" s="144">
        <v>20038918</v>
      </c>
      <c r="L70" s="144" t="s">
        <v>859</v>
      </c>
      <c r="M70" s="151" t="s">
        <v>1064</v>
      </c>
      <c r="N70" s="150">
        <f>LOOKUP(M70,'[2]Doc Set'!E:E,'[2]Doc Set'!F:F)</f>
        <v>43160</v>
      </c>
      <c r="O70" s="151" t="s">
        <v>1042</v>
      </c>
      <c r="P70" s="150">
        <f>+LOOKUP(O70,'[2]Doc Set'!E:E,'[2]Doc Set'!G:G)</f>
        <v>43305</v>
      </c>
      <c r="Q70" s="144" t="str">
        <f t="shared" si="2"/>
        <v>EH2-SS_B</v>
      </c>
      <c r="R70" s="150">
        <f>+LOOKUP(Q70,'[2]Doc Set'!E:E,'[2]Doc Set'!H:H)</f>
        <v>43350</v>
      </c>
      <c r="S70" s="152" t="s">
        <v>200</v>
      </c>
    </row>
    <row r="71" spans="1:19" s="153" customFormat="1" x14ac:dyDescent="0.3">
      <c r="A71" s="144" t="s">
        <v>40</v>
      </c>
      <c r="B71" s="144" t="s">
        <v>190</v>
      </c>
      <c r="C71" s="144" t="s">
        <v>191</v>
      </c>
      <c r="D71" s="163" t="s">
        <v>65</v>
      </c>
      <c r="E71" s="144" t="s">
        <v>193</v>
      </c>
      <c r="F71" s="144" t="s">
        <v>555</v>
      </c>
      <c r="G71" s="144" t="s">
        <v>570</v>
      </c>
      <c r="H71" s="144" t="s">
        <v>1071</v>
      </c>
      <c r="I71" s="164" t="s">
        <v>51</v>
      </c>
      <c r="J71" s="147" t="s">
        <v>1072</v>
      </c>
      <c r="K71" s="144">
        <v>20038918</v>
      </c>
      <c r="L71" s="144" t="s">
        <v>859</v>
      </c>
      <c r="M71" s="151" t="s">
        <v>1064</v>
      </c>
      <c r="N71" s="150">
        <f>LOOKUP(M71,'[2]Doc Set'!E:E,'[2]Doc Set'!F:F)</f>
        <v>43160</v>
      </c>
      <c r="O71" s="151" t="s">
        <v>1042</v>
      </c>
      <c r="P71" s="150">
        <f>+LOOKUP(O71,'[2]Doc Set'!E:E,'[2]Doc Set'!G:G)</f>
        <v>43305</v>
      </c>
      <c r="Q71" s="144" t="str">
        <f t="shared" si="2"/>
        <v>EH2-SS_B</v>
      </c>
      <c r="R71" s="150">
        <f>+LOOKUP(Q71,'[2]Doc Set'!E:E,'[2]Doc Set'!H:H)</f>
        <v>43350</v>
      </c>
      <c r="S71" s="152" t="s">
        <v>200</v>
      </c>
    </row>
    <row r="72" spans="1:19" s="153" customFormat="1" x14ac:dyDescent="0.3">
      <c r="A72" s="144" t="s">
        <v>40</v>
      </c>
      <c r="B72" s="144" t="s">
        <v>190</v>
      </c>
      <c r="C72" s="144" t="s">
        <v>191</v>
      </c>
      <c r="D72" s="163" t="s">
        <v>65</v>
      </c>
      <c r="E72" s="144" t="s">
        <v>193</v>
      </c>
      <c r="F72" s="144" t="s">
        <v>555</v>
      </c>
      <c r="G72" s="144" t="s">
        <v>573</v>
      </c>
      <c r="H72" s="144" t="s">
        <v>1073</v>
      </c>
      <c r="I72" s="164" t="s">
        <v>51</v>
      </c>
      <c r="J72" s="147" t="s">
        <v>1074</v>
      </c>
      <c r="K72" s="144">
        <v>20038918</v>
      </c>
      <c r="L72" s="144" t="s">
        <v>859</v>
      </c>
      <c r="M72" s="151" t="str">
        <f t="shared" ref="M72:M95" si="4">+O72</f>
        <v>EH2-SS_B</v>
      </c>
      <c r="N72" s="150" t="str">
        <f>LOOKUP(M72,'[2]Doc Set'!E:E,'[2]Doc Set'!F:F)</f>
        <v>_</v>
      </c>
      <c r="O72" s="151" t="s">
        <v>1042</v>
      </c>
      <c r="P72" s="150">
        <f>+LOOKUP(O72,'[2]Doc Set'!E:E,'[2]Doc Set'!G:G)</f>
        <v>43305</v>
      </c>
      <c r="Q72" s="144" t="str">
        <f t="shared" si="2"/>
        <v>EH2-SS_B</v>
      </c>
      <c r="R72" s="150">
        <f>+LOOKUP(Q72,'[2]Doc Set'!E:E,'[2]Doc Set'!H:H)</f>
        <v>43350</v>
      </c>
      <c r="S72" s="152" t="s">
        <v>200</v>
      </c>
    </row>
    <row r="73" spans="1:19" s="153" customFormat="1" x14ac:dyDescent="0.3">
      <c r="A73" s="144" t="s">
        <v>40</v>
      </c>
      <c r="B73" s="144" t="s">
        <v>190</v>
      </c>
      <c r="C73" s="144" t="s">
        <v>191</v>
      </c>
      <c r="D73" s="163" t="s">
        <v>65</v>
      </c>
      <c r="E73" s="144" t="s">
        <v>193</v>
      </c>
      <c r="F73" s="144" t="s">
        <v>555</v>
      </c>
      <c r="G73" s="144" t="s">
        <v>576</v>
      </c>
      <c r="H73" s="144" t="s">
        <v>1075</v>
      </c>
      <c r="I73" s="164" t="s">
        <v>51</v>
      </c>
      <c r="J73" s="147" t="s">
        <v>1076</v>
      </c>
      <c r="K73" s="144">
        <v>20038918</v>
      </c>
      <c r="L73" s="144" t="s">
        <v>859</v>
      </c>
      <c r="M73" s="151" t="str">
        <f t="shared" si="4"/>
        <v>EH2-SS_B</v>
      </c>
      <c r="N73" s="150" t="str">
        <f>LOOKUP(M73,'[2]Doc Set'!E:E,'[2]Doc Set'!F:F)</f>
        <v>_</v>
      </c>
      <c r="O73" s="151" t="s">
        <v>1042</v>
      </c>
      <c r="P73" s="150">
        <f>+LOOKUP(O73,'[2]Doc Set'!E:E,'[2]Doc Set'!G:G)</f>
        <v>43305</v>
      </c>
      <c r="Q73" s="144" t="str">
        <f t="shared" si="2"/>
        <v>EH2-SS_B</v>
      </c>
      <c r="R73" s="150">
        <f>+LOOKUP(Q73,'[2]Doc Set'!E:E,'[2]Doc Set'!H:H)</f>
        <v>43350</v>
      </c>
      <c r="S73" s="152" t="s">
        <v>200</v>
      </c>
    </row>
    <row r="74" spans="1:19" x14ac:dyDescent="0.3">
      <c r="A74" s="55" t="s">
        <v>40</v>
      </c>
      <c r="B74" s="55" t="s">
        <v>190</v>
      </c>
      <c r="C74" s="55" t="s">
        <v>191</v>
      </c>
      <c r="D74" s="162" t="s">
        <v>65</v>
      </c>
      <c r="E74" s="55" t="s">
        <v>193</v>
      </c>
      <c r="F74" s="55" t="s">
        <v>663</v>
      </c>
      <c r="G74" s="55" t="s">
        <v>1077</v>
      </c>
      <c r="H74" s="55" t="s">
        <v>1078</v>
      </c>
      <c r="I74" s="154" t="s">
        <v>134</v>
      </c>
      <c r="J74" s="147" t="s">
        <v>879</v>
      </c>
      <c r="K74" s="55">
        <v>20038918</v>
      </c>
      <c r="L74" s="55" t="s">
        <v>198</v>
      </c>
      <c r="M74" s="141" t="str">
        <f t="shared" si="4"/>
        <v>EH2-INT_D</v>
      </c>
      <c r="N74" s="142" t="str">
        <f>LOOKUP(M74,'[2]Doc Set'!E:E,'[2]Doc Set'!F:F)</f>
        <v>_</v>
      </c>
      <c r="O74" s="141" t="s">
        <v>931</v>
      </c>
      <c r="P74" s="142">
        <f>+LOOKUP(O74,'[2]Doc Set'!E:E,'[2]Doc Set'!G:G)</f>
        <v>43500</v>
      </c>
      <c r="Q74" s="55" t="str">
        <f t="shared" si="2"/>
        <v>EH2-INT_D</v>
      </c>
      <c r="R74" s="142">
        <f>+LOOKUP(Q74,'[2]Doc Set'!E:E,'[2]Doc Set'!H:H)</f>
        <v>43528</v>
      </c>
      <c r="S74" s="143" t="s">
        <v>200</v>
      </c>
    </row>
    <row r="75" spans="1:19" x14ac:dyDescent="0.3">
      <c r="A75" s="55" t="s">
        <v>40</v>
      </c>
      <c r="B75" s="55" t="s">
        <v>190</v>
      </c>
      <c r="C75" s="55" t="s">
        <v>191</v>
      </c>
      <c r="D75" s="162" t="s">
        <v>65</v>
      </c>
      <c r="E75" s="55" t="s">
        <v>193</v>
      </c>
      <c r="F75" s="55" t="s">
        <v>663</v>
      </c>
      <c r="G75" s="55" t="s">
        <v>1079</v>
      </c>
      <c r="H75" s="55" t="s">
        <v>1080</v>
      </c>
      <c r="I75" s="154" t="s">
        <v>134</v>
      </c>
      <c r="J75" s="159" t="s">
        <v>881</v>
      </c>
      <c r="K75" s="55">
        <v>20038918</v>
      </c>
      <c r="L75" s="55" t="s">
        <v>198</v>
      </c>
      <c r="M75" s="141" t="str">
        <f t="shared" si="4"/>
        <v>EH2-INT_D</v>
      </c>
      <c r="N75" s="142" t="str">
        <f>LOOKUP(M75,'[2]Doc Set'!E:E,'[2]Doc Set'!F:F)</f>
        <v>_</v>
      </c>
      <c r="O75" s="141" t="s">
        <v>931</v>
      </c>
      <c r="P75" s="142">
        <f>+LOOKUP(O75,'[2]Doc Set'!E:E,'[2]Doc Set'!G:G)</f>
        <v>43500</v>
      </c>
      <c r="Q75" s="55" t="str">
        <f t="shared" si="2"/>
        <v>EH2-INT_D</v>
      </c>
      <c r="R75" s="142">
        <f>+LOOKUP(Q75,'[2]Doc Set'!E:E,'[2]Doc Set'!H:H)</f>
        <v>43528</v>
      </c>
      <c r="S75" s="143" t="s">
        <v>200</v>
      </c>
    </row>
    <row r="76" spans="1:19" x14ac:dyDescent="0.3">
      <c r="A76" s="55" t="s">
        <v>40</v>
      </c>
      <c r="B76" s="55" t="s">
        <v>190</v>
      </c>
      <c r="C76" s="55" t="s">
        <v>191</v>
      </c>
      <c r="D76" s="162" t="s">
        <v>65</v>
      </c>
      <c r="E76" s="55" t="s">
        <v>193</v>
      </c>
      <c r="F76" s="55" t="s">
        <v>663</v>
      </c>
      <c r="G76" s="55" t="s">
        <v>1081</v>
      </c>
      <c r="H76" s="55" t="s">
        <v>1082</v>
      </c>
      <c r="I76" s="154" t="s">
        <v>134</v>
      </c>
      <c r="J76" s="159" t="s">
        <v>883</v>
      </c>
      <c r="K76" s="55">
        <v>20038918</v>
      </c>
      <c r="L76" s="55" t="s">
        <v>198</v>
      </c>
      <c r="M76" s="141" t="str">
        <f t="shared" si="4"/>
        <v>EH2-INT_D</v>
      </c>
      <c r="N76" s="142" t="str">
        <f>LOOKUP(M76,'[2]Doc Set'!E:E,'[2]Doc Set'!F:F)</f>
        <v>_</v>
      </c>
      <c r="O76" s="141" t="s">
        <v>931</v>
      </c>
      <c r="P76" s="142">
        <f>+LOOKUP(O76,'[2]Doc Set'!E:E,'[2]Doc Set'!G:G)</f>
        <v>43500</v>
      </c>
      <c r="Q76" s="55" t="str">
        <f t="shared" si="2"/>
        <v>EH2-INT_D</v>
      </c>
      <c r="R76" s="142">
        <f>+LOOKUP(Q76,'[2]Doc Set'!E:E,'[2]Doc Set'!H:H)</f>
        <v>43528</v>
      </c>
      <c r="S76" s="143" t="s">
        <v>200</v>
      </c>
    </row>
    <row r="77" spans="1:19" x14ac:dyDescent="0.3">
      <c r="A77" s="55" t="s">
        <v>40</v>
      </c>
      <c r="B77" s="55" t="s">
        <v>190</v>
      </c>
      <c r="C77" s="55" t="s">
        <v>191</v>
      </c>
      <c r="D77" s="162" t="s">
        <v>65</v>
      </c>
      <c r="E77" s="55" t="s">
        <v>193</v>
      </c>
      <c r="F77" s="55" t="s">
        <v>663</v>
      </c>
      <c r="G77" s="55" t="s">
        <v>676</v>
      </c>
      <c r="H77" s="55" t="s">
        <v>1083</v>
      </c>
      <c r="I77" s="154" t="s">
        <v>134</v>
      </c>
      <c r="J77" s="159" t="s">
        <v>885</v>
      </c>
      <c r="K77" s="55">
        <v>20038918</v>
      </c>
      <c r="L77" s="55" t="s">
        <v>198</v>
      </c>
      <c r="M77" s="141" t="str">
        <f t="shared" si="4"/>
        <v>EH2-INT_D</v>
      </c>
      <c r="N77" s="142" t="str">
        <f>LOOKUP(M77,'[2]Doc Set'!E:E,'[2]Doc Set'!F:F)</f>
        <v>_</v>
      </c>
      <c r="O77" s="141" t="s">
        <v>931</v>
      </c>
      <c r="P77" s="142">
        <f>+LOOKUP(O77,'[2]Doc Set'!E:E,'[2]Doc Set'!G:G)</f>
        <v>43500</v>
      </c>
      <c r="Q77" s="55" t="str">
        <f t="shared" si="2"/>
        <v>EH2-INT_D</v>
      </c>
      <c r="R77" s="142">
        <f>+LOOKUP(Q77,'[2]Doc Set'!E:E,'[2]Doc Set'!H:H)</f>
        <v>43528</v>
      </c>
      <c r="S77" s="143" t="s">
        <v>200</v>
      </c>
    </row>
    <row r="78" spans="1:19" x14ac:dyDescent="0.3">
      <c r="A78" s="55" t="s">
        <v>40</v>
      </c>
      <c r="B78" s="55" t="s">
        <v>190</v>
      </c>
      <c r="C78" s="55" t="s">
        <v>191</v>
      </c>
      <c r="D78" s="162" t="s">
        <v>65</v>
      </c>
      <c r="E78" s="55" t="s">
        <v>193</v>
      </c>
      <c r="F78" s="55" t="s">
        <v>663</v>
      </c>
      <c r="G78" s="55" t="s">
        <v>679</v>
      </c>
      <c r="H78" s="55" t="s">
        <v>1084</v>
      </c>
      <c r="I78" s="154" t="s">
        <v>134</v>
      </c>
      <c r="J78" s="159" t="s">
        <v>887</v>
      </c>
      <c r="K78" s="55">
        <v>20038918</v>
      </c>
      <c r="L78" s="55" t="s">
        <v>198</v>
      </c>
      <c r="M78" s="141" t="str">
        <f t="shared" si="4"/>
        <v>EH2-INT_D</v>
      </c>
      <c r="N78" s="142" t="str">
        <f>LOOKUP(M78,'[2]Doc Set'!E:E,'[2]Doc Set'!F:F)</f>
        <v>_</v>
      </c>
      <c r="O78" s="141" t="s">
        <v>931</v>
      </c>
      <c r="P78" s="142">
        <f>+LOOKUP(O78,'[2]Doc Set'!E:E,'[2]Doc Set'!G:G)</f>
        <v>43500</v>
      </c>
      <c r="Q78" s="55" t="str">
        <f t="shared" si="2"/>
        <v>EH2-INT_D</v>
      </c>
      <c r="R78" s="142">
        <f>+LOOKUP(Q78,'[2]Doc Set'!E:E,'[2]Doc Set'!H:H)</f>
        <v>43528</v>
      </c>
      <c r="S78" s="143" t="s">
        <v>200</v>
      </c>
    </row>
    <row r="79" spans="1:19" x14ac:dyDescent="0.3">
      <c r="A79" s="55" t="s">
        <v>40</v>
      </c>
      <c r="B79" s="55" t="s">
        <v>190</v>
      </c>
      <c r="C79" s="55" t="s">
        <v>191</v>
      </c>
      <c r="D79" s="162" t="s">
        <v>65</v>
      </c>
      <c r="E79" s="55" t="s">
        <v>193</v>
      </c>
      <c r="F79" s="55" t="s">
        <v>663</v>
      </c>
      <c r="G79" s="55" t="s">
        <v>682</v>
      </c>
      <c r="H79" s="55" t="s">
        <v>1085</v>
      </c>
      <c r="I79" s="154" t="s">
        <v>134</v>
      </c>
      <c r="J79" s="159" t="s">
        <v>889</v>
      </c>
      <c r="K79" s="55">
        <v>20038918</v>
      </c>
      <c r="L79" s="55" t="s">
        <v>198</v>
      </c>
      <c r="M79" s="141" t="str">
        <f t="shared" si="4"/>
        <v>EH2-INT_D</v>
      </c>
      <c r="N79" s="142" t="str">
        <f>LOOKUP(M79,'[2]Doc Set'!E:E,'[2]Doc Set'!F:F)</f>
        <v>_</v>
      </c>
      <c r="O79" s="141" t="s">
        <v>931</v>
      </c>
      <c r="P79" s="142">
        <f>+LOOKUP(O79,'[2]Doc Set'!E:E,'[2]Doc Set'!G:G)</f>
        <v>43500</v>
      </c>
      <c r="Q79" s="55" t="str">
        <f t="shared" si="2"/>
        <v>EH2-INT_D</v>
      </c>
      <c r="R79" s="142">
        <f>+LOOKUP(Q79,'[2]Doc Set'!E:E,'[2]Doc Set'!H:H)</f>
        <v>43528</v>
      </c>
      <c r="S79" s="143" t="s">
        <v>200</v>
      </c>
    </row>
    <row r="80" spans="1:19" x14ac:dyDescent="0.3">
      <c r="A80" s="55" t="s">
        <v>40</v>
      </c>
      <c r="B80" s="55" t="s">
        <v>190</v>
      </c>
      <c r="C80" s="55" t="s">
        <v>191</v>
      </c>
      <c r="D80" s="162" t="s">
        <v>65</v>
      </c>
      <c r="E80" s="55" t="s">
        <v>193</v>
      </c>
      <c r="F80" s="55" t="s">
        <v>194</v>
      </c>
      <c r="G80" s="55" t="s">
        <v>364</v>
      </c>
      <c r="H80" s="55" t="s">
        <v>1086</v>
      </c>
      <c r="I80" s="139" t="s">
        <v>51</v>
      </c>
      <c r="J80" s="159" t="s">
        <v>1087</v>
      </c>
      <c r="K80" s="55">
        <v>20038918</v>
      </c>
      <c r="L80" s="55" t="s">
        <v>198</v>
      </c>
      <c r="M80" s="141" t="str">
        <f t="shared" si="4"/>
        <v>EH2-INT_D</v>
      </c>
      <c r="N80" s="142" t="str">
        <f>LOOKUP(M80,'[2]Doc Set'!E:E,'[2]Doc Set'!F:F)</f>
        <v>_</v>
      </c>
      <c r="O80" s="141" t="s">
        <v>931</v>
      </c>
      <c r="P80" s="142">
        <f>+LOOKUP(O80,'[2]Doc Set'!E:E,'[2]Doc Set'!G:G)</f>
        <v>43500</v>
      </c>
      <c r="Q80" s="55" t="str">
        <f t="shared" si="2"/>
        <v>EH2-INT_D</v>
      </c>
      <c r="R80" s="142">
        <f>+LOOKUP(Q80,'[2]Doc Set'!E:E,'[2]Doc Set'!H:H)</f>
        <v>43528</v>
      </c>
      <c r="S80" s="143" t="s">
        <v>200</v>
      </c>
    </row>
    <row r="81" spans="1:19" x14ac:dyDescent="0.3">
      <c r="A81" s="55" t="s">
        <v>40</v>
      </c>
      <c r="B81" s="55" t="s">
        <v>190</v>
      </c>
      <c r="C81" s="55" t="s">
        <v>191</v>
      </c>
      <c r="D81" s="162" t="s">
        <v>65</v>
      </c>
      <c r="E81" s="55" t="s">
        <v>193</v>
      </c>
      <c r="F81" s="55" t="s">
        <v>194</v>
      </c>
      <c r="G81" s="55" t="s">
        <v>892</v>
      </c>
      <c r="H81" s="55" t="s">
        <v>1088</v>
      </c>
      <c r="I81" s="139" t="s">
        <v>51</v>
      </c>
      <c r="J81" s="159" t="s">
        <v>1089</v>
      </c>
      <c r="K81" s="55">
        <v>20038918</v>
      </c>
      <c r="L81" s="55" t="s">
        <v>198</v>
      </c>
      <c r="M81" s="141" t="str">
        <f t="shared" si="4"/>
        <v>EH2-INT_D</v>
      </c>
      <c r="N81" s="142" t="str">
        <f>LOOKUP(M81,'[2]Doc Set'!E:E,'[2]Doc Set'!F:F)</f>
        <v>_</v>
      </c>
      <c r="O81" s="141" t="s">
        <v>931</v>
      </c>
      <c r="P81" s="142">
        <f>+LOOKUP(O81,'[2]Doc Set'!E:E,'[2]Doc Set'!G:G)</f>
        <v>43500</v>
      </c>
      <c r="Q81" s="55" t="str">
        <f t="shared" si="2"/>
        <v>EH2-INT_D</v>
      </c>
      <c r="R81" s="142">
        <f>+LOOKUP(Q81,'[2]Doc Set'!E:E,'[2]Doc Set'!H:H)</f>
        <v>43528</v>
      </c>
      <c r="S81" s="143" t="s">
        <v>200</v>
      </c>
    </row>
    <row r="82" spans="1:19" x14ac:dyDescent="0.3">
      <c r="A82" s="55" t="s">
        <v>40</v>
      </c>
      <c r="B82" s="55" t="s">
        <v>190</v>
      </c>
      <c r="C82" s="55" t="s">
        <v>191</v>
      </c>
      <c r="D82" s="162" t="s">
        <v>65</v>
      </c>
      <c r="E82" s="55" t="s">
        <v>193</v>
      </c>
      <c r="F82" s="55" t="s">
        <v>194</v>
      </c>
      <c r="G82" s="55" t="s">
        <v>895</v>
      </c>
      <c r="H82" s="55" t="s">
        <v>1090</v>
      </c>
      <c r="I82" s="139" t="s">
        <v>51</v>
      </c>
      <c r="J82" s="159" t="s">
        <v>1091</v>
      </c>
      <c r="K82" s="55">
        <v>20038918</v>
      </c>
      <c r="L82" s="55" t="s">
        <v>198</v>
      </c>
      <c r="M82" s="141" t="str">
        <f t="shared" si="4"/>
        <v>EH2-INT_D</v>
      </c>
      <c r="N82" s="142" t="str">
        <f>LOOKUP(M82,'[2]Doc Set'!E:E,'[2]Doc Set'!F:F)</f>
        <v>_</v>
      </c>
      <c r="O82" s="141" t="s">
        <v>931</v>
      </c>
      <c r="P82" s="142">
        <f>+LOOKUP(O82,'[2]Doc Set'!E:E,'[2]Doc Set'!G:G)</f>
        <v>43500</v>
      </c>
      <c r="Q82" s="55" t="str">
        <f t="shared" si="2"/>
        <v>EH2-INT_D</v>
      </c>
      <c r="R82" s="142">
        <f>+LOOKUP(Q82,'[2]Doc Set'!E:E,'[2]Doc Set'!H:H)</f>
        <v>43528</v>
      </c>
      <c r="S82" s="143" t="s">
        <v>200</v>
      </c>
    </row>
    <row r="83" spans="1:19" x14ac:dyDescent="0.3">
      <c r="A83" s="55" t="s">
        <v>40</v>
      </c>
      <c r="B83" s="55" t="s">
        <v>190</v>
      </c>
      <c r="C83" s="55" t="s">
        <v>191</v>
      </c>
      <c r="D83" s="162" t="s">
        <v>65</v>
      </c>
      <c r="E83" s="55" t="s">
        <v>193</v>
      </c>
      <c r="F83" s="55" t="s">
        <v>194</v>
      </c>
      <c r="G83" s="55" t="s">
        <v>385</v>
      </c>
      <c r="H83" s="55" t="s">
        <v>1092</v>
      </c>
      <c r="I83" s="139" t="s">
        <v>51</v>
      </c>
      <c r="J83" s="159" t="s">
        <v>1093</v>
      </c>
      <c r="K83" s="55">
        <v>20038918</v>
      </c>
      <c r="L83" s="55" t="s">
        <v>198</v>
      </c>
      <c r="M83" s="141" t="str">
        <f t="shared" si="4"/>
        <v>EH2-INT_D</v>
      </c>
      <c r="N83" s="142" t="str">
        <f>LOOKUP(M83,'[2]Doc Set'!E:E,'[2]Doc Set'!F:F)</f>
        <v>_</v>
      </c>
      <c r="O83" s="141" t="s">
        <v>931</v>
      </c>
      <c r="P83" s="142">
        <f>+LOOKUP(O83,'[2]Doc Set'!E:E,'[2]Doc Set'!G:G)</f>
        <v>43500</v>
      </c>
      <c r="Q83" s="55" t="str">
        <f t="shared" si="2"/>
        <v>EH2-INT_D</v>
      </c>
      <c r="R83" s="142">
        <f>+LOOKUP(Q83,'[2]Doc Set'!E:E,'[2]Doc Set'!H:H)</f>
        <v>43528</v>
      </c>
      <c r="S83" s="143" t="s">
        <v>200</v>
      </c>
    </row>
    <row r="84" spans="1:19" x14ac:dyDescent="0.3">
      <c r="A84" s="55" t="s">
        <v>40</v>
      </c>
      <c r="B84" s="55" t="s">
        <v>190</v>
      </c>
      <c r="C84" s="55" t="s">
        <v>191</v>
      </c>
      <c r="D84" s="162" t="s">
        <v>65</v>
      </c>
      <c r="E84" s="55" t="s">
        <v>193</v>
      </c>
      <c r="F84" s="55" t="s">
        <v>194</v>
      </c>
      <c r="G84" s="55" t="s">
        <v>900</v>
      </c>
      <c r="H84" s="55" t="s">
        <v>1094</v>
      </c>
      <c r="I84" s="139" t="s">
        <v>51</v>
      </c>
      <c r="J84" s="159" t="s">
        <v>1095</v>
      </c>
      <c r="K84" s="55">
        <v>20038918</v>
      </c>
      <c r="L84" s="55" t="s">
        <v>198</v>
      </c>
      <c r="M84" s="141" t="str">
        <f t="shared" si="4"/>
        <v>EH2-INT_D</v>
      </c>
      <c r="N84" s="142" t="str">
        <f>LOOKUP(M84,'[2]Doc Set'!E:E,'[2]Doc Set'!F:F)</f>
        <v>_</v>
      </c>
      <c r="O84" s="141" t="s">
        <v>931</v>
      </c>
      <c r="P84" s="142">
        <f>+LOOKUP(O84,'[2]Doc Set'!E:E,'[2]Doc Set'!G:G)</f>
        <v>43500</v>
      </c>
      <c r="Q84" s="55" t="str">
        <f t="shared" si="2"/>
        <v>EH2-INT_D</v>
      </c>
      <c r="R84" s="142">
        <f>+LOOKUP(Q84,'[2]Doc Set'!E:E,'[2]Doc Set'!H:H)</f>
        <v>43528</v>
      </c>
      <c r="S84" s="143" t="s">
        <v>200</v>
      </c>
    </row>
    <row r="85" spans="1:19" x14ac:dyDescent="0.3">
      <c r="A85" s="55" t="s">
        <v>40</v>
      </c>
      <c r="B85" s="55" t="s">
        <v>190</v>
      </c>
      <c r="C85" s="55" t="s">
        <v>191</v>
      </c>
      <c r="D85" s="162" t="s">
        <v>65</v>
      </c>
      <c r="E85" s="55" t="s">
        <v>193</v>
      </c>
      <c r="F85" s="55" t="s">
        <v>194</v>
      </c>
      <c r="G85" s="55" t="s">
        <v>903</v>
      </c>
      <c r="H85" s="55" t="s">
        <v>1096</v>
      </c>
      <c r="I85" s="139" t="s">
        <v>51</v>
      </c>
      <c r="J85" s="159" t="s">
        <v>1097</v>
      </c>
      <c r="K85" s="55">
        <v>20038918</v>
      </c>
      <c r="L85" s="55" t="s">
        <v>198</v>
      </c>
      <c r="M85" s="141" t="str">
        <f t="shared" si="4"/>
        <v>EH2-INT_D</v>
      </c>
      <c r="N85" s="142" t="str">
        <f>LOOKUP(M85,'[2]Doc Set'!E:E,'[2]Doc Set'!F:F)</f>
        <v>_</v>
      </c>
      <c r="O85" s="141" t="s">
        <v>931</v>
      </c>
      <c r="P85" s="142">
        <f>+LOOKUP(O85,'[2]Doc Set'!E:E,'[2]Doc Set'!G:G)</f>
        <v>43500</v>
      </c>
      <c r="Q85" s="55" t="str">
        <f t="shared" si="2"/>
        <v>EH2-INT_D</v>
      </c>
      <c r="R85" s="142">
        <f>+LOOKUP(Q85,'[2]Doc Set'!E:E,'[2]Doc Set'!H:H)</f>
        <v>43528</v>
      </c>
      <c r="S85" s="143" t="s">
        <v>200</v>
      </c>
    </row>
    <row r="86" spans="1:19" x14ac:dyDescent="0.3">
      <c r="A86" s="55" t="s">
        <v>40</v>
      </c>
      <c r="B86" s="55" t="s">
        <v>190</v>
      </c>
      <c r="C86" s="55" t="s">
        <v>191</v>
      </c>
      <c r="D86" s="162" t="s">
        <v>65</v>
      </c>
      <c r="E86" s="55" t="s">
        <v>193</v>
      </c>
      <c r="F86" s="55" t="s">
        <v>194</v>
      </c>
      <c r="G86" s="55" t="s">
        <v>406</v>
      </c>
      <c r="H86" s="55" t="s">
        <v>1098</v>
      </c>
      <c r="I86" s="139" t="s">
        <v>51</v>
      </c>
      <c r="J86" s="159" t="s">
        <v>1099</v>
      </c>
      <c r="K86" s="55">
        <v>20038918</v>
      </c>
      <c r="L86" s="55" t="s">
        <v>198</v>
      </c>
      <c r="M86" s="141" t="str">
        <f t="shared" si="4"/>
        <v>EH2-INT_D</v>
      </c>
      <c r="N86" s="142" t="str">
        <f>LOOKUP(M86,'[2]Doc Set'!E:E,'[2]Doc Set'!F:F)</f>
        <v>_</v>
      </c>
      <c r="O86" s="141" t="s">
        <v>931</v>
      </c>
      <c r="P86" s="142">
        <f>+LOOKUP(O86,'[2]Doc Set'!E:E,'[2]Doc Set'!G:G)</f>
        <v>43500</v>
      </c>
      <c r="Q86" s="55" t="str">
        <f t="shared" si="2"/>
        <v>EH2-INT_D</v>
      </c>
      <c r="R86" s="142">
        <f>+LOOKUP(Q86,'[2]Doc Set'!E:E,'[2]Doc Set'!H:H)</f>
        <v>43528</v>
      </c>
      <c r="S86" s="143" t="s">
        <v>200</v>
      </c>
    </row>
    <row r="87" spans="1:19" x14ac:dyDescent="0.3">
      <c r="A87" s="55" t="s">
        <v>40</v>
      </c>
      <c r="B87" s="55" t="s">
        <v>190</v>
      </c>
      <c r="C87" s="55" t="s">
        <v>191</v>
      </c>
      <c r="D87" s="162" t="s">
        <v>65</v>
      </c>
      <c r="E87" s="55" t="s">
        <v>193</v>
      </c>
      <c r="F87" s="55" t="s">
        <v>194</v>
      </c>
      <c r="G87" s="55" t="s">
        <v>908</v>
      </c>
      <c r="H87" s="55" t="s">
        <v>1100</v>
      </c>
      <c r="I87" s="139" t="s">
        <v>51</v>
      </c>
      <c r="J87" s="159" t="s">
        <v>1101</v>
      </c>
      <c r="K87" s="55">
        <v>20038918</v>
      </c>
      <c r="L87" s="55" t="s">
        <v>198</v>
      </c>
      <c r="M87" s="141" t="str">
        <f t="shared" si="4"/>
        <v>EH2-INT_D</v>
      </c>
      <c r="N87" s="142" t="str">
        <f>LOOKUP(M87,'[2]Doc Set'!E:E,'[2]Doc Set'!F:F)</f>
        <v>_</v>
      </c>
      <c r="O87" s="141" t="s">
        <v>931</v>
      </c>
      <c r="P87" s="142">
        <f>+LOOKUP(O87,'[2]Doc Set'!E:E,'[2]Doc Set'!G:G)</f>
        <v>43500</v>
      </c>
      <c r="Q87" s="55" t="str">
        <f t="shared" si="2"/>
        <v>EH2-INT_D</v>
      </c>
      <c r="R87" s="142">
        <f>+LOOKUP(Q87,'[2]Doc Set'!E:E,'[2]Doc Set'!H:H)</f>
        <v>43528</v>
      </c>
      <c r="S87" s="143" t="s">
        <v>200</v>
      </c>
    </row>
    <row r="88" spans="1:19" x14ac:dyDescent="0.3">
      <c r="A88" s="55" t="s">
        <v>40</v>
      </c>
      <c r="B88" s="55" t="s">
        <v>190</v>
      </c>
      <c r="C88" s="55" t="s">
        <v>191</v>
      </c>
      <c r="D88" s="162" t="s">
        <v>65</v>
      </c>
      <c r="E88" s="55" t="s">
        <v>193</v>
      </c>
      <c r="F88" s="55" t="s">
        <v>194</v>
      </c>
      <c r="G88" s="55" t="s">
        <v>911</v>
      </c>
      <c r="H88" s="55" t="s">
        <v>1102</v>
      </c>
      <c r="I88" s="139" t="s">
        <v>51</v>
      </c>
      <c r="J88" s="159" t="s">
        <v>1103</v>
      </c>
      <c r="K88" s="55">
        <v>20038918</v>
      </c>
      <c r="L88" s="55" t="s">
        <v>198</v>
      </c>
      <c r="M88" s="141" t="str">
        <f t="shared" si="4"/>
        <v>EH2-INT_D</v>
      </c>
      <c r="N88" s="142" t="str">
        <f>LOOKUP(M88,'[2]Doc Set'!E:E,'[2]Doc Set'!F:F)</f>
        <v>_</v>
      </c>
      <c r="O88" s="141" t="s">
        <v>931</v>
      </c>
      <c r="P88" s="142">
        <f>+LOOKUP(O88,'[2]Doc Set'!E:E,'[2]Doc Set'!G:G)</f>
        <v>43500</v>
      </c>
      <c r="Q88" s="55" t="str">
        <f t="shared" si="2"/>
        <v>EH2-INT_D</v>
      </c>
      <c r="R88" s="142">
        <f>+LOOKUP(Q88,'[2]Doc Set'!E:E,'[2]Doc Set'!H:H)</f>
        <v>43528</v>
      </c>
      <c r="S88" s="143" t="s">
        <v>200</v>
      </c>
    </row>
    <row r="89" spans="1:19" x14ac:dyDescent="0.3">
      <c r="A89" s="55" t="s">
        <v>40</v>
      </c>
      <c r="B89" s="55" t="s">
        <v>190</v>
      </c>
      <c r="C89" s="55" t="s">
        <v>191</v>
      </c>
      <c r="D89" s="162" t="s">
        <v>65</v>
      </c>
      <c r="E89" s="55" t="s">
        <v>193</v>
      </c>
      <c r="F89" s="55" t="s">
        <v>194</v>
      </c>
      <c r="G89" s="55" t="s">
        <v>506</v>
      </c>
      <c r="H89" s="55" t="s">
        <v>1104</v>
      </c>
      <c r="I89" s="139" t="s">
        <v>51</v>
      </c>
      <c r="J89" s="159" t="s">
        <v>1105</v>
      </c>
      <c r="K89" s="55">
        <v>20038918</v>
      </c>
      <c r="L89" s="55" t="s">
        <v>198</v>
      </c>
      <c r="M89" s="141" t="str">
        <f t="shared" si="4"/>
        <v>EH2-INT_D</v>
      </c>
      <c r="N89" s="142" t="str">
        <f>LOOKUP(M89,'[2]Doc Set'!E:E,'[2]Doc Set'!F:F)</f>
        <v>_</v>
      </c>
      <c r="O89" s="141" t="s">
        <v>931</v>
      </c>
      <c r="P89" s="142">
        <f>+LOOKUP(O89,'[2]Doc Set'!E:E,'[2]Doc Set'!G:G)</f>
        <v>43500</v>
      </c>
      <c r="Q89" s="55" t="str">
        <f t="shared" si="2"/>
        <v>EH2-INT_D</v>
      </c>
      <c r="R89" s="142">
        <f>+LOOKUP(Q89,'[2]Doc Set'!E:E,'[2]Doc Set'!H:H)</f>
        <v>43528</v>
      </c>
      <c r="S89" s="143" t="s">
        <v>200</v>
      </c>
    </row>
    <row r="90" spans="1:19" x14ac:dyDescent="0.3">
      <c r="A90" s="55" t="s">
        <v>40</v>
      </c>
      <c r="B90" s="55" t="s">
        <v>190</v>
      </c>
      <c r="C90" s="55" t="s">
        <v>191</v>
      </c>
      <c r="D90" s="162" t="s">
        <v>65</v>
      </c>
      <c r="E90" s="55" t="s">
        <v>193</v>
      </c>
      <c r="F90" s="55" t="s">
        <v>194</v>
      </c>
      <c r="G90" s="55" t="s">
        <v>509</v>
      </c>
      <c r="H90" s="55" t="s">
        <v>1106</v>
      </c>
      <c r="I90" s="139" t="s">
        <v>51</v>
      </c>
      <c r="J90" s="159" t="s">
        <v>1107</v>
      </c>
      <c r="K90" s="55">
        <v>20038918</v>
      </c>
      <c r="L90" s="55" t="s">
        <v>198</v>
      </c>
      <c r="M90" s="141" t="str">
        <f t="shared" si="4"/>
        <v>EH2-INT_D</v>
      </c>
      <c r="N90" s="142" t="str">
        <f>LOOKUP(M90,'[2]Doc Set'!E:E,'[2]Doc Set'!F:F)</f>
        <v>_</v>
      </c>
      <c r="O90" s="141" t="s">
        <v>931</v>
      </c>
      <c r="P90" s="142">
        <f>+LOOKUP(O90,'[2]Doc Set'!E:E,'[2]Doc Set'!G:G)</f>
        <v>43500</v>
      </c>
      <c r="Q90" s="55" t="str">
        <f t="shared" si="2"/>
        <v>EH2-INT_D</v>
      </c>
      <c r="R90" s="142">
        <f>+LOOKUP(Q90,'[2]Doc Set'!E:E,'[2]Doc Set'!H:H)</f>
        <v>43528</v>
      </c>
      <c r="S90" s="143" t="s">
        <v>200</v>
      </c>
    </row>
    <row r="91" spans="1:19" x14ac:dyDescent="0.3">
      <c r="A91" s="55" t="s">
        <v>40</v>
      </c>
      <c r="B91" s="55" t="s">
        <v>190</v>
      </c>
      <c r="C91" s="55" t="s">
        <v>191</v>
      </c>
      <c r="D91" s="162" t="s">
        <v>65</v>
      </c>
      <c r="E91" s="55" t="s">
        <v>193</v>
      </c>
      <c r="F91" s="55" t="s">
        <v>194</v>
      </c>
      <c r="G91" s="55" t="s">
        <v>512</v>
      </c>
      <c r="H91" s="55" t="s">
        <v>1108</v>
      </c>
      <c r="I91" s="139" t="s">
        <v>51</v>
      </c>
      <c r="J91" s="159" t="s">
        <v>1109</v>
      </c>
      <c r="K91" s="55">
        <v>20038918</v>
      </c>
      <c r="L91" s="55" t="s">
        <v>198</v>
      </c>
      <c r="M91" s="141" t="str">
        <f t="shared" si="4"/>
        <v>EH2-INT_D</v>
      </c>
      <c r="N91" s="142" t="str">
        <f>LOOKUP(M91,'[2]Doc Set'!E:E,'[2]Doc Set'!F:F)</f>
        <v>_</v>
      </c>
      <c r="O91" s="141" t="s">
        <v>931</v>
      </c>
      <c r="P91" s="142">
        <f>+LOOKUP(O91,'[2]Doc Set'!E:E,'[2]Doc Set'!G:G)</f>
        <v>43500</v>
      </c>
      <c r="Q91" s="55" t="str">
        <f t="shared" si="2"/>
        <v>EH2-INT_D</v>
      </c>
      <c r="R91" s="142">
        <f>+LOOKUP(Q91,'[2]Doc Set'!E:E,'[2]Doc Set'!H:H)</f>
        <v>43528</v>
      </c>
      <c r="S91" s="143" t="s">
        <v>200</v>
      </c>
    </row>
    <row r="92" spans="1:19" x14ac:dyDescent="0.3">
      <c r="A92" s="55" t="s">
        <v>40</v>
      </c>
      <c r="B92" s="55" t="s">
        <v>190</v>
      </c>
      <c r="C92" s="55" t="s">
        <v>191</v>
      </c>
      <c r="D92" s="162" t="s">
        <v>65</v>
      </c>
      <c r="E92" s="55" t="s">
        <v>193</v>
      </c>
      <c r="F92" s="55" t="s">
        <v>663</v>
      </c>
      <c r="G92" s="55" t="s">
        <v>685</v>
      </c>
      <c r="H92" s="55" t="s">
        <v>1110</v>
      </c>
      <c r="I92" s="139" t="s">
        <v>134</v>
      </c>
      <c r="J92" s="159" t="s">
        <v>921</v>
      </c>
      <c r="K92" s="55">
        <v>20038918</v>
      </c>
      <c r="L92" s="55" t="s">
        <v>198</v>
      </c>
      <c r="M92" s="141" t="str">
        <f t="shared" si="4"/>
        <v>EH2-INT_D</v>
      </c>
      <c r="N92" s="142" t="str">
        <f>LOOKUP(M92,'[2]Doc Set'!E:E,'[2]Doc Set'!F:F)</f>
        <v>_</v>
      </c>
      <c r="O92" s="141" t="s">
        <v>931</v>
      </c>
      <c r="P92" s="142">
        <f>+LOOKUP(O92,'[2]Doc Set'!E:E,'[2]Doc Set'!G:G)</f>
        <v>43500</v>
      </c>
      <c r="Q92" s="55" t="str">
        <f t="shared" si="2"/>
        <v>EH2-INT_D</v>
      </c>
      <c r="R92" s="142">
        <f>+LOOKUP(Q92,'[2]Doc Set'!E:E,'[2]Doc Set'!H:H)</f>
        <v>43528</v>
      </c>
      <c r="S92" s="143" t="s">
        <v>200</v>
      </c>
    </row>
    <row r="93" spans="1:19" x14ac:dyDescent="0.3">
      <c r="A93" s="55" t="s">
        <v>40</v>
      </c>
      <c r="B93" s="55" t="s">
        <v>190</v>
      </c>
      <c r="C93" s="55" t="s">
        <v>191</v>
      </c>
      <c r="D93" s="162" t="s">
        <v>65</v>
      </c>
      <c r="E93" s="55" t="s">
        <v>193</v>
      </c>
      <c r="F93" s="55" t="s">
        <v>663</v>
      </c>
      <c r="G93" s="55" t="s">
        <v>688</v>
      </c>
      <c r="H93" s="55" t="s">
        <v>1111</v>
      </c>
      <c r="I93" s="139" t="s">
        <v>134</v>
      </c>
      <c r="J93" s="159" t="s">
        <v>923</v>
      </c>
      <c r="K93" s="55">
        <v>20038918</v>
      </c>
      <c r="L93" s="55" t="s">
        <v>198</v>
      </c>
      <c r="M93" s="141" t="str">
        <f t="shared" si="4"/>
        <v>EH2-INT_D</v>
      </c>
      <c r="N93" s="142" t="str">
        <f>LOOKUP(M93,'[2]Doc Set'!E:E,'[2]Doc Set'!F:F)</f>
        <v>_</v>
      </c>
      <c r="O93" s="141" t="s">
        <v>931</v>
      </c>
      <c r="P93" s="142">
        <f>+LOOKUP(O93,'[2]Doc Set'!E:E,'[2]Doc Set'!G:G)</f>
        <v>43500</v>
      </c>
      <c r="Q93" s="55" t="str">
        <f t="shared" si="2"/>
        <v>EH2-INT_D</v>
      </c>
      <c r="R93" s="142">
        <f>+LOOKUP(Q93,'[2]Doc Set'!E:E,'[2]Doc Set'!H:H)</f>
        <v>43528</v>
      </c>
      <c r="S93" s="143" t="s">
        <v>200</v>
      </c>
    </row>
    <row r="94" spans="1:19" x14ac:dyDescent="0.3">
      <c r="A94" s="55" t="s">
        <v>40</v>
      </c>
      <c r="B94" s="55" t="s">
        <v>190</v>
      </c>
      <c r="C94" s="55" t="s">
        <v>191</v>
      </c>
      <c r="D94" s="162" t="s">
        <v>65</v>
      </c>
      <c r="E94" s="55" t="s">
        <v>193</v>
      </c>
      <c r="F94" s="55" t="s">
        <v>663</v>
      </c>
      <c r="G94" s="55" t="s">
        <v>691</v>
      </c>
      <c r="H94" s="55" t="s">
        <v>1112</v>
      </c>
      <c r="I94" s="139" t="s">
        <v>134</v>
      </c>
      <c r="J94" s="159" t="s">
        <v>925</v>
      </c>
      <c r="K94" s="55">
        <v>20038918</v>
      </c>
      <c r="L94" s="55" t="s">
        <v>198</v>
      </c>
      <c r="M94" s="141" t="str">
        <f t="shared" si="4"/>
        <v>EH2-INT_D</v>
      </c>
      <c r="N94" s="142" t="str">
        <f>LOOKUP(M94,'[2]Doc Set'!E:E,'[2]Doc Set'!F:F)</f>
        <v>_</v>
      </c>
      <c r="O94" s="141" t="s">
        <v>931</v>
      </c>
      <c r="P94" s="142">
        <f>+LOOKUP(O94,'[2]Doc Set'!E:E,'[2]Doc Set'!G:G)</f>
        <v>43500</v>
      </c>
      <c r="Q94" s="55" t="str">
        <f t="shared" si="2"/>
        <v>EH2-INT_D</v>
      </c>
      <c r="R94" s="142">
        <f>+LOOKUP(Q94,'[2]Doc Set'!E:E,'[2]Doc Set'!H:H)</f>
        <v>43528</v>
      </c>
      <c r="S94" s="143" t="s">
        <v>200</v>
      </c>
    </row>
    <row r="95" spans="1:19" x14ac:dyDescent="0.3">
      <c r="A95" s="55" t="s">
        <v>40</v>
      </c>
      <c r="B95" s="55" t="s">
        <v>190</v>
      </c>
      <c r="C95" s="55" t="s">
        <v>191</v>
      </c>
      <c r="D95" s="162" t="s">
        <v>65</v>
      </c>
      <c r="E95" s="55" t="s">
        <v>193</v>
      </c>
      <c r="F95" s="55" t="s">
        <v>663</v>
      </c>
      <c r="G95" s="55" t="s">
        <v>926</v>
      </c>
      <c r="H95" s="55" t="s">
        <v>1113</v>
      </c>
      <c r="I95" s="139" t="s">
        <v>134</v>
      </c>
      <c r="J95" s="159" t="s">
        <v>928</v>
      </c>
      <c r="K95" s="55">
        <v>20038918</v>
      </c>
      <c r="L95" s="55" t="s">
        <v>198</v>
      </c>
      <c r="M95" s="141" t="str">
        <f t="shared" si="4"/>
        <v>EH2-INT_D</v>
      </c>
      <c r="N95" s="142" t="str">
        <f>LOOKUP(M95,'[2]Doc Set'!E:E,'[2]Doc Set'!F:F)</f>
        <v>_</v>
      </c>
      <c r="O95" s="141" t="s">
        <v>931</v>
      </c>
      <c r="P95" s="142">
        <f>+LOOKUP(O95,'[2]Doc Set'!E:E,'[2]Doc Set'!G:G)</f>
        <v>43500</v>
      </c>
      <c r="Q95" s="55" t="str">
        <f t="shared" si="2"/>
        <v>EH2-INT_D</v>
      </c>
      <c r="R95" s="142">
        <f>+LOOKUP(Q95,'[2]Doc Set'!E:E,'[2]Doc Set'!H:H)</f>
        <v>43528</v>
      </c>
      <c r="S95" s="143" t="s">
        <v>200</v>
      </c>
    </row>
  </sheetData>
  <autoFilter ref="A1:S95"/>
  <conditionalFormatting sqref="G1:G95">
    <cfRule type="duplicateValues" dxfId="62" priority="3"/>
  </conditionalFormatting>
  <conditionalFormatting sqref="G1:G1048576">
    <cfRule type="duplicateValues" dxfId="61" priority="2"/>
  </conditionalFormatting>
  <conditionalFormatting sqref="H1:H1048576">
    <cfRule type="duplicateValues" dxfId="60" priority="1"/>
  </conditionalFormatting>
  <dataValidations count="1">
    <dataValidation type="list" allowBlank="1" showInputMessage="1" showErrorMessage="1" sqref="O2:O95 M2:M95">
      <formula1>Document_Set_Name</formula1>
    </dataValidation>
  </dataValidations>
  <pageMargins left="0.7" right="0.7" top="0.75" bottom="0.75" header="0.3" footer="0.3"/>
  <pageSetup orientation="portrait" r:id="rId1"/>
  <headerFooter>
    <oddFooter>&amp;L&amp;1#&amp;"Calibri"&amp;8 Sensitivity: LNT Construction Internal Use</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S98"/>
  <sheetViews>
    <sheetView topLeftCell="G73" zoomScale="85" zoomScaleNormal="85" workbookViewId="0">
      <selection activeCell="H86" sqref="H86:H98"/>
    </sheetView>
  </sheetViews>
  <sheetFormatPr defaultRowHeight="14.4" x14ac:dyDescent="0.3"/>
  <cols>
    <col min="1" max="1" width="11.44140625" hidden="1" customWidth="1"/>
    <col min="2" max="2" width="0" hidden="1" customWidth="1"/>
    <col min="3" max="3" width="11.109375" hidden="1" customWidth="1"/>
    <col min="4" max="4" width="11.33203125" style="155" hidden="1" customWidth="1"/>
    <col min="5" max="5" width="10.5546875" hidden="1" customWidth="1"/>
    <col min="6" max="6" width="8.5546875" hidden="1" customWidth="1"/>
    <col min="8" max="8" width="25.33203125" customWidth="1"/>
    <col min="10" max="10" width="56.5546875" bestFit="1" customWidth="1"/>
    <col min="11" max="11" width="13.88671875" customWidth="1"/>
    <col min="12" max="12" width="19" customWidth="1"/>
    <col min="13" max="13" width="12.33203125" bestFit="1" customWidth="1"/>
    <col min="14" max="14" width="12.5546875" bestFit="1" customWidth="1"/>
    <col min="15" max="15" width="10.5546875" customWidth="1"/>
    <col min="16" max="16" width="13.5546875" bestFit="1" customWidth="1"/>
    <col min="17" max="17" width="10.5546875" customWidth="1"/>
    <col min="18" max="18" width="9.6640625" bestFit="1" customWidth="1"/>
    <col min="19" max="19" width="14.5546875" customWidth="1"/>
  </cols>
  <sheetData>
    <row r="1" spans="1:19" s="136" customFormat="1" x14ac:dyDescent="0.3">
      <c r="A1" s="136" t="s">
        <v>174</v>
      </c>
      <c r="B1" s="136" t="s">
        <v>175</v>
      </c>
      <c r="C1" s="136" t="s">
        <v>176</v>
      </c>
      <c r="D1" s="137" t="s">
        <v>177</v>
      </c>
      <c r="E1" s="136" t="s">
        <v>178</v>
      </c>
      <c r="F1" s="136" t="s">
        <v>179</v>
      </c>
      <c r="G1" s="136" t="s">
        <v>180</v>
      </c>
      <c r="H1" s="136" t="s">
        <v>181</v>
      </c>
      <c r="I1" s="136" t="s">
        <v>182</v>
      </c>
      <c r="J1" s="136" t="s">
        <v>183</v>
      </c>
      <c r="K1" s="136" t="s">
        <v>184</v>
      </c>
      <c r="L1" s="136" t="s">
        <v>185</v>
      </c>
      <c r="M1" s="136" t="s">
        <v>34</v>
      </c>
      <c r="N1" s="136" t="s">
        <v>186</v>
      </c>
      <c r="O1" s="136" t="s">
        <v>67</v>
      </c>
      <c r="P1" s="136" t="s">
        <v>187</v>
      </c>
      <c r="Q1" s="136" t="s">
        <v>133</v>
      </c>
      <c r="R1" s="136" t="s">
        <v>188</v>
      </c>
      <c r="S1" s="136" t="s">
        <v>189</v>
      </c>
    </row>
    <row r="2" spans="1:19" x14ac:dyDescent="0.3">
      <c r="A2" s="156" t="s">
        <v>40</v>
      </c>
      <c r="B2" s="157" t="s">
        <v>190</v>
      </c>
      <c r="C2" s="157" t="s">
        <v>191</v>
      </c>
      <c r="D2" s="158" t="s">
        <v>64</v>
      </c>
      <c r="E2" s="55" t="s">
        <v>193</v>
      </c>
      <c r="F2" s="55" t="s">
        <v>194</v>
      </c>
      <c r="G2" s="55" t="s">
        <v>346</v>
      </c>
      <c r="H2" s="55" t="s">
        <v>712</v>
      </c>
      <c r="I2" s="139" t="s">
        <v>51</v>
      </c>
      <c r="J2" s="159" t="s">
        <v>713</v>
      </c>
      <c r="K2" s="55">
        <v>20038918</v>
      </c>
      <c r="L2" s="55" t="s">
        <v>198</v>
      </c>
      <c r="M2" s="141" t="str">
        <f>+O2</f>
        <v>EH1-INT_D</v>
      </c>
      <c r="N2" s="142" t="str">
        <f>LOOKUP(M2,'[2]Doc Set'!E:E,'[2]Doc Set'!F:F)</f>
        <v>_</v>
      </c>
      <c r="O2" s="141" t="s">
        <v>714</v>
      </c>
      <c r="P2" s="142">
        <f>+LOOKUP(O2,'[2]Doc Set'!E:E,'[2]Doc Set'!G:G)</f>
        <v>43493</v>
      </c>
      <c r="Q2" s="55" t="str">
        <f>+O2</f>
        <v>EH1-INT_D</v>
      </c>
      <c r="R2" s="142">
        <f>+LOOKUP(Q2,'[2]Doc Set'!E:E,'[2]Doc Set'!H:H)</f>
        <v>43521</v>
      </c>
      <c r="S2" s="143" t="s">
        <v>200</v>
      </c>
    </row>
    <row r="3" spans="1:19" x14ac:dyDescent="0.3">
      <c r="A3" s="156" t="s">
        <v>40</v>
      </c>
      <c r="B3" s="157" t="s">
        <v>190</v>
      </c>
      <c r="C3" s="157" t="s">
        <v>191</v>
      </c>
      <c r="D3" s="158" t="s">
        <v>64</v>
      </c>
      <c r="E3" s="55" t="s">
        <v>193</v>
      </c>
      <c r="F3" s="55" t="s">
        <v>194</v>
      </c>
      <c r="G3" s="55" t="s">
        <v>349</v>
      </c>
      <c r="H3" s="55" t="s">
        <v>715</v>
      </c>
      <c r="I3" s="139" t="s">
        <v>51</v>
      </c>
      <c r="J3" s="159" t="s">
        <v>716</v>
      </c>
      <c r="K3" s="55">
        <v>20038918</v>
      </c>
      <c r="L3" s="55" t="s">
        <v>198</v>
      </c>
      <c r="M3" s="141" t="str">
        <f>+O3</f>
        <v>EH1-INT_D</v>
      </c>
      <c r="N3" s="142" t="str">
        <f>LOOKUP(M3,'[2]Doc Set'!E:E,'[2]Doc Set'!F:F)</f>
        <v>_</v>
      </c>
      <c r="O3" s="141" t="s">
        <v>714</v>
      </c>
      <c r="P3" s="142">
        <f>+LOOKUP(O3,'[2]Doc Set'!E:E,'[2]Doc Set'!G:G)</f>
        <v>43493</v>
      </c>
      <c r="Q3" s="55" t="str">
        <f t="shared" ref="Q3:Q66" si="0">+O3</f>
        <v>EH1-INT_D</v>
      </c>
      <c r="R3" s="142">
        <f>+LOOKUP(Q3,'[2]Doc Set'!E:E,'[2]Doc Set'!H:H)</f>
        <v>43521</v>
      </c>
      <c r="S3" s="143" t="s">
        <v>200</v>
      </c>
    </row>
    <row r="4" spans="1:19" x14ac:dyDescent="0.3">
      <c r="A4" s="156" t="s">
        <v>40</v>
      </c>
      <c r="B4" s="157" t="s">
        <v>190</v>
      </c>
      <c r="C4" s="157" t="s">
        <v>191</v>
      </c>
      <c r="D4" s="158" t="s">
        <v>64</v>
      </c>
      <c r="E4" s="55" t="s">
        <v>193</v>
      </c>
      <c r="F4" s="55" t="s">
        <v>194</v>
      </c>
      <c r="G4" s="55" t="s">
        <v>352</v>
      </c>
      <c r="H4" s="55" t="s">
        <v>717</v>
      </c>
      <c r="I4" s="139" t="s">
        <v>51</v>
      </c>
      <c r="J4" s="159" t="s">
        <v>718</v>
      </c>
      <c r="K4" s="55">
        <v>20038918</v>
      </c>
      <c r="L4" s="55" t="s">
        <v>198</v>
      </c>
      <c r="M4" s="141" t="str">
        <f>+O4</f>
        <v>EH1-INT_D</v>
      </c>
      <c r="N4" s="142" t="str">
        <f>LOOKUP(M4,'[2]Doc Set'!E:E,'[2]Doc Set'!F:F)</f>
        <v>_</v>
      </c>
      <c r="O4" s="141" t="s">
        <v>714</v>
      </c>
      <c r="P4" s="142">
        <f>+LOOKUP(O4,'[2]Doc Set'!E:E,'[2]Doc Set'!G:G)</f>
        <v>43493</v>
      </c>
      <c r="Q4" s="55" t="str">
        <f t="shared" si="0"/>
        <v>EH1-INT_D</v>
      </c>
      <c r="R4" s="142">
        <f>+LOOKUP(Q4,'[2]Doc Set'!E:E,'[2]Doc Set'!H:H)</f>
        <v>43521</v>
      </c>
      <c r="S4" s="143" t="s">
        <v>200</v>
      </c>
    </row>
    <row r="5" spans="1:19" x14ac:dyDescent="0.3">
      <c r="A5" s="156" t="s">
        <v>40</v>
      </c>
      <c r="B5" s="157" t="s">
        <v>190</v>
      </c>
      <c r="C5" s="157" t="s">
        <v>191</v>
      </c>
      <c r="D5" s="158" t="s">
        <v>64</v>
      </c>
      <c r="E5" s="55" t="s">
        <v>193</v>
      </c>
      <c r="F5" s="55" t="s">
        <v>194</v>
      </c>
      <c r="G5" s="55" t="s">
        <v>355</v>
      </c>
      <c r="H5" s="55" t="s">
        <v>719</v>
      </c>
      <c r="I5" s="139" t="s">
        <v>51</v>
      </c>
      <c r="J5" s="159" t="s">
        <v>720</v>
      </c>
      <c r="K5" s="55">
        <v>20038918</v>
      </c>
      <c r="L5" s="55" t="s">
        <v>198</v>
      </c>
      <c r="M5" s="141" t="str">
        <f>+O5</f>
        <v>EH1-INT_D</v>
      </c>
      <c r="N5" s="142" t="str">
        <f>LOOKUP(M5,'[2]Doc Set'!E:E,'[2]Doc Set'!F:F)</f>
        <v>_</v>
      </c>
      <c r="O5" s="141" t="s">
        <v>714</v>
      </c>
      <c r="P5" s="142">
        <f>+LOOKUP(O5,'[2]Doc Set'!E:E,'[2]Doc Set'!G:G)</f>
        <v>43493</v>
      </c>
      <c r="Q5" s="55" t="str">
        <f t="shared" si="0"/>
        <v>EH1-INT_D</v>
      </c>
      <c r="R5" s="142">
        <f>+LOOKUP(Q5,'[2]Doc Set'!E:E,'[2]Doc Set'!H:H)</f>
        <v>43521</v>
      </c>
      <c r="S5" s="143" t="s">
        <v>200</v>
      </c>
    </row>
    <row r="6" spans="1:19" x14ac:dyDescent="0.3">
      <c r="A6" s="156" t="s">
        <v>40</v>
      </c>
      <c r="B6" s="157" t="s">
        <v>190</v>
      </c>
      <c r="C6" s="157" t="s">
        <v>191</v>
      </c>
      <c r="D6" s="158" t="s">
        <v>64</v>
      </c>
      <c r="E6" s="55" t="s">
        <v>193</v>
      </c>
      <c r="F6" s="55" t="s">
        <v>194</v>
      </c>
      <c r="G6" s="55" t="s">
        <v>358</v>
      </c>
      <c r="H6" s="55" t="s">
        <v>721</v>
      </c>
      <c r="I6" s="139" t="s">
        <v>51</v>
      </c>
      <c r="J6" s="159" t="s">
        <v>722</v>
      </c>
      <c r="K6" s="55">
        <v>20038918</v>
      </c>
      <c r="L6" s="55" t="s">
        <v>198</v>
      </c>
      <c r="M6" s="141" t="str">
        <f t="shared" ref="M6:M67" si="1">+O6</f>
        <v>EH1-INT_D</v>
      </c>
      <c r="N6" s="142" t="str">
        <f>LOOKUP(M6,'[2]Doc Set'!E:E,'[2]Doc Set'!F:F)</f>
        <v>_</v>
      </c>
      <c r="O6" s="141" t="s">
        <v>714</v>
      </c>
      <c r="P6" s="142">
        <f>+LOOKUP(O6,'[2]Doc Set'!E:E,'[2]Doc Set'!G:G)</f>
        <v>43493</v>
      </c>
      <c r="Q6" s="55" t="str">
        <f t="shared" si="0"/>
        <v>EH1-INT_D</v>
      </c>
      <c r="R6" s="142">
        <f>+LOOKUP(Q6,'[2]Doc Set'!E:E,'[2]Doc Set'!H:H)</f>
        <v>43521</v>
      </c>
      <c r="S6" s="143" t="s">
        <v>200</v>
      </c>
    </row>
    <row r="7" spans="1:19" x14ac:dyDescent="0.3">
      <c r="A7" s="156" t="s">
        <v>40</v>
      </c>
      <c r="B7" s="157" t="s">
        <v>190</v>
      </c>
      <c r="C7" s="157" t="s">
        <v>191</v>
      </c>
      <c r="D7" s="158" t="s">
        <v>64</v>
      </c>
      <c r="E7" s="55" t="s">
        <v>193</v>
      </c>
      <c r="F7" s="55" t="s">
        <v>194</v>
      </c>
      <c r="G7" s="55" t="s">
        <v>361</v>
      </c>
      <c r="H7" s="55" t="s">
        <v>723</v>
      </c>
      <c r="I7" s="139" t="s">
        <v>51</v>
      </c>
      <c r="J7" s="159" t="s">
        <v>724</v>
      </c>
      <c r="K7" s="55">
        <v>20038918</v>
      </c>
      <c r="L7" s="55" t="s">
        <v>198</v>
      </c>
      <c r="M7" s="141" t="str">
        <f t="shared" si="1"/>
        <v>EH1-INT_D</v>
      </c>
      <c r="N7" s="142" t="str">
        <f>LOOKUP(M7,'[2]Doc Set'!E:E,'[2]Doc Set'!F:F)</f>
        <v>_</v>
      </c>
      <c r="O7" s="141" t="s">
        <v>714</v>
      </c>
      <c r="P7" s="142">
        <f>+LOOKUP(O7,'[2]Doc Set'!E:E,'[2]Doc Set'!G:G)</f>
        <v>43493</v>
      </c>
      <c r="Q7" s="55" t="str">
        <f t="shared" si="0"/>
        <v>EH1-INT_D</v>
      </c>
      <c r="R7" s="142">
        <f>+LOOKUP(Q7,'[2]Doc Set'!E:E,'[2]Doc Set'!H:H)</f>
        <v>43521</v>
      </c>
      <c r="S7" s="143" t="s">
        <v>200</v>
      </c>
    </row>
    <row r="8" spans="1:19" x14ac:dyDescent="0.3">
      <c r="A8" s="156" t="s">
        <v>40</v>
      </c>
      <c r="B8" s="157" t="s">
        <v>190</v>
      </c>
      <c r="C8" s="157" t="s">
        <v>191</v>
      </c>
      <c r="D8" s="158" t="s">
        <v>64</v>
      </c>
      <c r="E8" s="55" t="s">
        <v>193</v>
      </c>
      <c r="F8" s="55" t="s">
        <v>194</v>
      </c>
      <c r="G8" s="55" t="s">
        <v>240</v>
      </c>
      <c r="H8" s="55" t="s">
        <v>725</v>
      </c>
      <c r="I8" s="139" t="s">
        <v>51</v>
      </c>
      <c r="J8" s="159" t="s">
        <v>726</v>
      </c>
      <c r="K8" s="55">
        <v>20038918</v>
      </c>
      <c r="L8" s="55" t="s">
        <v>198</v>
      </c>
      <c r="M8" s="141" t="str">
        <f t="shared" si="1"/>
        <v>EH1-INT_D</v>
      </c>
      <c r="N8" s="142" t="str">
        <f>LOOKUP(M8,'[2]Doc Set'!E:E,'[2]Doc Set'!F:F)</f>
        <v>_</v>
      </c>
      <c r="O8" s="141" t="s">
        <v>714</v>
      </c>
      <c r="P8" s="142">
        <f>+LOOKUP(O8,'[2]Doc Set'!E:E,'[2]Doc Set'!G:G)</f>
        <v>43493</v>
      </c>
      <c r="Q8" s="55" t="str">
        <f t="shared" si="0"/>
        <v>EH1-INT_D</v>
      </c>
      <c r="R8" s="142">
        <f>+LOOKUP(Q8,'[2]Doc Set'!E:E,'[2]Doc Set'!H:H)</f>
        <v>43521</v>
      </c>
      <c r="S8" s="143" t="s">
        <v>200</v>
      </c>
    </row>
    <row r="9" spans="1:19" x14ac:dyDescent="0.3">
      <c r="A9" s="156" t="s">
        <v>40</v>
      </c>
      <c r="B9" s="157" t="s">
        <v>190</v>
      </c>
      <c r="C9" s="157" t="s">
        <v>191</v>
      </c>
      <c r="D9" s="158" t="s">
        <v>64</v>
      </c>
      <c r="E9" s="55" t="s">
        <v>193</v>
      </c>
      <c r="F9" s="55" t="s">
        <v>194</v>
      </c>
      <c r="G9" s="55" t="s">
        <v>243</v>
      </c>
      <c r="H9" s="55" t="s">
        <v>727</v>
      </c>
      <c r="I9" s="139" t="s">
        <v>51</v>
      </c>
      <c r="J9" s="159" t="s">
        <v>728</v>
      </c>
      <c r="K9" s="55">
        <v>20038918</v>
      </c>
      <c r="L9" s="55" t="s">
        <v>198</v>
      </c>
      <c r="M9" s="141" t="str">
        <f t="shared" si="1"/>
        <v>EH1-INT_D</v>
      </c>
      <c r="N9" s="142" t="str">
        <f>LOOKUP(M9,'[2]Doc Set'!E:E,'[2]Doc Set'!F:F)</f>
        <v>_</v>
      </c>
      <c r="O9" s="141" t="s">
        <v>714</v>
      </c>
      <c r="P9" s="142">
        <f>+LOOKUP(O9,'[2]Doc Set'!E:E,'[2]Doc Set'!G:G)</f>
        <v>43493</v>
      </c>
      <c r="Q9" s="55" t="str">
        <f t="shared" si="0"/>
        <v>EH1-INT_D</v>
      </c>
      <c r="R9" s="142">
        <f>+LOOKUP(Q9,'[2]Doc Set'!E:E,'[2]Doc Set'!H:H)</f>
        <v>43521</v>
      </c>
      <c r="S9" s="143" t="s">
        <v>200</v>
      </c>
    </row>
    <row r="10" spans="1:19" x14ac:dyDescent="0.3">
      <c r="A10" s="156" t="s">
        <v>40</v>
      </c>
      <c r="B10" s="157" t="s">
        <v>190</v>
      </c>
      <c r="C10" s="157" t="s">
        <v>191</v>
      </c>
      <c r="D10" s="158" t="s">
        <v>64</v>
      </c>
      <c r="E10" s="55" t="s">
        <v>193</v>
      </c>
      <c r="F10" s="55" t="s">
        <v>194</v>
      </c>
      <c r="G10" s="55" t="s">
        <v>246</v>
      </c>
      <c r="H10" s="55" t="s">
        <v>729</v>
      </c>
      <c r="I10" s="139" t="s">
        <v>51</v>
      </c>
      <c r="J10" s="159" t="s">
        <v>730</v>
      </c>
      <c r="K10" s="55">
        <v>20038918</v>
      </c>
      <c r="L10" s="55" t="s">
        <v>198</v>
      </c>
      <c r="M10" s="141" t="str">
        <f t="shared" si="1"/>
        <v>EH1-INT_D</v>
      </c>
      <c r="N10" s="142" t="str">
        <f>LOOKUP(M10,'[2]Doc Set'!E:E,'[2]Doc Set'!F:F)</f>
        <v>_</v>
      </c>
      <c r="O10" s="141" t="s">
        <v>714</v>
      </c>
      <c r="P10" s="142">
        <f>+LOOKUP(O10,'[2]Doc Set'!E:E,'[2]Doc Set'!G:G)</f>
        <v>43493</v>
      </c>
      <c r="Q10" s="55" t="str">
        <f t="shared" si="0"/>
        <v>EH1-INT_D</v>
      </c>
      <c r="R10" s="142">
        <f>+LOOKUP(Q10,'[2]Doc Set'!E:E,'[2]Doc Set'!H:H)</f>
        <v>43521</v>
      </c>
      <c r="S10" s="143" t="s">
        <v>200</v>
      </c>
    </row>
    <row r="11" spans="1:19" x14ac:dyDescent="0.3">
      <c r="A11" s="156" t="s">
        <v>40</v>
      </c>
      <c r="B11" s="157" t="s">
        <v>190</v>
      </c>
      <c r="C11" s="157" t="s">
        <v>191</v>
      </c>
      <c r="D11" s="158" t="s">
        <v>64</v>
      </c>
      <c r="E11" s="55" t="s">
        <v>193</v>
      </c>
      <c r="F11" s="55" t="s">
        <v>194</v>
      </c>
      <c r="G11" s="55" t="s">
        <v>249</v>
      </c>
      <c r="H11" s="55" t="s">
        <v>731</v>
      </c>
      <c r="I11" s="139" t="s">
        <v>51</v>
      </c>
      <c r="J11" s="159" t="s">
        <v>732</v>
      </c>
      <c r="K11" s="55">
        <v>20038918</v>
      </c>
      <c r="L11" s="55" t="s">
        <v>198</v>
      </c>
      <c r="M11" s="141" t="str">
        <f t="shared" si="1"/>
        <v>EH1-INT_D</v>
      </c>
      <c r="N11" s="142" t="str">
        <f>LOOKUP(M11,'[2]Doc Set'!E:E,'[2]Doc Set'!F:F)</f>
        <v>_</v>
      </c>
      <c r="O11" s="141" t="s">
        <v>714</v>
      </c>
      <c r="P11" s="142">
        <f>+LOOKUP(O11,'[2]Doc Set'!E:E,'[2]Doc Set'!G:G)</f>
        <v>43493</v>
      </c>
      <c r="Q11" s="55" t="str">
        <f t="shared" si="0"/>
        <v>EH1-INT_D</v>
      </c>
      <c r="R11" s="142">
        <f>+LOOKUP(Q11,'[2]Doc Set'!E:E,'[2]Doc Set'!H:H)</f>
        <v>43521</v>
      </c>
      <c r="S11" s="143" t="s">
        <v>200</v>
      </c>
    </row>
    <row r="12" spans="1:19" x14ac:dyDescent="0.3">
      <c r="A12" s="156" t="s">
        <v>40</v>
      </c>
      <c r="B12" s="157" t="s">
        <v>190</v>
      </c>
      <c r="C12" s="157" t="s">
        <v>191</v>
      </c>
      <c r="D12" s="158" t="s">
        <v>64</v>
      </c>
      <c r="E12" s="55" t="s">
        <v>193</v>
      </c>
      <c r="F12" s="55" t="s">
        <v>194</v>
      </c>
      <c r="G12" s="55" t="s">
        <v>252</v>
      </c>
      <c r="H12" s="55" t="s">
        <v>733</v>
      </c>
      <c r="I12" s="139" t="s">
        <v>51</v>
      </c>
      <c r="J12" s="159" t="s">
        <v>734</v>
      </c>
      <c r="K12" s="55">
        <v>20038918</v>
      </c>
      <c r="L12" s="55" t="s">
        <v>198</v>
      </c>
      <c r="M12" s="141" t="str">
        <f t="shared" si="1"/>
        <v>EH1-INT_D</v>
      </c>
      <c r="N12" s="142" t="str">
        <f>LOOKUP(M12,'[2]Doc Set'!E:E,'[2]Doc Set'!F:F)</f>
        <v>_</v>
      </c>
      <c r="O12" s="141" t="s">
        <v>714</v>
      </c>
      <c r="P12" s="142">
        <f>+LOOKUP(O12,'[2]Doc Set'!E:E,'[2]Doc Set'!G:G)</f>
        <v>43493</v>
      </c>
      <c r="Q12" s="55" t="str">
        <f t="shared" si="0"/>
        <v>EH1-INT_D</v>
      </c>
      <c r="R12" s="142">
        <f>+LOOKUP(Q12,'[2]Doc Set'!E:E,'[2]Doc Set'!H:H)</f>
        <v>43521</v>
      </c>
      <c r="S12" s="143" t="s">
        <v>200</v>
      </c>
    </row>
    <row r="13" spans="1:19" x14ac:dyDescent="0.3">
      <c r="A13" s="156" t="s">
        <v>40</v>
      </c>
      <c r="B13" s="157" t="s">
        <v>190</v>
      </c>
      <c r="C13" s="157" t="s">
        <v>191</v>
      </c>
      <c r="D13" s="158" t="s">
        <v>64</v>
      </c>
      <c r="E13" s="55" t="s">
        <v>193</v>
      </c>
      <c r="F13" s="55" t="s">
        <v>194</v>
      </c>
      <c r="G13" s="55" t="s">
        <v>255</v>
      </c>
      <c r="H13" s="55" t="s">
        <v>735</v>
      </c>
      <c r="I13" s="139" t="s">
        <v>51</v>
      </c>
      <c r="J13" s="159" t="s">
        <v>736</v>
      </c>
      <c r="K13" s="55">
        <v>20038918</v>
      </c>
      <c r="L13" s="55" t="s">
        <v>198</v>
      </c>
      <c r="M13" s="141" t="str">
        <f t="shared" si="1"/>
        <v>EH1-INT_D</v>
      </c>
      <c r="N13" s="142" t="str">
        <f>LOOKUP(M13,'[2]Doc Set'!E:E,'[2]Doc Set'!F:F)</f>
        <v>_</v>
      </c>
      <c r="O13" s="141" t="s">
        <v>714</v>
      </c>
      <c r="P13" s="142">
        <f>+LOOKUP(O13,'[2]Doc Set'!E:E,'[2]Doc Set'!G:G)</f>
        <v>43493</v>
      </c>
      <c r="Q13" s="55" t="str">
        <f t="shared" si="0"/>
        <v>EH1-INT_D</v>
      </c>
      <c r="R13" s="142">
        <f>+LOOKUP(Q13,'[2]Doc Set'!E:E,'[2]Doc Set'!H:H)</f>
        <v>43521</v>
      </c>
      <c r="S13" s="143" t="s">
        <v>200</v>
      </c>
    </row>
    <row r="14" spans="1:19" x14ac:dyDescent="0.3">
      <c r="A14" s="156" t="s">
        <v>40</v>
      </c>
      <c r="B14" s="157" t="s">
        <v>190</v>
      </c>
      <c r="C14" s="157" t="s">
        <v>191</v>
      </c>
      <c r="D14" s="158" t="s">
        <v>64</v>
      </c>
      <c r="E14" s="55" t="s">
        <v>193</v>
      </c>
      <c r="F14" s="55" t="s">
        <v>194</v>
      </c>
      <c r="G14" s="55" t="s">
        <v>258</v>
      </c>
      <c r="H14" s="55" t="s">
        <v>737</v>
      </c>
      <c r="I14" s="139" t="s">
        <v>51</v>
      </c>
      <c r="J14" s="159" t="s">
        <v>738</v>
      </c>
      <c r="K14" s="55">
        <v>20038918</v>
      </c>
      <c r="L14" s="55" t="s">
        <v>198</v>
      </c>
      <c r="M14" s="141" t="str">
        <f t="shared" si="1"/>
        <v>EH1-INT_D</v>
      </c>
      <c r="N14" s="142" t="str">
        <f>LOOKUP(M14,'[2]Doc Set'!E:E,'[2]Doc Set'!F:F)</f>
        <v>_</v>
      </c>
      <c r="O14" s="141" t="s">
        <v>714</v>
      </c>
      <c r="P14" s="142">
        <f>+LOOKUP(O14,'[2]Doc Set'!E:E,'[2]Doc Set'!G:G)</f>
        <v>43493</v>
      </c>
      <c r="Q14" s="55" t="str">
        <f t="shared" si="0"/>
        <v>EH1-INT_D</v>
      </c>
      <c r="R14" s="142">
        <f>+LOOKUP(Q14,'[2]Doc Set'!E:E,'[2]Doc Set'!H:H)</f>
        <v>43521</v>
      </c>
      <c r="S14" s="143" t="s">
        <v>200</v>
      </c>
    </row>
    <row r="15" spans="1:19" x14ac:dyDescent="0.3">
      <c r="A15" s="156" t="s">
        <v>40</v>
      </c>
      <c r="B15" s="157" t="s">
        <v>190</v>
      </c>
      <c r="C15" s="157" t="s">
        <v>191</v>
      </c>
      <c r="D15" s="158" t="s">
        <v>64</v>
      </c>
      <c r="E15" s="55" t="s">
        <v>193</v>
      </c>
      <c r="F15" s="55" t="s">
        <v>194</v>
      </c>
      <c r="G15" s="55" t="s">
        <v>739</v>
      </c>
      <c r="H15" s="55" t="s">
        <v>740</v>
      </c>
      <c r="I15" s="139" t="s">
        <v>51</v>
      </c>
      <c r="J15" s="159" t="s">
        <v>741</v>
      </c>
      <c r="K15" s="55">
        <v>20038918</v>
      </c>
      <c r="L15" s="55" t="s">
        <v>198</v>
      </c>
      <c r="M15" s="141" t="str">
        <f t="shared" si="1"/>
        <v>EH1-INT_D</v>
      </c>
      <c r="N15" s="142" t="str">
        <f>LOOKUP(M15,'[2]Doc Set'!E:E,'[2]Doc Set'!F:F)</f>
        <v>_</v>
      </c>
      <c r="O15" s="141" t="s">
        <v>714</v>
      </c>
      <c r="P15" s="142">
        <f>+LOOKUP(O15,'[2]Doc Set'!E:E,'[2]Doc Set'!G:G)</f>
        <v>43493</v>
      </c>
      <c r="Q15" s="55" t="str">
        <f t="shared" si="0"/>
        <v>EH1-INT_D</v>
      </c>
      <c r="R15" s="142">
        <f>+LOOKUP(Q15,'[2]Doc Set'!E:E,'[2]Doc Set'!H:H)</f>
        <v>43521</v>
      </c>
      <c r="S15" s="143" t="s">
        <v>200</v>
      </c>
    </row>
    <row r="16" spans="1:19" x14ac:dyDescent="0.3">
      <c r="A16" s="156" t="s">
        <v>40</v>
      </c>
      <c r="B16" s="157" t="s">
        <v>190</v>
      </c>
      <c r="C16" s="157" t="s">
        <v>191</v>
      </c>
      <c r="D16" s="158" t="s">
        <v>64</v>
      </c>
      <c r="E16" s="55" t="s">
        <v>193</v>
      </c>
      <c r="F16" s="55" t="s">
        <v>194</v>
      </c>
      <c r="G16" s="55" t="s">
        <v>742</v>
      </c>
      <c r="H16" s="55" t="s">
        <v>743</v>
      </c>
      <c r="I16" s="139" t="s">
        <v>51</v>
      </c>
      <c r="J16" s="159" t="s">
        <v>744</v>
      </c>
      <c r="K16" s="55">
        <v>20038918</v>
      </c>
      <c r="L16" s="55" t="s">
        <v>198</v>
      </c>
      <c r="M16" s="141" t="str">
        <f t="shared" si="1"/>
        <v>EH1-INT_D</v>
      </c>
      <c r="N16" s="142" t="str">
        <f>LOOKUP(M16,'[2]Doc Set'!E:E,'[2]Doc Set'!F:F)</f>
        <v>_</v>
      </c>
      <c r="O16" s="141" t="s">
        <v>714</v>
      </c>
      <c r="P16" s="142">
        <f>+LOOKUP(O16,'[2]Doc Set'!E:E,'[2]Doc Set'!G:G)</f>
        <v>43493</v>
      </c>
      <c r="Q16" s="55" t="str">
        <f t="shared" si="0"/>
        <v>EH1-INT_D</v>
      </c>
      <c r="R16" s="142">
        <f>+LOOKUP(Q16,'[2]Doc Set'!E:E,'[2]Doc Set'!H:H)</f>
        <v>43521</v>
      </c>
      <c r="S16" s="143" t="s">
        <v>200</v>
      </c>
    </row>
    <row r="17" spans="1:19" x14ac:dyDescent="0.3">
      <c r="A17" s="156" t="s">
        <v>40</v>
      </c>
      <c r="B17" s="157" t="s">
        <v>190</v>
      </c>
      <c r="C17" s="157" t="s">
        <v>191</v>
      </c>
      <c r="D17" s="158" t="s">
        <v>64</v>
      </c>
      <c r="E17" s="55" t="s">
        <v>193</v>
      </c>
      <c r="F17" s="55" t="s">
        <v>194</v>
      </c>
      <c r="G17" s="55" t="s">
        <v>745</v>
      </c>
      <c r="H17" s="55" t="s">
        <v>746</v>
      </c>
      <c r="I17" s="139" t="s">
        <v>51</v>
      </c>
      <c r="J17" s="159" t="s">
        <v>747</v>
      </c>
      <c r="K17" s="55">
        <v>20038918</v>
      </c>
      <c r="L17" s="55" t="s">
        <v>198</v>
      </c>
      <c r="M17" s="141" t="str">
        <f t="shared" si="1"/>
        <v>EH1-INT_D</v>
      </c>
      <c r="N17" s="142" t="str">
        <f>LOOKUP(M17,'[2]Doc Set'!E:E,'[2]Doc Set'!F:F)</f>
        <v>_</v>
      </c>
      <c r="O17" s="141" t="s">
        <v>714</v>
      </c>
      <c r="P17" s="142">
        <f>+LOOKUP(O17,'[2]Doc Set'!E:E,'[2]Doc Set'!G:G)</f>
        <v>43493</v>
      </c>
      <c r="Q17" s="55" t="str">
        <f t="shared" si="0"/>
        <v>EH1-INT_D</v>
      </c>
      <c r="R17" s="142">
        <f>+LOOKUP(Q17,'[2]Doc Set'!E:E,'[2]Doc Set'!H:H)</f>
        <v>43521</v>
      </c>
      <c r="S17" s="143" t="s">
        <v>200</v>
      </c>
    </row>
    <row r="18" spans="1:19" x14ac:dyDescent="0.3">
      <c r="A18" s="156" t="s">
        <v>40</v>
      </c>
      <c r="B18" s="157" t="s">
        <v>190</v>
      </c>
      <c r="C18" s="157" t="s">
        <v>191</v>
      </c>
      <c r="D18" s="158" t="s">
        <v>64</v>
      </c>
      <c r="E18" s="55" t="s">
        <v>193</v>
      </c>
      <c r="F18" s="55" t="s">
        <v>194</v>
      </c>
      <c r="G18" s="55" t="s">
        <v>748</v>
      </c>
      <c r="H18" s="55" t="s">
        <v>749</v>
      </c>
      <c r="I18" s="139" t="s">
        <v>51</v>
      </c>
      <c r="J18" s="159" t="s">
        <v>750</v>
      </c>
      <c r="K18" s="55">
        <v>20038918</v>
      </c>
      <c r="L18" s="55" t="s">
        <v>198</v>
      </c>
      <c r="M18" s="141" t="str">
        <f t="shared" si="1"/>
        <v>EH1-INT_D</v>
      </c>
      <c r="N18" s="142" t="str">
        <f>LOOKUP(M18,'[2]Doc Set'!E:E,'[2]Doc Set'!F:F)</f>
        <v>_</v>
      </c>
      <c r="O18" s="141" t="s">
        <v>714</v>
      </c>
      <c r="P18" s="142">
        <f>+LOOKUP(O18,'[2]Doc Set'!E:E,'[2]Doc Set'!G:G)</f>
        <v>43493</v>
      </c>
      <c r="Q18" s="55" t="str">
        <f t="shared" si="0"/>
        <v>EH1-INT_D</v>
      </c>
      <c r="R18" s="142">
        <f>+LOOKUP(Q18,'[2]Doc Set'!E:E,'[2]Doc Set'!H:H)</f>
        <v>43521</v>
      </c>
      <c r="S18" s="143" t="s">
        <v>200</v>
      </c>
    </row>
    <row r="19" spans="1:19" x14ac:dyDescent="0.3">
      <c r="A19" s="156" t="s">
        <v>40</v>
      </c>
      <c r="B19" s="157" t="s">
        <v>190</v>
      </c>
      <c r="C19" s="157" t="s">
        <v>191</v>
      </c>
      <c r="D19" s="158" t="s">
        <v>64</v>
      </c>
      <c r="E19" s="55" t="s">
        <v>193</v>
      </c>
      <c r="F19" s="55" t="s">
        <v>194</v>
      </c>
      <c r="G19" s="55" t="s">
        <v>261</v>
      </c>
      <c r="H19" s="55" t="s">
        <v>751</v>
      </c>
      <c r="I19" s="139" t="s">
        <v>51</v>
      </c>
      <c r="J19" s="159" t="s">
        <v>752</v>
      </c>
      <c r="K19" s="55">
        <v>20038918</v>
      </c>
      <c r="L19" s="55" t="s">
        <v>198</v>
      </c>
      <c r="M19" s="141" t="str">
        <f t="shared" si="1"/>
        <v>EH1-INT_D</v>
      </c>
      <c r="N19" s="142" t="str">
        <f>LOOKUP(M19,'[2]Doc Set'!E:E,'[2]Doc Set'!F:F)</f>
        <v>_</v>
      </c>
      <c r="O19" s="141" t="s">
        <v>714</v>
      </c>
      <c r="P19" s="142">
        <f>+LOOKUP(O19,'[2]Doc Set'!E:E,'[2]Doc Set'!G:G)</f>
        <v>43493</v>
      </c>
      <c r="Q19" s="55" t="str">
        <f t="shared" si="0"/>
        <v>EH1-INT_D</v>
      </c>
      <c r="R19" s="142">
        <f>+LOOKUP(Q19,'[2]Doc Set'!E:E,'[2]Doc Set'!H:H)</f>
        <v>43521</v>
      </c>
      <c r="S19" s="143" t="s">
        <v>200</v>
      </c>
    </row>
    <row r="20" spans="1:19" x14ac:dyDescent="0.3">
      <c r="A20" s="156" t="s">
        <v>40</v>
      </c>
      <c r="B20" s="157" t="s">
        <v>190</v>
      </c>
      <c r="C20" s="157" t="s">
        <v>191</v>
      </c>
      <c r="D20" s="158" t="s">
        <v>64</v>
      </c>
      <c r="E20" s="55" t="s">
        <v>193</v>
      </c>
      <c r="F20" s="55" t="s">
        <v>194</v>
      </c>
      <c r="G20" s="55" t="s">
        <v>264</v>
      </c>
      <c r="H20" s="55" t="s">
        <v>753</v>
      </c>
      <c r="I20" s="139" t="s">
        <v>51</v>
      </c>
      <c r="J20" s="159" t="s">
        <v>754</v>
      </c>
      <c r="K20" s="55">
        <v>20038918</v>
      </c>
      <c r="L20" s="55" t="s">
        <v>198</v>
      </c>
      <c r="M20" s="141" t="str">
        <f t="shared" si="1"/>
        <v>EH1-INT_D</v>
      </c>
      <c r="N20" s="142" t="str">
        <f>LOOKUP(M20,'[2]Doc Set'!E:E,'[2]Doc Set'!F:F)</f>
        <v>_</v>
      </c>
      <c r="O20" s="141" t="s">
        <v>714</v>
      </c>
      <c r="P20" s="142">
        <f>+LOOKUP(O20,'[2]Doc Set'!E:E,'[2]Doc Set'!G:G)</f>
        <v>43493</v>
      </c>
      <c r="Q20" s="55" t="str">
        <f t="shared" si="0"/>
        <v>EH1-INT_D</v>
      </c>
      <c r="R20" s="142">
        <f>+LOOKUP(Q20,'[2]Doc Set'!E:E,'[2]Doc Set'!H:H)</f>
        <v>43521</v>
      </c>
      <c r="S20" s="143" t="s">
        <v>200</v>
      </c>
    </row>
    <row r="21" spans="1:19" x14ac:dyDescent="0.3">
      <c r="A21" s="156" t="s">
        <v>40</v>
      </c>
      <c r="B21" s="157" t="s">
        <v>190</v>
      </c>
      <c r="C21" s="157" t="s">
        <v>191</v>
      </c>
      <c r="D21" s="158" t="s">
        <v>64</v>
      </c>
      <c r="E21" s="55" t="s">
        <v>193</v>
      </c>
      <c r="F21" s="55" t="s">
        <v>194</v>
      </c>
      <c r="G21" s="55" t="s">
        <v>267</v>
      </c>
      <c r="H21" s="55" t="s">
        <v>755</v>
      </c>
      <c r="I21" s="139" t="s">
        <v>51</v>
      </c>
      <c r="J21" s="159" t="s">
        <v>756</v>
      </c>
      <c r="K21" s="55">
        <v>20038918</v>
      </c>
      <c r="L21" s="55" t="s">
        <v>198</v>
      </c>
      <c r="M21" s="141" t="str">
        <f t="shared" si="1"/>
        <v>EH1-INT_D</v>
      </c>
      <c r="N21" s="142" t="str">
        <f>LOOKUP(M21,'[2]Doc Set'!E:E,'[2]Doc Set'!F:F)</f>
        <v>_</v>
      </c>
      <c r="O21" s="141" t="s">
        <v>714</v>
      </c>
      <c r="P21" s="142">
        <f>+LOOKUP(O21,'[2]Doc Set'!E:E,'[2]Doc Set'!G:G)</f>
        <v>43493</v>
      </c>
      <c r="Q21" s="55" t="str">
        <f t="shared" si="0"/>
        <v>EH1-INT_D</v>
      </c>
      <c r="R21" s="142">
        <f>+LOOKUP(Q21,'[2]Doc Set'!E:E,'[2]Doc Set'!H:H)</f>
        <v>43521</v>
      </c>
      <c r="S21" s="143" t="s">
        <v>200</v>
      </c>
    </row>
    <row r="22" spans="1:19" x14ac:dyDescent="0.3">
      <c r="A22" s="156" t="s">
        <v>40</v>
      </c>
      <c r="B22" s="157" t="s">
        <v>190</v>
      </c>
      <c r="C22" s="157" t="s">
        <v>191</v>
      </c>
      <c r="D22" s="158" t="s">
        <v>64</v>
      </c>
      <c r="E22" s="55" t="s">
        <v>193</v>
      </c>
      <c r="F22" s="55" t="s">
        <v>194</v>
      </c>
      <c r="G22" s="55" t="s">
        <v>270</v>
      </c>
      <c r="H22" s="55" t="s">
        <v>757</v>
      </c>
      <c r="I22" s="139" t="s">
        <v>51</v>
      </c>
      <c r="J22" s="159" t="s">
        <v>758</v>
      </c>
      <c r="K22" s="55">
        <v>20038918</v>
      </c>
      <c r="L22" s="55" t="s">
        <v>198</v>
      </c>
      <c r="M22" s="141" t="str">
        <f t="shared" si="1"/>
        <v>EH1-INT_D</v>
      </c>
      <c r="N22" s="142" t="str">
        <f>LOOKUP(M22,'[2]Doc Set'!E:E,'[2]Doc Set'!F:F)</f>
        <v>_</v>
      </c>
      <c r="O22" s="141" t="s">
        <v>714</v>
      </c>
      <c r="P22" s="142">
        <f>+LOOKUP(O22,'[2]Doc Set'!E:E,'[2]Doc Set'!G:G)</f>
        <v>43493</v>
      </c>
      <c r="Q22" s="55" t="str">
        <f t="shared" si="0"/>
        <v>EH1-INT_D</v>
      </c>
      <c r="R22" s="142">
        <f>+LOOKUP(Q22,'[2]Doc Set'!E:E,'[2]Doc Set'!H:H)</f>
        <v>43521</v>
      </c>
      <c r="S22" s="143" t="s">
        <v>200</v>
      </c>
    </row>
    <row r="23" spans="1:19" x14ac:dyDescent="0.3">
      <c r="A23" s="156" t="s">
        <v>40</v>
      </c>
      <c r="B23" s="157" t="s">
        <v>190</v>
      </c>
      <c r="C23" s="157" t="s">
        <v>191</v>
      </c>
      <c r="D23" s="158" t="s">
        <v>64</v>
      </c>
      <c r="E23" s="55" t="s">
        <v>193</v>
      </c>
      <c r="F23" s="55" t="s">
        <v>194</v>
      </c>
      <c r="G23" s="55" t="s">
        <v>273</v>
      </c>
      <c r="H23" s="55" t="s">
        <v>759</v>
      </c>
      <c r="I23" s="139" t="s">
        <v>51</v>
      </c>
      <c r="J23" s="159" t="s">
        <v>760</v>
      </c>
      <c r="K23" s="55">
        <v>20038918</v>
      </c>
      <c r="L23" s="55" t="s">
        <v>198</v>
      </c>
      <c r="M23" s="141" t="str">
        <f t="shared" si="1"/>
        <v>EH1-INT_D</v>
      </c>
      <c r="N23" s="142" t="str">
        <f>LOOKUP(M23,'[2]Doc Set'!E:E,'[2]Doc Set'!F:F)</f>
        <v>_</v>
      </c>
      <c r="O23" s="141" t="s">
        <v>714</v>
      </c>
      <c r="P23" s="142">
        <f>+LOOKUP(O23,'[2]Doc Set'!E:E,'[2]Doc Set'!G:G)</f>
        <v>43493</v>
      </c>
      <c r="Q23" s="55" t="str">
        <f t="shared" si="0"/>
        <v>EH1-INT_D</v>
      </c>
      <c r="R23" s="142">
        <f>+LOOKUP(Q23,'[2]Doc Set'!E:E,'[2]Doc Set'!H:H)</f>
        <v>43521</v>
      </c>
      <c r="S23" s="143" t="s">
        <v>200</v>
      </c>
    </row>
    <row r="24" spans="1:19" x14ac:dyDescent="0.3">
      <c r="A24" s="156" t="s">
        <v>40</v>
      </c>
      <c r="B24" s="157" t="s">
        <v>190</v>
      </c>
      <c r="C24" s="157" t="s">
        <v>191</v>
      </c>
      <c r="D24" s="158" t="s">
        <v>64</v>
      </c>
      <c r="E24" s="55" t="s">
        <v>193</v>
      </c>
      <c r="F24" s="55" t="s">
        <v>194</v>
      </c>
      <c r="G24" s="55" t="s">
        <v>276</v>
      </c>
      <c r="H24" s="55" t="s">
        <v>761</v>
      </c>
      <c r="I24" s="139" t="s">
        <v>51</v>
      </c>
      <c r="J24" s="159" t="s">
        <v>762</v>
      </c>
      <c r="K24" s="55">
        <v>20038918</v>
      </c>
      <c r="L24" s="55" t="s">
        <v>198</v>
      </c>
      <c r="M24" s="141" t="str">
        <f t="shared" si="1"/>
        <v>EH1-INT_D</v>
      </c>
      <c r="N24" s="142" t="str">
        <f>LOOKUP(M24,'[2]Doc Set'!E:E,'[2]Doc Set'!F:F)</f>
        <v>_</v>
      </c>
      <c r="O24" s="141" t="s">
        <v>714</v>
      </c>
      <c r="P24" s="142">
        <f>+LOOKUP(O24,'[2]Doc Set'!E:E,'[2]Doc Set'!G:G)</f>
        <v>43493</v>
      </c>
      <c r="Q24" s="55" t="str">
        <f t="shared" si="0"/>
        <v>EH1-INT_D</v>
      </c>
      <c r="R24" s="142">
        <f>+LOOKUP(Q24,'[2]Doc Set'!E:E,'[2]Doc Set'!H:H)</f>
        <v>43521</v>
      </c>
      <c r="S24" s="143" t="s">
        <v>200</v>
      </c>
    </row>
    <row r="25" spans="1:19" x14ac:dyDescent="0.3">
      <c r="A25" s="156" t="s">
        <v>40</v>
      </c>
      <c r="B25" s="157" t="s">
        <v>190</v>
      </c>
      <c r="C25" s="157" t="s">
        <v>191</v>
      </c>
      <c r="D25" s="158" t="s">
        <v>64</v>
      </c>
      <c r="E25" s="55" t="s">
        <v>193</v>
      </c>
      <c r="F25" s="55" t="s">
        <v>194</v>
      </c>
      <c r="G25" s="55" t="s">
        <v>282</v>
      </c>
      <c r="H25" s="55" t="s">
        <v>763</v>
      </c>
      <c r="I25" s="139" t="s">
        <v>51</v>
      </c>
      <c r="J25" s="159" t="s">
        <v>764</v>
      </c>
      <c r="K25" s="55">
        <v>20038918</v>
      </c>
      <c r="L25" s="55" t="s">
        <v>198</v>
      </c>
      <c r="M25" s="141" t="str">
        <f t="shared" si="1"/>
        <v>EH1-INT_D</v>
      </c>
      <c r="N25" s="142" t="str">
        <f>LOOKUP(M25,'[2]Doc Set'!E:E,'[2]Doc Set'!F:F)</f>
        <v>_</v>
      </c>
      <c r="O25" s="141" t="s">
        <v>714</v>
      </c>
      <c r="P25" s="142">
        <f>+LOOKUP(O25,'[2]Doc Set'!E:E,'[2]Doc Set'!G:G)</f>
        <v>43493</v>
      </c>
      <c r="Q25" s="55" t="str">
        <f t="shared" si="0"/>
        <v>EH1-INT_D</v>
      </c>
      <c r="R25" s="142">
        <f>+LOOKUP(Q25,'[2]Doc Set'!E:E,'[2]Doc Set'!H:H)</f>
        <v>43521</v>
      </c>
      <c r="S25" s="143" t="s">
        <v>200</v>
      </c>
    </row>
    <row r="26" spans="1:19" x14ac:dyDescent="0.3">
      <c r="A26" s="156" t="s">
        <v>40</v>
      </c>
      <c r="B26" s="157" t="s">
        <v>190</v>
      </c>
      <c r="C26" s="157" t="s">
        <v>191</v>
      </c>
      <c r="D26" s="158" t="s">
        <v>64</v>
      </c>
      <c r="E26" s="55" t="s">
        <v>193</v>
      </c>
      <c r="F26" s="55" t="s">
        <v>194</v>
      </c>
      <c r="G26" s="55" t="s">
        <v>285</v>
      </c>
      <c r="H26" s="55" t="s">
        <v>765</v>
      </c>
      <c r="I26" s="139" t="s">
        <v>51</v>
      </c>
      <c r="J26" s="159" t="s">
        <v>766</v>
      </c>
      <c r="K26" s="55">
        <v>20038918</v>
      </c>
      <c r="L26" s="55" t="s">
        <v>198</v>
      </c>
      <c r="M26" s="141" t="str">
        <f t="shared" si="1"/>
        <v>EH1-INT_D</v>
      </c>
      <c r="N26" s="142" t="str">
        <f>LOOKUP(M26,'[2]Doc Set'!E:E,'[2]Doc Set'!F:F)</f>
        <v>_</v>
      </c>
      <c r="O26" s="141" t="s">
        <v>714</v>
      </c>
      <c r="P26" s="142">
        <f>+LOOKUP(O26,'[2]Doc Set'!E:E,'[2]Doc Set'!G:G)</f>
        <v>43493</v>
      </c>
      <c r="Q26" s="55" t="str">
        <f t="shared" si="0"/>
        <v>EH1-INT_D</v>
      </c>
      <c r="R26" s="142">
        <f>+LOOKUP(Q26,'[2]Doc Set'!E:E,'[2]Doc Set'!H:H)</f>
        <v>43521</v>
      </c>
      <c r="S26" s="143" t="s">
        <v>200</v>
      </c>
    </row>
    <row r="27" spans="1:19" x14ac:dyDescent="0.3">
      <c r="A27" s="156" t="s">
        <v>40</v>
      </c>
      <c r="B27" s="157" t="s">
        <v>190</v>
      </c>
      <c r="C27" s="157" t="s">
        <v>191</v>
      </c>
      <c r="D27" s="158" t="s">
        <v>64</v>
      </c>
      <c r="E27" s="55" t="s">
        <v>193</v>
      </c>
      <c r="F27" s="55" t="s">
        <v>194</v>
      </c>
      <c r="G27" s="55" t="s">
        <v>288</v>
      </c>
      <c r="H27" s="55" t="s">
        <v>767</v>
      </c>
      <c r="I27" s="139" t="s">
        <v>51</v>
      </c>
      <c r="J27" s="159" t="s">
        <v>768</v>
      </c>
      <c r="K27" s="55">
        <v>20038918</v>
      </c>
      <c r="L27" s="55" t="s">
        <v>198</v>
      </c>
      <c r="M27" s="141" t="str">
        <f t="shared" si="1"/>
        <v>EH1-INT_D</v>
      </c>
      <c r="N27" s="142" t="str">
        <f>LOOKUP(M27,'[2]Doc Set'!E:E,'[2]Doc Set'!F:F)</f>
        <v>_</v>
      </c>
      <c r="O27" s="141" t="s">
        <v>714</v>
      </c>
      <c r="P27" s="142">
        <f>+LOOKUP(O27,'[2]Doc Set'!E:E,'[2]Doc Set'!G:G)</f>
        <v>43493</v>
      </c>
      <c r="Q27" s="55" t="str">
        <f t="shared" si="0"/>
        <v>EH1-INT_D</v>
      </c>
      <c r="R27" s="142">
        <f>+LOOKUP(Q27,'[2]Doc Set'!E:E,'[2]Doc Set'!H:H)</f>
        <v>43521</v>
      </c>
      <c r="S27" s="143" t="s">
        <v>200</v>
      </c>
    </row>
    <row r="28" spans="1:19" x14ac:dyDescent="0.3">
      <c r="A28" s="156" t="s">
        <v>40</v>
      </c>
      <c r="B28" s="157" t="s">
        <v>190</v>
      </c>
      <c r="C28" s="157" t="s">
        <v>191</v>
      </c>
      <c r="D28" s="158" t="s">
        <v>64</v>
      </c>
      <c r="E28" s="55" t="s">
        <v>193</v>
      </c>
      <c r="F28" s="55" t="s">
        <v>194</v>
      </c>
      <c r="G28" s="55" t="s">
        <v>291</v>
      </c>
      <c r="H28" s="55" t="s">
        <v>769</v>
      </c>
      <c r="I28" s="139" t="s">
        <v>51</v>
      </c>
      <c r="J28" s="159" t="s">
        <v>770</v>
      </c>
      <c r="K28" s="55">
        <v>20038918</v>
      </c>
      <c r="L28" s="55" t="s">
        <v>198</v>
      </c>
      <c r="M28" s="141" t="str">
        <f t="shared" si="1"/>
        <v>EH1-INT_D</v>
      </c>
      <c r="N28" s="142" t="str">
        <f>LOOKUP(M28,'[2]Doc Set'!E:E,'[2]Doc Set'!F:F)</f>
        <v>_</v>
      </c>
      <c r="O28" s="141" t="s">
        <v>714</v>
      </c>
      <c r="P28" s="142">
        <f>+LOOKUP(O28,'[2]Doc Set'!E:E,'[2]Doc Set'!G:G)</f>
        <v>43493</v>
      </c>
      <c r="Q28" s="55" t="str">
        <f t="shared" si="0"/>
        <v>EH1-INT_D</v>
      </c>
      <c r="R28" s="142">
        <f>+LOOKUP(Q28,'[2]Doc Set'!E:E,'[2]Doc Set'!H:H)</f>
        <v>43521</v>
      </c>
      <c r="S28" s="143" t="s">
        <v>200</v>
      </c>
    </row>
    <row r="29" spans="1:19" x14ac:dyDescent="0.3">
      <c r="A29" s="156" t="s">
        <v>40</v>
      </c>
      <c r="B29" s="157" t="s">
        <v>190</v>
      </c>
      <c r="C29" s="157" t="s">
        <v>191</v>
      </c>
      <c r="D29" s="158" t="s">
        <v>64</v>
      </c>
      <c r="E29" s="55" t="s">
        <v>193</v>
      </c>
      <c r="F29" s="55" t="s">
        <v>194</v>
      </c>
      <c r="G29" s="55" t="s">
        <v>294</v>
      </c>
      <c r="H29" s="55" t="s">
        <v>771</v>
      </c>
      <c r="I29" s="139" t="s">
        <v>51</v>
      </c>
      <c r="J29" s="159" t="s">
        <v>772</v>
      </c>
      <c r="K29" s="55">
        <v>20038918</v>
      </c>
      <c r="L29" s="55" t="s">
        <v>198</v>
      </c>
      <c r="M29" s="141" t="str">
        <f t="shared" si="1"/>
        <v>EH1-INT_D</v>
      </c>
      <c r="N29" s="142" t="str">
        <f>LOOKUP(M29,'[2]Doc Set'!E:E,'[2]Doc Set'!F:F)</f>
        <v>_</v>
      </c>
      <c r="O29" s="141" t="s">
        <v>714</v>
      </c>
      <c r="P29" s="142">
        <f>+LOOKUP(O29,'[2]Doc Set'!E:E,'[2]Doc Set'!G:G)</f>
        <v>43493</v>
      </c>
      <c r="Q29" s="55" t="str">
        <f t="shared" si="0"/>
        <v>EH1-INT_D</v>
      </c>
      <c r="R29" s="142">
        <f>+LOOKUP(Q29,'[2]Doc Set'!E:E,'[2]Doc Set'!H:H)</f>
        <v>43521</v>
      </c>
      <c r="S29" s="143" t="s">
        <v>200</v>
      </c>
    </row>
    <row r="30" spans="1:19" x14ac:dyDescent="0.3">
      <c r="A30" s="156" t="s">
        <v>40</v>
      </c>
      <c r="B30" s="157" t="s">
        <v>190</v>
      </c>
      <c r="C30" s="157" t="s">
        <v>191</v>
      </c>
      <c r="D30" s="158" t="s">
        <v>64</v>
      </c>
      <c r="E30" s="55" t="s">
        <v>193</v>
      </c>
      <c r="F30" s="55" t="s">
        <v>194</v>
      </c>
      <c r="G30" s="55" t="s">
        <v>297</v>
      </c>
      <c r="H30" s="55" t="s">
        <v>773</v>
      </c>
      <c r="I30" s="139" t="s">
        <v>51</v>
      </c>
      <c r="J30" s="159" t="s">
        <v>774</v>
      </c>
      <c r="K30" s="55">
        <v>20038918</v>
      </c>
      <c r="L30" s="55" t="s">
        <v>198</v>
      </c>
      <c r="M30" s="141" t="str">
        <f t="shared" si="1"/>
        <v>EH1-INT_D</v>
      </c>
      <c r="N30" s="142" t="str">
        <f>LOOKUP(M30,'[2]Doc Set'!E:E,'[2]Doc Set'!F:F)</f>
        <v>_</v>
      </c>
      <c r="O30" s="141" t="s">
        <v>714</v>
      </c>
      <c r="P30" s="142">
        <f>+LOOKUP(O30,'[2]Doc Set'!E:E,'[2]Doc Set'!G:G)</f>
        <v>43493</v>
      </c>
      <c r="Q30" s="55" t="str">
        <f t="shared" si="0"/>
        <v>EH1-INT_D</v>
      </c>
      <c r="R30" s="142">
        <f>+LOOKUP(Q30,'[2]Doc Set'!E:E,'[2]Doc Set'!H:H)</f>
        <v>43521</v>
      </c>
      <c r="S30" s="143" t="s">
        <v>200</v>
      </c>
    </row>
    <row r="31" spans="1:19" x14ac:dyDescent="0.3">
      <c r="A31" s="156" t="s">
        <v>40</v>
      </c>
      <c r="B31" s="157" t="s">
        <v>190</v>
      </c>
      <c r="C31" s="157" t="s">
        <v>191</v>
      </c>
      <c r="D31" s="158" t="s">
        <v>64</v>
      </c>
      <c r="E31" s="55" t="s">
        <v>193</v>
      </c>
      <c r="F31" s="55" t="s">
        <v>194</v>
      </c>
      <c r="G31" s="55" t="s">
        <v>303</v>
      </c>
      <c r="H31" s="55" t="s">
        <v>775</v>
      </c>
      <c r="I31" s="139" t="s">
        <v>51</v>
      </c>
      <c r="J31" s="159" t="s">
        <v>776</v>
      </c>
      <c r="K31" s="55">
        <v>20038918</v>
      </c>
      <c r="L31" s="55" t="s">
        <v>198</v>
      </c>
      <c r="M31" s="141" t="str">
        <f t="shared" si="1"/>
        <v>EH1-INT_D</v>
      </c>
      <c r="N31" s="142" t="str">
        <f>LOOKUP(M31,'[2]Doc Set'!E:E,'[2]Doc Set'!F:F)</f>
        <v>_</v>
      </c>
      <c r="O31" s="141" t="s">
        <v>714</v>
      </c>
      <c r="P31" s="142">
        <f>+LOOKUP(O31,'[2]Doc Set'!E:E,'[2]Doc Set'!G:G)</f>
        <v>43493</v>
      </c>
      <c r="Q31" s="55" t="str">
        <f t="shared" si="0"/>
        <v>EH1-INT_D</v>
      </c>
      <c r="R31" s="142">
        <f>+LOOKUP(Q31,'[2]Doc Set'!E:E,'[2]Doc Set'!H:H)</f>
        <v>43521</v>
      </c>
      <c r="S31" s="143" t="s">
        <v>200</v>
      </c>
    </row>
    <row r="32" spans="1:19" x14ac:dyDescent="0.3">
      <c r="A32" s="156" t="s">
        <v>40</v>
      </c>
      <c r="B32" s="157" t="s">
        <v>190</v>
      </c>
      <c r="C32" s="157" t="s">
        <v>191</v>
      </c>
      <c r="D32" s="158" t="s">
        <v>64</v>
      </c>
      <c r="E32" s="55" t="s">
        <v>193</v>
      </c>
      <c r="F32" s="55" t="s">
        <v>194</v>
      </c>
      <c r="G32" s="55" t="s">
        <v>307</v>
      </c>
      <c r="H32" s="55" t="s">
        <v>777</v>
      </c>
      <c r="I32" s="139" t="s">
        <v>51</v>
      </c>
      <c r="J32" s="159" t="s">
        <v>778</v>
      </c>
      <c r="K32" s="55">
        <v>20038918</v>
      </c>
      <c r="L32" s="55" t="s">
        <v>198</v>
      </c>
      <c r="M32" s="141" t="str">
        <f t="shared" si="1"/>
        <v>EH1-INT_D</v>
      </c>
      <c r="N32" s="142" t="str">
        <f>LOOKUP(M32,'[2]Doc Set'!E:E,'[2]Doc Set'!F:F)</f>
        <v>_</v>
      </c>
      <c r="O32" s="141" t="s">
        <v>714</v>
      </c>
      <c r="P32" s="142">
        <f>+LOOKUP(O32,'[2]Doc Set'!E:E,'[2]Doc Set'!G:G)</f>
        <v>43493</v>
      </c>
      <c r="Q32" s="55" t="str">
        <f t="shared" si="0"/>
        <v>EH1-INT_D</v>
      </c>
      <c r="R32" s="142">
        <f>+LOOKUP(Q32,'[2]Doc Set'!E:E,'[2]Doc Set'!H:H)</f>
        <v>43521</v>
      </c>
      <c r="S32" s="143" t="s">
        <v>200</v>
      </c>
    </row>
    <row r="33" spans="1:19" x14ac:dyDescent="0.3">
      <c r="A33" s="156" t="s">
        <v>40</v>
      </c>
      <c r="B33" s="157" t="s">
        <v>190</v>
      </c>
      <c r="C33" s="157" t="s">
        <v>191</v>
      </c>
      <c r="D33" s="158" t="s">
        <v>64</v>
      </c>
      <c r="E33" s="55" t="s">
        <v>193</v>
      </c>
      <c r="F33" s="55" t="s">
        <v>194</v>
      </c>
      <c r="G33" s="55" t="s">
        <v>310</v>
      </c>
      <c r="H33" s="55" t="s">
        <v>779</v>
      </c>
      <c r="I33" s="139" t="s">
        <v>51</v>
      </c>
      <c r="J33" s="159" t="s">
        <v>780</v>
      </c>
      <c r="K33" s="55">
        <v>20038918</v>
      </c>
      <c r="L33" s="55" t="s">
        <v>198</v>
      </c>
      <c r="M33" s="141" t="str">
        <f t="shared" si="1"/>
        <v>EH1-INT_D</v>
      </c>
      <c r="N33" s="142" t="str">
        <f>LOOKUP(M33,'[2]Doc Set'!E:E,'[2]Doc Set'!F:F)</f>
        <v>_</v>
      </c>
      <c r="O33" s="141" t="s">
        <v>714</v>
      </c>
      <c r="P33" s="142">
        <f>+LOOKUP(O33,'[2]Doc Set'!E:E,'[2]Doc Set'!G:G)</f>
        <v>43493</v>
      </c>
      <c r="Q33" s="55" t="str">
        <f t="shared" si="0"/>
        <v>EH1-INT_D</v>
      </c>
      <c r="R33" s="142">
        <f>+LOOKUP(Q33,'[2]Doc Set'!E:E,'[2]Doc Set'!H:H)</f>
        <v>43521</v>
      </c>
      <c r="S33" s="143" t="s">
        <v>200</v>
      </c>
    </row>
    <row r="34" spans="1:19" x14ac:dyDescent="0.3">
      <c r="A34" s="156" t="s">
        <v>40</v>
      </c>
      <c r="B34" s="157" t="s">
        <v>190</v>
      </c>
      <c r="C34" s="157" t="s">
        <v>191</v>
      </c>
      <c r="D34" s="158" t="s">
        <v>64</v>
      </c>
      <c r="E34" s="55" t="s">
        <v>193</v>
      </c>
      <c r="F34" s="55" t="s">
        <v>194</v>
      </c>
      <c r="G34" s="55" t="s">
        <v>313</v>
      </c>
      <c r="H34" s="55" t="s">
        <v>781</v>
      </c>
      <c r="I34" s="139" t="s">
        <v>51</v>
      </c>
      <c r="J34" s="159" t="s">
        <v>782</v>
      </c>
      <c r="K34" s="55">
        <v>20038918</v>
      </c>
      <c r="L34" s="55" t="s">
        <v>198</v>
      </c>
      <c r="M34" s="141" t="str">
        <f t="shared" si="1"/>
        <v>EH1-INT_D</v>
      </c>
      <c r="N34" s="142" t="str">
        <f>LOOKUP(M34,'[2]Doc Set'!E:E,'[2]Doc Set'!F:F)</f>
        <v>_</v>
      </c>
      <c r="O34" s="141" t="s">
        <v>714</v>
      </c>
      <c r="P34" s="142">
        <f>+LOOKUP(O34,'[2]Doc Set'!E:E,'[2]Doc Set'!G:G)</f>
        <v>43493</v>
      </c>
      <c r="Q34" s="55" t="str">
        <f t="shared" si="0"/>
        <v>EH1-INT_D</v>
      </c>
      <c r="R34" s="142">
        <f>+LOOKUP(Q34,'[2]Doc Set'!E:E,'[2]Doc Set'!H:H)</f>
        <v>43521</v>
      </c>
      <c r="S34" s="143" t="s">
        <v>200</v>
      </c>
    </row>
    <row r="35" spans="1:19" x14ac:dyDescent="0.3">
      <c r="A35" s="156" t="s">
        <v>40</v>
      </c>
      <c r="B35" s="157" t="s">
        <v>190</v>
      </c>
      <c r="C35" s="157" t="s">
        <v>191</v>
      </c>
      <c r="D35" s="158" t="s">
        <v>64</v>
      </c>
      <c r="E35" s="55" t="s">
        <v>193</v>
      </c>
      <c r="F35" s="55" t="s">
        <v>194</v>
      </c>
      <c r="G35" s="55" t="s">
        <v>316</v>
      </c>
      <c r="H35" s="55" t="s">
        <v>783</v>
      </c>
      <c r="I35" s="139" t="s">
        <v>51</v>
      </c>
      <c r="J35" s="159" t="s">
        <v>784</v>
      </c>
      <c r="K35" s="55">
        <v>20038918</v>
      </c>
      <c r="L35" s="55" t="s">
        <v>198</v>
      </c>
      <c r="M35" s="141" t="str">
        <f t="shared" si="1"/>
        <v>EH1-INT_D</v>
      </c>
      <c r="N35" s="142" t="str">
        <f>LOOKUP(M35,'[2]Doc Set'!E:E,'[2]Doc Set'!F:F)</f>
        <v>_</v>
      </c>
      <c r="O35" s="141" t="s">
        <v>714</v>
      </c>
      <c r="P35" s="142">
        <f>+LOOKUP(O35,'[2]Doc Set'!E:E,'[2]Doc Set'!G:G)</f>
        <v>43493</v>
      </c>
      <c r="Q35" s="55" t="str">
        <f t="shared" si="0"/>
        <v>EH1-INT_D</v>
      </c>
      <c r="R35" s="142">
        <f>+LOOKUP(Q35,'[2]Doc Set'!E:E,'[2]Doc Set'!H:H)</f>
        <v>43521</v>
      </c>
      <c r="S35" s="143" t="s">
        <v>200</v>
      </c>
    </row>
    <row r="36" spans="1:19" x14ac:dyDescent="0.3">
      <c r="A36" s="156" t="s">
        <v>40</v>
      </c>
      <c r="B36" s="157" t="s">
        <v>190</v>
      </c>
      <c r="C36" s="157" t="s">
        <v>191</v>
      </c>
      <c r="D36" s="158" t="s">
        <v>64</v>
      </c>
      <c r="E36" s="55" t="s">
        <v>193</v>
      </c>
      <c r="F36" s="55" t="s">
        <v>194</v>
      </c>
      <c r="G36" s="55" t="s">
        <v>319</v>
      </c>
      <c r="H36" s="55" t="s">
        <v>785</v>
      </c>
      <c r="I36" s="139" t="s">
        <v>51</v>
      </c>
      <c r="J36" s="159" t="s">
        <v>786</v>
      </c>
      <c r="K36" s="55">
        <v>20038918</v>
      </c>
      <c r="L36" s="55" t="s">
        <v>198</v>
      </c>
      <c r="M36" s="141" t="str">
        <f t="shared" si="1"/>
        <v>EH1-INT_D</v>
      </c>
      <c r="N36" s="142" t="str">
        <f>LOOKUP(M36,'[2]Doc Set'!E:E,'[2]Doc Set'!F:F)</f>
        <v>_</v>
      </c>
      <c r="O36" s="141" t="s">
        <v>714</v>
      </c>
      <c r="P36" s="142">
        <f>+LOOKUP(O36,'[2]Doc Set'!E:E,'[2]Doc Set'!G:G)</f>
        <v>43493</v>
      </c>
      <c r="Q36" s="55" t="str">
        <f t="shared" si="0"/>
        <v>EH1-INT_D</v>
      </c>
      <c r="R36" s="142">
        <f>+LOOKUP(Q36,'[2]Doc Set'!E:E,'[2]Doc Set'!H:H)</f>
        <v>43521</v>
      </c>
      <c r="S36" s="143" t="s">
        <v>200</v>
      </c>
    </row>
    <row r="37" spans="1:19" x14ac:dyDescent="0.3">
      <c r="A37" s="156" t="s">
        <v>40</v>
      </c>
      <c r="B37" s="157" t="s">
        <v>190</v>
      </c>
      <c r="C37" s="157" t="s">
        <v>191</v>
      </c>
      <c r="D37" s="158" t="s">
        <v>64</v>
      </c>
      <c r="E37" s="55" t="s">
        <v>193</v>
      </c>
      <c r="F37" s="55" t="s">
        <v>194</v>
      </c>
      <c r="G37" s="55" t="s">
        <v>325</v>
      </c>
      <c r="H37" s="55" t="s">
        <v>787</v>
      </c>
      <c r="I37" s="139" t="s">
        <v>51</v>
      </c>
      <c r="J37" s="159" t="s">
        <v>788</v>
      </c>
      <c r="K37" s="55">
        <v>20038918</v>
      </c>
      <c r="L37" s="55" t="s">
        <v>198</v>
      </c>
      <c r="M37" s="141" t="str">
        <f t="shared" si="1"/>
        <v>EH1-INT_D</v>
      </c>
      <c r="N37" s="142" t="str">
        <f>LOOKUP(M37,'[2]Doc Set'!E:E,'[2]Doc Set'!F:F)</f>
        <v>_</v>
      </c>
      <c r="O37" s="141" t="s">
        <v>714</v>
      </c>
      <c r="P37" s="142">
        <f>+LOOKUP(O37,'[2]Doc Set'!E:E,'[2]Doc Set'!G:G)</f>
        <v>43493</v>
      </c>
      <c r="Q37" s="55" t="str">
        <f t="shared" si="0"/>
        <v>EH1-INT_D</v>
      </c>
      <c r="R37" s="142">
        <f>+LOOKUP(Q37,'[2]Doc Set'!E:E,'[2]Doc Set'!H:H)</f>
        <v>43521</v>
      </c>
      <c r="S37" s="143" t="s">
        <v>200</v>
      </c>
    </row>
    <row r="38" spans="1:19" x14ac:dyDescent="0.3">
      <c r="A38" s="156" t="s">
        <v>40</v>
      </c>
      <c r="B38" s="157" t="s">
        <v>190</v>
      </c>
      <c r="C38" s="157" t="s">
        <v>191</v>
      </c>
      <c r="D38" s="158" t="s">
        <v>64</v>
      </c>
      <c r="E38" s="55" t="s">
        <v>193</v>
      </c>
      <c r="F38" s="55" t="s">
        <v>194</v>
      </c>
      <c r="G38" s="55" t="s">
        <v>328</v>
      </c>
      <c r="H38" s="55" t="s">
        <v>789</v>
      </c>
      <c r="I38" s="139" t="s">
        <v>51</v>
      </c>
      <c r="J38" s="159" t="s">
        <v>790</v>
      </c>
      <c r="K38" s="55">
        <v>20038918</v>
      </c>
      <c r="L38" s="55" t="s">
        <v>198</v>
      </c>
      <c r="M38" s="141" t="str">
        <f t="shared" si="1"/>
        <v>EH1-INT_D</v>
      </c>
      <c r="N38" s="142" t="str">
        <f>LOOKUP(M38,'[2]Doc Set'!E:E,'[2]Doc Set'!F:F)</f>
        <v>_</v>
      </c>
      <c r="O38" s="141" t="s">
        <v>714</v>
      </c>
      <c r="P38" s="142">
        <f>+LOOKUP(O38,'[2]Doc Set'!E:E,'[2]Doc Set'!G:G)</f>
        <v>43493</v>
      </c>
      <c r="Q38" s="55" t="str">
        <f t="shared" si="0"/>
        <v>EH1-INT_D</v>
      </c>
      <c r="R38" s="142">
        <f>+LOOKUP(Q38,'[2]Doc Set'!E:E,'[2]Doc Set'!H:H)</f>
        <v>43521</v>
      </c>
      <c r="S38" s="143" t="s">
        <v>200</v>
      </c>
    </row>
    <row r="39" spans="1:19" x14ac:dyDescent="0.3">
      <c r="A39" s="156" t="s">
        <v>40</v>
      </c>
      <c r="B39" s="157" t="s">
        <v>190</v>
      </c>
      <c r="C39" s="157" t="s">
        <v>191</v>
      </c>
      <c r="D39" s="158" t="s">
        <v>64</v>
      </c>
      <c r="E39" s="55" t="s">
        <v>193</v>
      </c>
      <c r="F39" s="55" t="s">
        <v>194</v>
      </c>
      <c r="G39" s="55" t="s">
        <v>331</v>
      </c>
      <c r="H39" s="55" t="s">
        <v>791</v>
      </c>
      <c r="I39" s="139" t="s">
        <v>51</v>
      </c>
      <c r="J39" s="159" t="s">
        <v>792</v>
      </c>
      <c r="K39" s="55">
        <v>20038918</v>
      </c>
      <c r="L39" s="55" t="s">
        <v>198</v>
      </c>
      <c r="M39" s="141" t="str">
        <f t="shared" si="1"/>
        <v>EH1-INT_D</v>
      </c>
      <c r="N39" s="142" t="str">
        <f>LOOKUP(M39,'[2]Doc Set'!E:E,'[2]Doc Set'!F:F)</f>
        <v>_</v>
      </c>
      <c r="O39" s="141" t="s">
        <v>714</v>
      </c>
      <c r="P39" s="142">
        <f>+LOOKUP(O39,'[2]Doc Set'!E:E,'[2]Doc Set'!G:G)</f>
        <v>43493</v>
      </c>
      <c r="Q39" s="55" t="str">
        <f t="shared" si="0"/>
        <v>EH1-INT_D</v>
      </c>
      <c r="R39" s="142">
        <f>+LOOKUP(Q39,'[2]Doc Set'!E:E,'[2]Doc Set'!H:H)</f>
        <v>43521</v>
      </c>
      <c r="S39" s="143" t="s">
        <v>200</v>
      </c>
    </row>
    <row r="40" spans="1:19" x14ac:dyDescent="0.3">
      <c r="A40" s="156" t="s">
        <v>40</v>
      </c>
      <c r="B40" s="157" t="s">
        <v>190</v>
      </c>
      <c r="C40" s="157" t="s">
        <v>191</v>
      </c>
      <c r="D40" s="158" t="s">
        <v>64</v>
      </c>
      <c r="E40" s="55" t="s">
        <v>193</v>
      </c>
      <c r="F40" s="55" t="s">
        <v>194</v>
      </c>
      <c r="G40" s="55" t="s">
        <v>334</v>
      </c>
      <c r="H40" s="55" t="s">
        <v>793</v>
      </c>
      <c r="I40" s="139" t="s">
        <v>51</v>
      </c>
      <c r="J40" s="159" t="s">
        <v>794</v>
      </c>
      <c r="K40" s="55">
        <v>20038918</v>
      </c>
      <c r="L40" s="55" t="s">
        <v>198</v>
      </c>
      <c r="M40" s="141" t="str">
        <f t="shared" si="1"/>
        <v>EH1-INT_D</v>
      </c>
      <c r="N40" s="142" t="str">
        <f>LOOKUP(M40,'[2]Doc Set'!E:E,'[2]Doc Set'!F:F)</f>
        <v>_</v>
      </c>
      <c r="O40" s="141" t="s">
        <v>714</v>
      </c>
      <c r="P40" s="142">
        <f>+LOOKUP(O40,'[2]Doc Set'!E:E,'[2]Doc Set'!G:G)</f>
        <v>43493</v>
      </c>
      <c r="Q40" s="55" t="str">
        <f t="shared" si="0"/>
        <v>EH1-INT_D</v>
      </c>
      <c r="R40" s="142">
        <f>+LOOKUP(Q40,'[2]Doc Set'!E:E,'[2]Doc Set'!H:H)</f>
        <v>43521</v>
      </c>
      <c r="S40" s="143" t="s">
        <v>200</v>
      </c>
    </row>
    <row r="41" spans="1:19" x14ac:dyDescent="0.3">
      <c r="A41" s="156" t="s">
        <v>40</v>
      </c>
      <c r="B41" s="157" t="s">
        <v>190</v>
      </c>
      <c r="C41" s="157" t="s">
        <v>191</v>
      </c>
      <c r="D41" s="158" t="s">
        <v>64</v>
      </c>
      <c r="E41" s="55" t="s">
        <v>193</v>
      </c>
      <c r="F41" s="55" t="s">
        <v>194</v>
      </c>
      <c r="G41" s="55" t="s">
        <v>337</v>
      </c>
      <c r="H41" s="55" t="s">
        <v>795</v>
      </c>
      <c r="I41" s="139" t="s">
        <v>51</v>
      </c>
      <c r="J41" s="159" t="s">
        <v>796</v>
      </c>
      <c r="K41" s="55">
        <v>20038918</v>
      </c>
      <c r="L41" s="55" t="s">
        <v>198</v>
      </c>
      <c r="M41" s="141" t="str">
        <f t="shared" si="1"/>
        <v>EH1-INT_D</v>
      </c>
      <c r="N41" s="142" t="str">
        <f>LOOKUP(M41,'[2]Doc Set'!E:E,'[2]Doc Set'!F:F)</f>
        <v>_</v>
      </c>
      <c r="O41" s="141" t="s">
        <v>714</v>
      </c>
      <c r="P41" s="142">
        <f>+LOOKUP(O41,'[2]Doc Set'!E:E,'[2]Doc Set'!G:G)</f>
        <v>43493</v>
      </c>
      <c r="Q41" s="55" t="str">
        <f t="shared" si="0"/>
        <v>EH1-INT_D</v>
      </c>
      <c r="R41" s="142">
        <f>+LOOKUP(Q41,'[2]Doc Set'!E:E,'[2]Doc Set'!H:H)</f>
        <v>43521</v>
      </c>
      <c r="S41" s="143" t="s">
        <v>200</v>
      </c>
    </row>
    <row r="42" spans="1:19" x14ac:dyDescent="0.3">
      <c r="A42" s="156" t="s">
        <v>40</v>
      </c>
      <c r="B42" s="157" t="s">
        <v>190</v>
      </c>
      <c r="C42" s="157" t="s">
        <v>191</v>
      </c>
      <c r="D42" s="158" t="s">
        <v>64</v>
      </c>
      <c r="E42" s="55" t="s">
        <v>193</v>
      </c>
      <c r="F42" s="55" t="s">
        <v>194</v>
      </c>
      <c r="G42" s="55" t="s">
        <v>340</v>
      </c>
      <c r="H42" s="55" t="s">
        <v>797</v>
      </c>
      <c r="I42" s="139" t="s">
        <v>51</v>
      </c>
      <c r="J42" s="159" t="s">
        <v>798</v>
      </c>
      <c r="K42" s="55">
        <v>20038918</v>
      </c>
      <c r="L42" s="55" t="s">
        <v>198</v>
      </c>
      <c r="M42" s="141" t="str">
        <f t="shared" si="1"/>
        <v>EH1-INT_D</v>
      </c>
      <c r="N42" s="142" t="str">
        <f>LOOKUP(M42,'[2]Doc Set'!E:E,'[2]Doc Set'!F:F)</f>
        <v>_</v>
      </c>
      <c r="O42" s="141" t="s">
        <v>714</v>
      </c>
      <c r="P42" s="142">
        <f>+LOOKUP(O42,'[2]Doc Set'!E:E,'[2]Doc Set'!G:G)</f>
        <v>43493</v>
      </c>
      <c r="Q42" s="55" t="str">
        <f t="shared" si="0"/>
        <v>EH1-INT_D</v>
      </c>
      <c r="R42" s="142">
        <f>+LOOKUP(Q42,'[2]Doc Set'!E:E,'[2]Doc Set'!H:H)</f>
        <v>43521</v>
      </c>
      <c r="S42" s="143" t="s">
        <v>200</v>
      </c>
    </row>
    <row r="43" spans="1:19" x14ac:dyDescent="0.3">
      <c r="A43" s="156" t="s">
        <v>40</v>
      </c>
      <c r="B43" s="157" t="s">
        <v>190</v>
      </c>
      <c r="C43" s="157" t="s">
        <v>191</v>
      </c>
      <c r="D43" s="158" t="s">
        <v>64</v>
      </c>
      <c r="E43" s="55" t="s">
        <v>193</v>
      </c>
      <c r="F43" s="55" t="s">
        <v>194</v>
      </c>
      <c r="G43" s="55" t="s">
        <v>799</v>
      </c>
      <c r="H43" s="55" t="s">
        <v>800</v>
      </c>
      <c r="I43" s="139" t="s">
        <v>51</v>
      </c>
      <c r="J43" s="159" t="s">
        <v>801</v>
      </c>
      <c r="K43" s="55">
        <v>20038918</v>
      </c>
      <c r="L43" s="55" t="s">
        <v>198</v>
      </c>
      <c r="M43" s="141" t="str">
        <f t="shared" si="1"/>
        <v>EH1-INT_D</v>
      </c>
      <c r="N43" s="142" t="str">
        <f>LOOKUP(M43,'[2]Doc Set'!E:E,'[2]Doc Set'!F:F)</f>
        <v>_</v>
      </c>
      <c r="O43" s="141" t="s">
        <v>714</v>
      </c>
      <c r="P43" s="142">
        <f>+LOOKUP(O43,'[2]Doc Set'!E:E,'[2]Doc Set'!G:G)</f>
        <v>43493</v>
      </c>
      <c r="Q43" s="55" t="str">
        <f t="shared" si="0"/>
        <v>EH1-INT_D</v>
      </c>
      <c r="R43" s="142">
        <f>+LOOKUP(Q43,'[2]Doc Set'!E:E,'[2]Doc Set'!H:H)</f>
        <v>43521</v>
      </c>
      <c r="S43" s="143" t="s">
        <v>200</v>
      </c>
    </row>
    <row r="44" spans="1:19" x14ac:dyDescent="0.3">
      <c r="A44" s="156" t="s">
        <v>40</v>
      </c>
      <c r="B44" s="157" t="s">
        <v>190</v>
      </c>
      <c r="C44" s="157" t="s">
        <v>191</v>
      </c>
      <c r="D44" s="158" t="s">
        <v>64</v>
      </c>
      <c r="E44" s="55" t="s">
        <v>193</v>
      </c>
      <c r="F44" s="55" t="s">
        <v>194</v>
      </c>
      <c r="G44" s="55" t="s">
        <v>491</v>
      </c>
      <c r="H44" s="55" t="s">
        <v>802</v>
      </c>
      <c r="I44" s="139" t="s">
        <v>51</v>
      </c>
      <c r="J44" s="159" t="s">
        <v>803</v>
      </c>
      <c r="K44" s="55">
        <v>20038918</v>
      </c>
      <c r="L44" s="55" t="s">
        <v>198</v>
      </c>
      <c r="M44" s="141" t="str">
        <f t="shared" si="1"/>
        <v>EH1-INT_D</v>
      </c>
      <c r="N44" s="142" t="str">
        <f>LOOKUP(M44,'[2]Doc Set'!E:E,'[2]Doc Set'!F:F)</f>
        <v>_</v>
      </c>
      <c r="O44" s="141" t="s">
        <v>714</v>
      </c>
      <c r="P44" s="142">
        <f>+LOOKUP(O44,'[2]Doc Set'!E:E,'[2]Doc Set'!G:G)</f>
        <v>43493</v>
      </c>
      <c r="Q44" s="55" t="str">
        <f t="shared" si="0"/>
        <v>EH1-INT_D</v>
      </c>
      <c r="R44" s="142">
        <f>+LOOKUP(Q44,'[2]Doc Set'!E:E,'[2]Doc Set'!H:H)</f>
        <v>43521</v>
      </c>
      <c r="S44" s="143" t="s">
        <v>200</v>
      </c>
    </row>
    <row r="45" spans="1:19" x14ac:dyDescent="0.3">
      <c r="A45" s="156" t="s">
        <v>40</v>
      </c>
      <c r="B45" s="157" t="s">
        <v>190</v>
      </c>
      <c r="C45" s="157" t="s">
        <v>191</v>
      </c>
      <c r="D45" s="158" t="s">
        <v>64</v>
      </c>
      <c r="E45" s="55" t="s">
        <v>193</v>
      </c>
      <c r="F45" s="55" t="s">
        <v>194</v>
      </c>
      <c r="G45" s="55" t="s">
        <v>518</v>
      </c>
      <c r="H45" s="55" t="s">
        <v>804</v>
      </c>
      <c r="I45" s="139" t="s">
        <v>51</v>
      </c>
      <c r="J45" s="159" t="s">
        <v>805</v>
      </c>
      <c r="K45" s="55">
        <v>20038918</v>
      </c>
      <c r="L45" s="55" t="s">
        <v>198</v>
      </c>
      <c r="M45" s="141" t="str">
        <f t="shared" si="1"/>
        <v>EH1-INT_D</v>
      </c>
      <c r="N45" s="142" t="str">
        <f>LOOKUP(M45,'[2]Doc Set'!E:E,'[2]Doc Set'!F:F)</f>
        <v>_</v>
      </c>
      <c r="O45" s="141" t="s">
        <v>714</v>
      </c>
      <c r="P45" s="142">
        <f>+LOOKUP(O45,'[2]Doc Set'!E:E,'[2]Doc Set'!G:G)</f>
        <v>43493</v>
      </c>
      <c r="Q45" s="55" t="str">
        <f t="shared" si="0"/>
        <v>EH1-INT_D</v>
      </c>
      <c r="R45" s="142">
        <f>+LOOKUP(Q45,'[2]Doc Set'!E:E,'[2]Doc Set'!H:H)</f>
        <v>43521</v>
      </c>
      <c r="S45" s="143" t="s">
        <v>200</v>
      </c>
    </row>
    <row r="46" spans="1:19" x14ac:dyDescent="0.3">
      <c r="A46" s="156" t="s">
        <v>40</v>
      </c>
      <c r="B46" s="157" t="s">
        <v>190</v>
      </c>
      <c r="C46" s="157" t="s">
        <v>191</v>
      </c>
      <c r="D46" s="158" t="s">
        <v>64</v>
      </c>
      <c r="E46" s="55" t="s">
        <v>193</v>
      </c>
      <c r="F46" s="55" t="s">
        <v>194</v>
      </c>
      <c r="G46" s="55" t="s">
        <v>494</v>
      </c>
      <c r="H46" s="55" t="s">
        <v>806</v>
      </c>
      <c r="I46" s="139" t="s">
        <v>51</v>
      </c>
      <c r="J46" s="159" t="s">
        <v>807</v>
      </c>
      <c r="K46" s="55">
        <v>20038918</v>
      </c>
      <c r="L46" s="55" t="s">
        <v>198</v>
      </c>
      <c r="M46" s="141" t="str">
        <f t="shared" si="1"/>
        <v>EH1-INT_D</v>
      </c>
      <c r="N46" s="142" t="str">
        <f>LOOKUP(M46,'[2]Doc Set'!E:E,'[2]Doc Set'!F:F)</f>
        <v>_</v>
      </c>
      <c r="O46" s="141" t="s">
        <v>714</v>
      </c>
      <c r="P46" s="142">
        <f>+LOOKUP(O46,'[2]Doc Set'!E:E,'[2]Doc Set'!G:G)</f>
        <v>43493</v>
      </c>
      <c r="Q46" s="55" t="str">
        <f t="shared" si="0"/>
        <v>EH1-INT_D</v>
      </c>
      <c r="R46" s="142">
        <f>+LOOKUP(Q46,'[2]Doc Set'!E:E,'[2]Doc Set'!H:H)</f>
        <v>43521</v>
      </c>
      <c r="S46" s="143" t="s">
        <v>200</v>
      </c>
    </row>
    <row r="47" spans="1:19" x14ac:dyDescent="0.3">
      <c r="A47" s="156" t="s">
        <v>40</v>
      </c>
      <c r="B47" s="157" t="s">
        <v>190</v>
      </c>
      <c r="C47" s="157" t="s">
        <v>191</v>
      </c>
      <c r="D47" s="158" t="s">
        <v>64</v>
      </c>
      <c r="E47" s="55" t="s">
        <v>193</v>
      </c>
      <c r="F47" s="55" t="s">
        <v>194</v>
      </c>
      <c r="G47" s="55" t="s">
        <v>497</v>
      </c>
      <c r="H47" s="55" t="s">
        <v>808</v>
      </c>
      <c r="I47" s="139" t="s">
        <v>51</v>
      </c>
      <c r="J47" s="159" t="s">
        <v>809</v>
      </c>
      <c r="K47" s="55">
        <v>20038918</v>
      </c>
      <c r="L47" s="55" t="s">
        <v>198</v>
      </c>
      <c r="M47" s="141" t="str">
        <f t="shared" si="1"/>
        <v>EH1-INT_D</v>
      </c>
      <c r="N47" s="142" t="str">
        <f>LOOKUP(M47,'[2]Doc Set'!E:E,'[2]Doc Set'!F:F)</f>
        <v>_</v>
      </c>
      <c r="O47" s="141" t="s">
        <v>714</v>
      </c>
      <c r="P47" s="142">
        <f>+LOOKUP(O47,'[2]Doc Set'!E:E,'[2]Doc Set'!G:G)</f>
        <v>43493</v>
      </c>
      <c r="Q47" s="55" t="str">
        <f t="shared" si="0"/>
        <v>EH1-INT_D</v>
      </c>
      <c r="R47" s="142">
        <f>+LOOKUP(Q47,'[2]Doc Set'!E:E,'[2]Doc Set'!H:H)</f>
        <v>43521</v>
      </c>
      <c r="S47" s="143" t="s">
        <v>200</v>
      </c>
    </row>
    <row r="48" spans="1:19" x14ac:dyDescent="0.3">
      <c r="A48" s="156" t="s">
        <v>40</v>
      </c>
      <c r="B48" s="157" t="s">
        <v>190</v>
      </c>
      <c r="C48" s="157" t="s">
        <v>191</v>
      </c>
      <c r="D48" s="158" t="s">
        <v>64</v>
      </c>
      <c r="E48" s="55" t="s">
        <v>193</v>
      </c>
      <c r="F48" s="55" t="s">
        <v>194</v>
      </c>
      <c r="G48" s="55" t="s">
        <v>500</v>
      </c>
      <c r="H48" s="55" t="s">
        <v>810</v>
      </c>
      <c r="I48" s="139" t="s">
        <v>51</v>
      </c>
      <c r="J48" s="159" t="s">
        <v>811</v>
      </c>
      <c r="K48" s="55">
        <v>20038918</v>
      </c>
      <c r="L48" s="55" t="s">
        <v>198</v>
      </c>
      <c r="M48" s="141" t="str">
        <f t="shared" si="1"/>
        <v>EH1-INT_D</v>
      </c>
      <c r="N48" s="142" t="str">
        <f>LOOKUP(M48,'[2]Doc Set'!E:E,'[2]Doc Set'!F:F)</f>
        <v>_</v>
      </c>
      <c r="O48" s="141" t="s">
        <v>714</v>
      </c>
      <c r="P48" s="142">
        <f>+LOOKUP(O48,'[2]Doc Set'!E:E,'[2]Doc Set'!G:G)</f>
        <v>43493</v>
      </c>
      <c r="Q48" s="55" t="str">
        <f t="shared" si="0"/>
        <v>EH1-INT_D</v>
      </c>
      <c r="R48" s="142">
        <f>+LOOKUP(Q48,'[2]Doc Set'!E:E,'[2]Doc Set'!H:H)</f>
        <v>43521</v>
      </c>
      <c r="S48" s="143" t="s">
        <v>200</v>
      </c>
    </row>
    <row r="49" spans="1:19" x14ac:dyDescent="0.3">
      <c r="A49" s="156" t="s">
        <v>40</v>
      </c>
      <c r="B49" s="157" t="s">
        <v>190</v>
      </c>
      <c r="C49" s="157" t="s">
        <v>191</v>
      </c>
      <c r="D49" s="158" t="s">
        <v>64</v>
      </c>
      <c r="E49" s="55" t="s">
        <v>193</v>
      </c>
      <c r="F49" s="55" t="s">
        <v>194</v>
      </c>
      <c r="G49" s="55" t="s">
        <v>503</v>
      </c>
      <c r="H49" s="55" t="s">
        <v>812</v>
      </c>
      <c r="I49" s="139" t="s">
        <v>51</v>
      </c>
      <c r="J49" s="159" t="s">
        <v>813</v>
      </c>
      <c r="K49" s="55">
        <v>20038918</v>
      </c>
      <c r="L49" s="55" t="s">
        <v>198</v>
      </c>
      <c r="M49" s="141" t="str">
        <f t="shared" si="1"/>
        <v>EH1-INT_D</v>
      </c>
      <c r="N49" s="142" t="str">
        <f>LOOKUP(M49,'[2]Doc Set'!E:E,'[2]Doc Set'!F:F)</f>
        <v>_</v>
      </c>
      <c r="O49" s="141" t="s">
        <v>714</v>
      </c>
      <c r="P49" s="142">
        <f>+LOOKUP(O49,'[2]Doc Set'!E:E,'[2]Doc Set'!G:G)</f>
        <v>43493</v>
      </c>
      <c r="Q49" s="55" t="str">
        <f t="shared" si="0"/>
        <v>EH1-INT_D</v>
      </c>
      <c r="R49" s="142">
        <f>+LOOKUP(Q49,'[2]Doc Set'!E:E,'[2]Doc Set'!H:H)</f>
        <v>43521</v>
      </c>
      <c r="S49" s="143" t="s">
        <v>200</v>
      </c>
    </row>
    <row r="50" spans="1:19" ht="28.8" x14ac:dyDescent="0.3">
      <c r="A50" s="156" t="s">
        <v>40</v>
      </c>
      <c r="B50" s="157" t="s">
        <v>190</v>
      </c>
      <c r="C50" s="157" t="s">
        <v>191</v>
      </c>
      <c r="D50" s="158" t="s">
        <v>64</v>
      </c>
      <c r="E50" s="55" t="s">
        <v>193</v>
      </c>
      <c r="F50" s="55" t="s">
        <v>521</v>
      </c>
      <c r="G50" s="55" t="s">
        <v>522</v>
      </c>
      <c r="H50" s="55" t="s">
        <v>814</v>
      </c>
      <c r="I50" s="139" t="s">
        <v>51</v>
      </c>
      <c r="J50" s="159" t="s">
        <v>815</v>
      </c>
      <c r="K50" s="55">
        <v>20038918</v>
      </c>
      <c r="L50" s="55" t="s">
        <v>198</v>
      </c>
      <c r="M50" s="141" t="str">
        <f t="shared" si="1"/>
        <v>EH1-INT_D</v>
      </c>
      <c r="N50" s="142" t="str">
        <f>LOOKUP(M50,'[2]Doc Set'!E:E,'[2]Doc Set'!F:F)</f>
        <v>_</v>
      </c>
      <c r="O50" s="141" t="s">
        <v>714</v>
      </c>
      <c r="P50" s="142">
        <f>+LOOKUP(O50,'[2]Doc Set'!E:E,'[2]Doc Set'!G:G)</f>
        <v>43493</v>
      </c>
      <c r="Q50" s="55" t="str">
        <f t="shared" si="0"/>
        <v>EH1-INT_D</v>
      </c>
      <c r="R50" s="142">
        <f>+LOOKUP(Q50,'[2]Doc Set'!E:E,'[2]Doc Set'!H:H)</f>
        <v>43521</v>
      </c>
      <c r="S50" s="143" t="s">
        <v>200</v>
      </c>
    </row>
    <row r="51" spans="1:19" ht="28.8" x14ac:dyDescent="0.3">
      <c r="A51" s="156" t="s">
        <v>40</v>
      </c>
      <c r="B51" s="157" t="s">
        <v>190</v>
      </c>
      <c r="C51" s="157" t="s">
        <v>191</v>
      </c>
      <c r="D51" s="158" t="s">
        <v>64</v>
      </c>
      <c r="E51" s="55" t="s">
        <v>193</v>
      </c>
      <c r="F51" s="55" t="s">
        <v>521</v>
      </c>
      <c r="G51" s="55" t="s">
        <v>525</v>
      </c>
      <c r="H51" s="55" t="s">
        <v>816</v>
      </c>
      <c r="I51" s="139" t="s">
        <v>51</v>
      </c>
      <c r="J51" s="159" t="s">
        <v>817</v>
      </c>
      <c r="K51" s="55">
        <v>20038918</v>
      </c>
      <c r="L51" s="55" t="s">
        <v>198</v>
      </c>
      <c r="M51" s="141" t="str">
        <f t="shared" si="1"/>
        <v>EH1-INT_D</v>
      </c>
      <c r="N51" s="142" t="str">
        <f>LOOKUP(M51,'[2]Doc Set'!E:E,'[2]Doc Set'!F:F)</f>
        <v>_</v>
      </c>
      <c r="O51" s="141" t="s">
        <v>714</v>
      </c>
      <c r="P51" s="142">
        <f>+LOOKUP(O51,'[2]Doc Set'!E:E,'[2]Doc Set'!G:G)</f>
        <v>43493</v>
      </c>
      <c r="Q51" s="55" t="str">
        <f t="shared" si="0"/>
        <v>EH1-INT_D</v>
      </c>
      <c r="R51" s="142">
        <f>+LOOKUP(Q51,'[2]Doc Set'!E:E,'[2]Doc Set'!H:H)</f>
        <v>43521</v>
      </c>
      <c r="S51" s="143" t="s">
        <v>200</v>
      </c>
    </row>
    <row r="52" spans="1:19" ht="28.8" x14ac:dyDescent="0.3">
      <c r="A52" s="156" t="s">
        <v>40</v>
      </c>
      <c r="B52" s="157" t="s">
        <v>190</v>
      </c>
      <c r="C52" s="157" t="s">
        <v>191</v>
      </c>
      <c r="D52" s="158" t="s">
        <v>64</v>
      </c>
      <c r="E52" s="55" t="s">
        <v>193</v>
      </c>
      <c r="F52" s="55" t="s">
        <v>521</v>
      </c>
      <c r="G52" s="55" t="s">
        <v>528</v>
      </c>
      <c r="H52" s="55" t="s">
        <v>818</v>
      </c>
      <c r="I52" s="139" t="s">
        <v>51</v>
      </c>
      <c r="J52" s="159" t="s">
        <v>819</v>
      </c>
      <c r="K52" s="55">
        <v>20038918</v>
      </c>
      <c r="L52" s="55" t="s">
        <v>198</v>
      </c>
      <c r="M52" s="141" t="str">
        <f t="shared" si="1"/>
        <v>EH1-INT_D</v>
      </c>
      <c r="N52" s="142" t="str">
        <f>LOOKUP(M52,'[2]Doc Set'!E:E,'[2]Doc Set'!F:F)</f>
        <v>_</v>
      </c>
      <c r="O52" s="141" t="s">
        <v>714</v>
      </c>
      <c r="P52" s="142">
        <f>+LOOKUP(O52,'[2]Doc Set'!E:E,'[2]Doc Set'!G:G)</f>
        <v>43493</v>
      </c>
      <c r="Q52" s="55" t="str">
        <f t="shared" si="0"/>
        <v>EH1-INT_D</v>
      </c>
      <c r="R52" s="142">
        <f>+LOOKUP(Q52,'[2]Doc Set'!E:E,'[2]Doc Set'!H:H)</f>
        <v>43521</v>
      </c>
      <c r="S52" s="143" t="s">
        <v>200</v>
      </c>
    </row>
    <row r="53" spans="1:19" ht="28.8" x14ac:dyDescent="0.3">
      <c r="A53" s="156" t="s">
        <v>40</v>
      </c>
      <c r="B53" s="157" t="s">
        <v>190</v>
      </c>
      <c r="C53" s="157" t="s">
        <v>191</v>
      </c>
      <c r="D53" s="158" t="s">
        <v>64</v>
      </c>
      <c r="E53" s="55" t="s">
        <v>193</v>
      </c>
      <c r="F53" s="55" t="s">
        <v>521</v>
      </c>
      <c r="G53" s="55" t="s">
        <v>820</v>
      </c>
      <c r="H53" s="55" t="s">
        <v>821</v>
      </c>
      <c r="I53" s="139" t="s">
        <v>51</v>
      </c>
      <c r="J53" s="159" t="s">
        <v>822</v>
      </c>
      <c r="K53" s="55">
        <v>20038918</v>
      </c>
      <c r="L53" s="55" t="s">
        <v>198</v>
      </c>
      <c r="M53" s="141" t="str">
        <f t="shared" si="1"/>
        <v>EH1-INT_D</v>
      </c>
      <c r="N53" s="142" t="str">
        <f>LOOKUP(M53,'[2]Doc Set'!E:E,'[2]Doc Set'!F:F)</f>
        <v>_</v>
      </c>
      <c r="O53" s="141" t="s">
        <v>714</v>
      </c>
      <c r="P53" s="142">
        <f>+LOOKUP(O53,'[2]Doc Set'!E:E,'[2]Doc Set'!G:G)</f>
        <v>43493</v>
      </c>
      <c r="Q53" s="55" t="str">
        <f t="shared" si="0"/>
        <v>EH1-INT_D</v>
      </c>
      <c r="R53" s="142">
        <f>+LOOKUP(Q53,'[2]Doc Set'!E:E,'[2]Doc Set'!H:H)</f>
        <v>43521</v>
      </c>
      <c r="S53" s="143" t="s">
        <v>200</v>
      </c>
    </row>
    <row r="54" spans="1:19" ht="28.8" x14ac:dyDescent="0.3">
      <c r="A54" s="156" t="s">
        <v>40</v>
      </c>
      <c r="B54" s="157" t="s">
        <v>190</v>
      </c>
      <c r="C54" s="157" t="s">
        <v>191</v>
      </c>
      <c r="D54" s="158" t="s">
        <v>64</v>
      </c>
      <c r="E54" s="55" t="s">
        <v>193</v>
      </c>
      <c r="F54" s="55" t="s">
        <v>521</v>
      </c>
      <c r="G54" s="55" t="s">
        <v>823</v>
      </c>
      <c r="H54" s="55" t="s">
        <v>824</v>
      </c>
      <c r="I54" s="139" t="s">
        <v>51</v>
      </c>
      <c r="J54" s="159" t="s">
        <v>825</v>
      </c>
      <c r="K54" s="55">
        <v>20038918</v>
      </c>
      <c r="L54" s="55" t="s">
        <v>198</v>
      </c>
      <c r="M54" s="141" t="str">
        <f t="shared" si="1"/>
        <v>EH1-INT_D</v>
      </c>
      <c r="N54" s="142" t="str">
        <f>LOOKUP(M54,'[2]Doc Set'!E:E,'[2]Doc Set'!F:F)</f>
        <v>_</v>
      </c>
      <c r="O54" s="141" t="s">
        <v>714</v>
      </c>
      <c r="P54" s="142">
        <f>+LOOKUP(O54,'[2]Doc Set'!E:E,'[2]Doc Set'!G:G)</f>
        <v>43493</v>
      </c>
      <c r="Q54" s="55" t="str">
        <f t="shared" si="0"/>
        <v>EH1-INT_D</v>
      </c>
      <c r="R54" s="142">
        <f>+LOOKUP(Q54,'[2]Doc Set'!E:E,'[2]Doc Set'!H:H)</f>
        <v>43521</v>
      </c>
      <c r="S54" s="143" t="s">
        <v>200</v>
      </c>
    </row>
    <row r="55" spans="1:19" x14ac:dyDescent="0.3">
      <c r="A55" s="156" t="s">
        <v>40</v>
      </c>
      <c r="B55" s="157" t="s">
        <v>190</v>
      </c>
      <c r="C55" s="157" t="s">
        <v>191</v>
      </c>
      <c r="D55" s="158" t="s">
        <v>64</v>
      </c>
      <c r="E55" s="55" t="s">
        <v>193</v>
      </c>
      <c r="F55" s="55" t="s">
        <v>451</v>
      </c>
      <c r="G55" s="55" t="s">
        <v>458</v>
      </c>
      <c r="H55" s="55" t="s">
        <v>826</v>
      </c>
      <c r="I55" s="139" t="s">
        <v>134</v>
      </c>
      <c r="J55" s="159" t="s">
        <v>827</v>
      </c>
      <c r="K55" s="55">
        <v>20038918</v>
      </c>
      <c r="L55" s="55" t="s">
        <v>198</v>
      </c>
      <c r="M55" s="141" t="str">
        <f t="shared" si="1"/>
        <v>EH1-INT_D</v>
      </c>
      <c r="N55" s="142" t="str">
        <f>LOOKUP(M55,'[2]Doc Set'!E:E,'[2]Doc Set'!F:F)</f>
        <v>_</v>
      </c>
      <c r="O55" s="141" t="s">
        <v>714</v>
      </c>
      <c r="P55" s="142">
        <f>+LOOKUP(O55,'[2]Doc Set'!E:E,'[2]Doc Set'!G:G)</f>
        <v>43493</v>
      </c>
      <c r="Q55" s="55" t="str">
        <f t="shared" si="0"/>
        <v>EH1-INT_D</v>
      </c>
      <c r="R55" s="142">
        <f>+LOOKUP(Q55,'[2]Doc Set'!E:E,'[2]Doc Set'!H:H)</f>
        <v>43521</v>
      </c>
      <c r="S55" s="143" t="s">
        <v>200</v>
      </c>
    </row>
    <row r="56" spans="1:19" x14ac:dyDescent="0.3">
      <c r="A56" s="156" t="s">
        <v>40</v>
      </c>
      <c r="B56" s="157" t="s">
        <v>190</v>
      </c>
      <c r="C56" s="157" t="s">
        <v>191</v>
      </c>
      <c r="D56" s="158" t="s">
        <v>64</v>
      </c>
      <c r="E56" s="55" t="s">
        <v>193</v>
      </c>
      <c r="F56" s="55" t="s">
        <v>451</v>
      </c>
      <c r="G56" s="55" t="s">
        <v>828</v>
      </c>
      <c r="H56" s="55" t="s">
        <v>829</v>
      </c>
      <c r="I56" s="139" t="s">
        <v>134</v>
      </c>
      <c r="J56" s="159" t="s">
        <v>830</v>
      </c>
      <c r="K56" s="55">
        <v>20038918</v>
      </c>
      <c r="L56" s="55" t="s">
        <v>198</v>
      </c>
      <c r="M56" s="141" t="str">
        <f t="shared" si="1"/>
        <v>EH1-INT_D</v>
      </c>
      <c r="N56" s="142" t="str">
        <f>LOOKUP(M56,'[2]Doc Set'!E:E,'[2]Doc Set'!F:F)</f>
        <v>_</v>
      </c>
      <c r="O56" s="141" t="s">
        <v>714</v>
      </c>
      <c r="P56" s="142">
        <f>+LOOKUP(O56,'[2]Doc Set'!E:E,'[2]Doc Set'!G:G)</f>
        <v>43493</v>
      </c>
      <c r="Q56" s="55" t="str">
        <f t="shared" si="0"/>
        <v>EH1-INT_D</v>
      </c>
      <c r="R56" s="142">
        <f>+LOOKUP(Q56,'[2]Doc Set'!E:E,'[2]Doc Set'!H:H)</f>
        <v>43521</v>
      </c>
      <c r="S56" s="143" t="s">
        <v>200</v>
      </c>
    </row>
    <row r="57" spans="1:19" x14ac:dyDescent="0.3">
      <c r="A57" s="156" t="s">
        <v>40</v>
      </c>
      <c r="B57" s="157" t="s">
        <v>190</v>
      </c>
      <c r="C57" s="157" t="s">
        <v>191</v>
      </c>
      <c r="D57" s="158" t="s">
        <v>64</v>
      </c>
      <c r="E57" s="55" t="s">
        <v>193</v>
      </c>
      <c r="F57" s="55" t="s">
        <v>451</v>
      </c>
      <c r="G57" s="55" t="s">
        <v>461</v>
      </c>
      <c r="H57" s="55" t="s">
        <v>831</v>
      </c>
      <c r="I57" s="139" t="s">
        <v>134</v>
      </c>
      <c r="J57" s="159" t="s">
        <v>832</v>
      </c>
      <c r="K57" s="55">
        <v>20038918</v>
      </c>
      <c r="L57" s="55" t="s">
        <v>198</v>
      </c>
      <c r="M57" s="141" t="str">
        <f t="shared" si="1"/>
        <v>EH1-INT_D</v>
      </c>
      <c r="N57" s="142" t="str">
        <f>LOOKUP(M57,'[2]Doc Set'!E:E,'[2]Doc Set'!F:F)</f>
        <v>_</v>
      </c>
      <c r="O57" s="141" t="s">
        <v>714</v>
      </c>
      <c r="P57" s="142">
        <f>+LOOKUP(O57,'[2]Doc Set'!E:E,'[2]Doc Set'!G:G)</f>
        <v>43493</v>
      </c>
      <c r="Q57" s="55" t="str">
        <f t="shared" si="0"/>
        <v>EH1-INT_D</v>
      </c>
      <c r="R57" s="142">
        <f>+LOOKUP(Q57,'[2]Doc Set'!E:E,'[2]Doc Set'!H:H)</f>
        <v>43521</v>
      </c>
      <c r="S57" s="143" t="s">
        <v>200</v>
      </c>
    </row>
    <row r="58" spans="1:19" x14ac:dyDescent="0.3">
      <c r="A58" s="156" t="s">
        <v>40</v>
      </c>
      <c r="B58" s="157" t="s">
        <v>190</v>
      </c>
      <c r="C58" s="157" t="s">
        <v>191</v>
      </c>
      <c r="D58" s="158" t="s">
        <v>64</v>
      </c>
      <c r="E58" s="55" t="s">
        <v>193</v>
      </c>
      <c r="F58" s="55" t="s">
        <v>451</v>
      </c>
      <c r="G58" s="55" t="s">
        <v>464</v>
      </c>
      <c r="H58" s="55" t="s">
        <v>833</v>
      </c>
      <c r="I58" s="139" t="s">
        <v>134</v>
      </c>
      <c r="J58" s="159" t="s">
        <v>834</v>
      </c>
      <c r="K58" s="55">
        <v>20038918</v>
      </c>
      <c r="L58" s="55" t="s">
        <v>198</v>
      </c>
      <c r="M58" s="141" t="str">
        <f t="shared" si="1"/>
        <v>EH1-INT_D</v>
      </c>
      <c r="N58" s="142" t="str">
        <f>LOOKUP(M58,'[2]Doc Set'!E:E,'[2]Doc Set'!F:F)</f>
        <v>_</v>
      </c>
      <c r="O58" s="141" t="s">
        <v>714</v>
      </c>
      <c r="P58" s="142">
        <f>+LOOKUP(O58,'[2]Doc Set'!E:E,'[2]Doc Set'!G:G)</f>
        <v>43493</v>
      </c>
      <c r="Q58" s="55" t="str">
        <f t="shared" si="0"/>
        <v>EH1-INT_D</v>
      </c>
      <c r="R58" s="142">
        <f>+LOOKUP(Q58,'[2]Doc Set'!E:E,'[2]Doc Set'!H:H)</f>
        <v>43521</v>
      </c>
      <c r="S58" s="143" t="s">
        <v>200</v>
      </c>
    </row>
    <row r="59" spans="1:19" x14ac:dyDescent="0.3">
      <c r="A59" s="156" t="s">
        <v>40</v>
      </c>
      <c r="B59" s="157" t="s">
        <v>190</v>
      </c>
      <c r="C59" s="157" t="s">
        <v>191</v>
      </c>
      <c r="D59" s="158" t="s">
        <v>64</v>
      </c>
      <c r="E59" s="55" t="s">
        <v>193</v>
      </c>
      <c r="F59" s="55" t="s">
        <v>451</v>
      </c>
      <c r="G59" s="55" t="s">
        <v>467</v>
      </c>
      <c r="H59" s="55" t="s">
        <v>835</v>
      </c>
      <c r="I59" s="139" t="s">
        <v>134</v>
      </c>
      <c r="J59" s="159" t="s">
        <v>836</v>
      </c>
      <c r="K59" s="55">
        <v>20038918</v>
      </c>
      <c r="L59" s="55" t="s">
        <v>198</v>
      </c>
      <c r="M59" s="141" t="str">
        <f t="shared" si="1"/>
        <v>EH1-INT_D</v>
      </c>
      <c r="N59" s="142" t="str">
        <f>LOOKUP(M59,'[2]Doc Set'!E:E,'[2]Doc Set'!F:F)</f>
        <v>_</v>
      </c>
      <c r="O59" s="141" t="s">
        <v>714</v>
      </c>
      <c r="P59" s="142">
        <f>+LOOKUP(O59,'[2]Doc Set'!E:E,'[2]Doc Set'!G:G)</f>
        <v>43493</v>
      </c>
      <c r="Q59" s="55" t="str">
        <f t="shared" si="0"/>
        <v>EH1-INT_D</v>
      </c>
      <c r="R59" s="142">
        <f>+LOOKUP(Q59,'[2]Doc Set'!E:E,'[2]Doc Set'!H:H)</f>
        <v>43521</v>
      </c>
      <c r="S59" s="143" t="s">
        <v>200</v>
      </c>
    </row>
    <row r="60" spans="1:19" x14ac:dyDescent="0.3">
      <c r="A60" s="156" t="s">
        <v>40</v>
      </c>
      <c r="B60" s="157" t="s">
        <v>190</v>
      </c>
      <c r="C60" s="157" t="s">
        <v>191</v>
      </c>
      <c r="D60" s="158" t="s">
        <v>64</v>
      </c>
      <c r="E60" s="55" t="s">
        <v>193</v>
      </c>
      <c r="F60" s="55" t="s">
        <v>609</v>
      </c>
      <c r="G60" s="55" t="s">
        <v>635</v>
      </c>
      <c r="H60" s="55" t="s">
        <v>837</v>
      </c>
      <c r="I60" s="139" t="s">
        <v>128</v>
      </c>
      <c r="J60" s="159" t="s">
        <v>838</v>
      </c>
      <c r="K60" s="55">
        <v>20038918</v>
      </c>
      <c r="L60" s="55" t="s">
        <v>198</v>
      </c>
      <c r="M60" s="141" t="str">
        <f t="shared" si="1"/>
        <v>EH1-INT_D</v>
      </c>
      <c r="N60" s="142" t="str">
        <f>LOOKUP(M60,'[2]Doc Set'!E:E,'[2]Doc Set'!F:F)</f>
        <v>_</v>
      </c>
      <c r="O60" s="141" t="s">
        <v>714</v>
      </c>
      <c r="P60" s="142">
        <f>+LOOKUP(O60,'[2]Doc Set'!E:E,'[2]Doc Set'!G:G)</f>
        <v>43493</v>
      </c>
      <c r="Q60" s="55" t="str">
        <f t="shared" si="0"/>
        <v>EH1-INT_D</v>
      </c>
      <c r="R60" s="142">
        <f>+LOOKUP(Q60,'[2]Doc Set'!E:E,'[2]Doc Set'!H:H)</f>
        <v>43521</v>
      </c>
      <c r="S60" s="143" t="s">
        <v>200</v>
      </c>
    </row>
    <row r="61" spans="1:19" x14ac:dyDescent="0.3">
      <c r="A61" s="156" t="s">
        <v>40</v>
      </c>
      <c r="B61" s="157" t="s">
        <v>190</v>
      </c>
      <c r="C61" s="157" t="s">
        <v>191</v>
      </c>
      <c r="D61" s="158" t="s">
        <v>64</v>
      </c>
      <c r="E61" s="55" t="s">
        <v>193</v>
      </c>
      <c r="F61" s="55" t="s">
        <v>609</v>
      </c>
      <c r="G61" s="55" t="s">
        <v>839</v>
      </c>
      <c r="H61" s="55" t="s">
        <v>840</v>
      </c>
      <c r="I61" s="139" t="s">
        <v>128</v>
      </c>
      <c r="J61" s="159" t="s">
        <v>841</v>
      </c>
      <c r="K61" s="55">
        <v>20038918</v>
      </c>
      <c r="L61" s="55" t="s">
        <v>198</v>
      </c>
      <c r="M61" s="141" t="str">
        <f t="shared" si="1"/>
        <v>EH1-INT_D</v>
      </c>
      <c r="N61" s="142" t="str">
        <f>LOOKUP(M61,'[2]Doc Set'!E:E,'[2]Doc Set'!F:F)</f>
        <v>_</v>
      </c>
      <c r="O61" s="141" t="s">
        <v>714</v>
      </c>
      <c r="P61" s="142">
        <f>+LOOKUP(O61,'[2]Doc Set'!E:E,'[2]Doc Set'!G:G)</f>
        <v>43493</v>
      </c>
      <c r="Q61" s="55" t="str">
        <f t="shared" si="0"/>
        <v>EH1-INT_D</v>
      </c>
      <c r="R61" s="142">
        <f>+LOOKUP(Q61,'[2]Doc Set'!E:E,'[2]Doc Set'!H:H)</f>
        <v>43521</v>
      </c>
      <c r="S61" s="143" t="s">
        <v>200</v>
      </c>
    </row>
    <row r="62" spans="1:19" x14ac:dyDescent="0.3">
      <c r="A62" s="156" t="s">
        <v>40</v>
      </c>
      <c r="B62" s="157" t="s">
        <v>190</v>
      </c>
      <c r="C62" s="157" t="s">
        <v>191</v>
      </c>
      <c r="D62" s="158" t="s">
        <v>64</v>
      </c>
      <c r="E62" s="55" t="s">
        <v>193</v>
      </c>
      <c r="F62" s="55" t="s">
        <v>609</v>
      </c>
      <c r="G62" s="55" t="s">
        <v>638</v>
      </c>
      <c r="H62" s="144" t="s">
        <v>842</v>
      </c>
      <c r="I62" s="139" t="s">
        <v>128</v>
      </c>
      <c r="J62" s="159" t="s">
        <v>843</v>
      </c>
      <c r="K62" s="55">
        <v>20038918</v>
      </c>
      <c r="L62" s="55" t="s">
        <v>198</v>
      </c>
      <c r="M62" s="141" t="str">
        <f t="shared" si="1"/>
        <v>EH1-SS_B</v>
      </c>
      <c r="N62" s="142" t="str">
        <f>LOOKUP(M62,'[2]Doc Set'!E:E,'[2]Doc Set'!F:F)</f>
        <v>_</v>
      </c>
      <c r="O62" s="141" t="s">
        <v>844</v>
      </c>
      <c r="P62" s="142">
        <f>+LOOKUP(O62,'[2]Doc Set'!E:E,'[2]Doc Set'!G:G)</f>
        <v>43295</v>
      </c>
      <c r="Q62" s="55" t="str">
        <f t="shared" si="0"/>
        <v>EH1-SS_B</v>
      </c>
      <c r="R62" s="142">
        <f>+LOOKUP(Q62,'[2]Doc Set'!E:E,'[2]Doc Set'!H:H)</f>
        <v>43340</v>
      </c>
      <c r="S62" s="143" t="s">
        <v>200</v>
      </c>
    </row>
    <row r="63" spans="1:19" x14ac:dyDescent="0.3">
      <c r="A63" s="156" t="s">
        <v>40</v>
      </c>
      <c r="B63" s="157" t="s">
        <v>190</v>
      </c>
      <c r="C63" s="157" t="s">
        <v>191</v>
      </c>
      <c r="D63" s="158" t="s">
        <v>64</v>
      </c>
      <c r="E63" s="55" t="s">
        <v>193</v>
      </c>
      <c r="F63" s="55" t="s">
        <v>609</v>
      </c>
      <c r="G63" s="55" t="s">
        <v>641</v>
      </c>
      <c r="H63" s="144" t="s">
        <v>845</v>
      </c>
      <c r="I63" s="139" t="s">
        <v>128</v>
      </c>
      <c r="J63" s="159" t="s">
        <v>846</v>
      </c>
      <c r="K63" s="55">
        <v>20038918</v>
      </c>
      <c r="L63" s="55" t="s">
        <v>198</v>
      </c>
      <c r="M63" s="141" t="str">
        <f t="shared" si="1"/>
        <v>EH1-SS_B</v>
      </c>
      <c r="N63" s="142" t="str">
        <f>LOOKUP(M63,'[2]Doc Set'!E:E,'[2]Doc Set'!F:F)</f>
        <v>_</v>
      </c>
      <c r="O63" s="141" t="s">
        <v>844</v>
      </c>
      <c r="P63" s="142">
        <f>+LOOKUP(O63,'[2]Doc Set'!E:E,'[2]Doc Set'!G:G)</f>
        <v>43295</v>
      </c>
      <c r="Q63" s="55" t="str">
        <f t="shared" si="0"/>
        <v>EH1-SS_B</v>
      </c>
      <c r="R63" s="142">
        <f>+LOOKUP(Q63,'[2]Doc Set'!E:E,'[2]Doc Set'!H:H)</f>
        <v>43340</v>
      </c>
      <c r="S63" s="143" t="s">
        <v>200</v>
      </c>
    </row>
    <row r="64" spans="1:19" x14ac:dyDescent="0.3">
      <c r="A64" s="156" t="s">
        <v>40</v>
      </c>
      <c r="B64" s="157" t="s">
        <v>190</v>
      </c>
      <c r="C64" s="157" t="s">
        <v>191</v>
      </c>
      <c r="D64" s="158" t="s">
        <v>64</v>
      </c>
      <c r="E64" s="55" t="s">
        <v>193</v>
      </c>
      <c r="F64" s="55" t="s">
        <v>609</v>
      </c>
      <c r="G64" s="55" t="s">
        <v>644</v>
      </c>
      <c r="H64" s="144" t="s">
        <v>847</v>
      </c>
      <c r="I64" s="139" t="s">
        <v>128</v>
      </c>
      <c r="J64" s="159" t="s">
        <v>848</v>
      </c>
      <c r="K64" s="55">
        <v>20038918</v>
      </c>
      <c r="L64" s="55" t="s">
        <v>198</v>
      </c>
      <c r="M64" s="141" t="str">
        <f t="shared" si="1"/>
        <v>EH1-SS_B</v>
      </c>
      <c r="N64" s="142" t="str">
        <f>LOOKUP(M64,'[2]Doc Set'!E:E,'[2]Doc Set'!F:F)</f>
        <v>_</v>
      </c>
      <c r="O64" s="141" t="s">
        <v>844</v>
      </c>
      <c r="P64" s="142">
        <f>+LOOKUP(O64,'[2]Doc Set'!E:E,'[2]Doc Set'!G:G)</f>
        <v>43295</v>
      </c>
      <c r="Q64" s="55" t="str">
        <f t="shared" si="0"/>
        <v>EH1-SS_B</v>
      </c>
      <c r="R64" s="142">
        <f>+LOOKUP(Q64,'[2]Doc Set'!E:E,'[2]Doc Set'!H:H)</f>
        <v>43340</v>
      </c>
      <c r="S64" s="143" t="s">
        <v>200</v>
      </c>
    </row>
    <row r="65" spans="1:19" x14ac:dyDescent="0.3">
      <c r="A65" s="156" t="s">
        <v>40</v>
      </c>
      <c r="B65" s="157" t="s">
        <v>190</v>
      </c>
      <c r="C65" s="157" t="s">
        <v>191</v>
      </c>
      <c r="D65" s="158" t="s">
        <v>64</v>
      </c>
      <c r="E65" s="55" t="s">
        <v>193</v>
      </c>
      <c r="F65" s="55" t="s">
        <v>609</v>
      </c>
      <c r="G65" s="55" t="s">
        <v>849</v>
      </c>
      <c r="H65" s="144" t="s">
        <v>850</v>
      </c>
      <c r="I65" s="139" t="s">
        <v>128</v>
      </c>
      <c r="J65" s="159" t="s">
        <v>851</v>
      </c>
      <c r="K65" s="55">
        <v>20038918</v>
      </c>
      <c r="L65" s="55" t="s">
        <v>198</v>
      </c>
      <c r="M65" s="141" t="str">
        <f t="shared" si="1"/>
        <v>EH1-SS_B</v>
      </c>
      <c r="N65" s="142" t="str">
        <f>LOOKUP(M65,'[2]Doc Set'!E:E,'[2]Doc Set'!F:F)</f>
        <v>_</v>
      </c>
      <c r="O65" s="141" t="s">
        <v>844</v>
      </c>
      <c r="P65" s="142">
        <f>+LOOKUP(O65,'[2]Doc Set'!E:E,'[2]Doc Set'!G:G)</f>
        <v>43295</v>
      </c>
      <c r="Q65" s="55" t="str">
        <f t="shared" si="0"/>
        <v>EH1-SS_B</v>
      </c>
      <c r="R65" s="142">
        <f>+LOOKUP(Q65,'[2]Doc Set'!E:E,'[2]Doc Set'!H:H)</f>
        <v>43340</v>
      </c>
      <c r="S65" s="143" t="s">
        <v>200</v>
      </c>
    </row>
    <row r="66" spans="1:19" x14ac:dyDescent="0.3">
      <c r="A66" s="156" t="s">
        <v>40</v>
      </c>
      <c r="B66" s="157" t="s">
        <v>190</v>
      </c>
      <c r="C66" s="157" t="s">
        <v>191</v>
      </c>
      <c r="D66" s="158" t="s">
        <v>64</v>
      </c>
      <c r="E66" s="55" t="s">
        <v>193</v>
      </c>
      <c r="F66" s="55" t="s">
        <v>609</v>
      </c>
      <c r="G66" s="55" t="s">
        <v>852</v>
      </c>
      <c r="H66" s="144" t="s">
        <v>853</v>
      </c>
      <c r="I66" s="139" t="s">
        <v>51</v>
      </c>
      <c r="J66" s="159" t="s">
        <v>854</v>
      </c>
      <c r="K66" s="55">
        <v>20038918</v>
      </c>
      <c r="L66" s="55" t="s">
        <v>198</v>
      </c>
      <c r="M66" s="141" t="str">
        <f t="shared" si="1"/>
        <v>EH1-SS_B</v>
      </c>
      <c r="N66" s="142" t="str">
        <f>LOOKUP(M66,'[2]Doc Set'!E:E,'[2]Doc Set'!F:F)</f>
        <v>_</v>
      </c>
      <c r="O66" s="141" t="s">
        <v>844</v>
      </c>
      <c r="P66" s="142">
        <f>+LOOKUP(O66,'[2]Doc Set'!E:E,'[2]Doc Set'!G:G)</f>
        <v>43295</v>
      </c>
      <c r="Q66" s="55" t="str">
        <f t="shared" si="0"/>
        <v>EH1-SS_B</v>
      </c>
      <c r="R66" s="142">
        <f>+LOOKUP(Q66,'[2]Doc Set'!E:E,'[2]Doc Set'!H:H)</f>
        <v>43340</v>
      </c>
      <c r="S66" s="143" t="s">
        <v>200</v>
      </c>
    </row>
    <row r="67" spans="1:19" x14ac:dyDescent="0.3">
      <c r="A67" s="156" t="s">
        <v>40</v>
      </c>
      <c r="B67" s="157" t="s">
        <v>190</v>
      </c>
      <c r="C67" s="157" t="s">
        <v>191</v>
      </c>
      <c r="D67" s="158" t="s">
        <v>64</v>
      </c>
      <c r="E67" s="55" t="s">
        <v>193</v>
      </c>
      <c r="F67" s="55" t="s">
        <v>609</v>
      </c>
      <c r="G67" s="55" t="s">
        <v>617</v>
      </c>
      <c r="H67" s="144" t="s">
        <v>855</v>
      </c>
      <c r="I67" s="139" t="s">
        <v>51</v>
      </c>
      <c r="J67" s="159" t="s">
        <v>856</v>
      </c>
      <c r="K67" s="55">
        <v>20038918</v>
      </c>
      <c r="L67" s="55" t="s">
        <v>198</v>
      </c>
      <c r="M67" s="141" t="str">
        <f t="shared" si="1"/>
        <v>EH1-SS_B</v>
      </c>
      <c r="N67" s="142" t="str">
        <f>LOOKUP(M67,'[2]Doc Set'!E:E,'[2]Doc Set'!F:F)</f>
        <v>_</v>
      </c>
      <c r="O67" s="141" t="s">
        <v>844</v>
      </c>
      <c r="P67" s="142">
        <f>+LOOKUP(O67,'[2]Doc Set'!E:E,'[2]Doc Set'!G:G)</f>
        <v>43295</v>
      </c>
      <c r="Q67" s="55" t="str">
        <f t="shared" ref="Q67:Q98" si="2">+O67</f>
        <v>EH1-SS_B</v>
      </c>
      <c r="R67" s="142">
        <f>+LOOKUP(Q67,'[2]Doc Set'!E:E,'[2]Doc Set'!H:H)</f>
        <v>43340</v>
      </c>
      <c r="S67" s="143" t="s">
        <v>200</v>
      </c>
    </row>
    <row r="68" spans="1:19" ht="28.8" x14ac:dyDescent="0.3">
      <c r="A68" s="156" t="s">
        <v>40</v>
      </c>
      <c r="B68" s="157" t="s">
        <v>190</v>
      </c>
      <c r="C68" s="157" t="s">
        <v>191</v>
      </c>
      <c r="D68" s="158" t="s">
        <v>64</v>
      </c>
      <c r="E68" s="55" t="s">
        <v>193</v>
      </c>
      <c r="F68" s="55" t="s">
        <v>555</v>
      </c>
      <c r="G68" s="55" t="s">
        <v>53</v>
      </c>
      <c r="H68" s="144" t="s">
        <v>857</v>
      </c>
      <c r="I68" s="154" t="s">
        <v>51</v>
      </c>
      <c r="J68" s="159" t="s">
        <v>858</v>
      </c>
      <c r="K68" s="55">
        <v>20038918</v>
      </c>
      <c r="L68" s="55" t="s">
        <v>859</v>
      </c>
      <c r="M68" s="141" t="s">
        <v>860</v>
      </c>
      <c r="N68" s="142">
        <f>LOOKUP(M68,'[2]Doc Set'!E:E,'[2]Doc Set'!F:F)</f>
        <v>43160</v>
      </c>
      <c r="O68" s="141" t="s">
        <v>844</v>
      </c>
      <c r="P68" s="142">
        <f>+LOOKUP(O68,'[2]Doc Set'!E:E,'[2]Doc Set'!G:G)</f>
        <v>43295</v>
      </c>
      <c r="Q68" s="55" t="str">
        <f t="shared" si="2"/>
        <v>EH1-SS_B</v>
      </c>
      <c r="R68" s="142">
        <f>+LOOKUP(Q68,'[2]Doc Set'!E:E,'[2]Doc Set'!H:H)</f>
        <v>43340</v>
      </c>
      <c r="S68" s="143" t="s">
        <v>200</v>
      </c>
    </row>
    <row r="69" spans="1:19" ht="28.8" x14ac:dyDescent="0.3">
      <c r="A69" s="156" t="s">
        <v>40</v>
      </c>
      <c r="B69" s="157" t="s">
        <v>190</v>
      </c>
      <c r="C69" s="157" t="s">
        <v>191</v>
      </c>
      <c r="D69" s="158" t="s">
        <v>64</v>
      </c>
      <c r="E69" s="55" t="s">
        <v>193</v>
      </c>
      <c r="F69" s="55" t="s">
        <v>555</v>
      </c>
      <c r="G69" s="55" t="s">
        <v>561</v>
      </c>
      <c r="H69" s="144" t="s">
        <v>861</v>
      </c>
      <c r="I69" s="154" t="s">
        <v>51</v>
      </c>
      <c r="J69" s="159" t="s">
        <v>862</v>
      </c>
      <c r="K69" s="55">
        <v>20038918</v>
      </c>
      <c r="L69" s="55" t="s">
        <v>859</v>
      </c>
      <c r="M69" s="141" t="s">
        <v>860</v>
      </c>
      <c r="N69" s="142">
        <f>LOOKUP(M69,'[2]Doc Set'!E:E,'[2]Doc Set'!F:F)</f>
        <v>43160</v>
      </c>
      <c r="O69" s="141" t="s">
        <v>844</v>
      </c>
      <c r="P69" s="142">
        <f>+LOOKUP(O69,'[2]Doc Set'!E:E,'[2]Doc Set'!G:G)</f>
        <v>43295</v>
      </c>
      <c r="Q69" s="55" t="str">
        <f t="shared" si="2"/>
        <v>EH1-SS_B</v>
      </c>
      <c r="R69" s="142">
        <f>+LOOKUP(Q69,'[2]Doc Set'!E:E,'[2]Doc Set'!H:H)</f>
        <v>43340</v>
      </c>
      <c r="S69" s="143" t="s">
        <v>200</v>
      </c>
    </row>
    <row r="70" spans="1:19" x14ac:dyDescent="0.3">
      <c r="A70" s="156" t="s">
        <v>40</v>
      </c>
      <c r="B70" s="157" t="s">
        <v>190</v>
      </c>
      <c r="C70" s="157" t="s">
        <v>191</v>
      </c>
      <c r="D70" s="158" t="s">
        <v>64</v>
      </c>
      <c r="E70" s="55" t="s">
        <v>193</v>
      </c>
      <c r="F70" s="55" t="s">
        <v>555</v>
      </c>
      <c r="G70" s="55" t="s">
        <v>564</v>
      </c>
      <c r="H70" s="144" t="s">
        <v>863</v>
      </c>
      <c r="I70" s="154" t="s">
        <v>51</v>
      </c>
      <c r="J70" s="159" t="s">
        <v>864</v>
      </c>
      <c r="K70" s="55">
        <v>20038918</v>
      </c>
      <c r="L70" s="55" t="s">
        <v>859</v>
      </c>
      <c r="M70" s="141" t="s">
        <v>860</v>
      </c>
      <c r="N70" s="142">
        <f>LOOKUP(M70,'[2]Doc Set'!E:E,'[2]Doc Set'!F:F)</f>
        <v>43160</v>
      </c>
      <c r="O70" s="141" t="s">
        <v>844</v>
      </c>
      <c r="P70" s="142">
        <f>+LOOKUP(O70,'[2]Doc Set'!E:E,'[2]Doc Set'!G:G)</f>
        <v>43295</v>
      </c>
      <c r="Q70" s="55" t="str">
        <f t="shared" si="2"/>
        <v>EH1-SS_B</v>
      </c>
      <c r="R70" s="142">
        <f>+LOOKUP(Q70,'[2]Doc Set'!E:E,'[2]Doc Set'!H:H)</f>
        <v>43340</v>
      </c>
      <c r="S70" s="143" t="s">
        <v>200</v>
      </c>
    </row>
    <row r="71" spans="1:19" x14ac:dyDescent="0.3">
      <c r="A71" s="156" t="s">
        <v>40</v>
      </c>
      <c r="B71" s="157" t="s">
        <v>190</v>
      </c>
      <c r="C71" s="157" t="s">
        <v>191</v>
      </c>
      <c r="D71" s="158" t="s">
        <v>64</v>
      </c>
      <c r="E71" s="55" t="s">
        <v>193</v>
      </c>
      <c r="F71" s="55" t="s">
        <v>555</v>
      </c>
      <c r="G71" s="55" t="s">
        <v>567</v>
      </c>
      <c r="H71" s="144" t="s">
        <v>865</v>
      </c>
      <c r="I71" s="154" t="s">
        <v>51</v>
      </c>
      <c r="J71" s="159" t="s">
        <v>866</v>
      </c>
      <c r="K71" s="55">
        <v>20038918</v>
      </c>
      <c r="L71" s="55" t="s">
        <v>859</v>
      </c>
      <c r="M71" s="141" t="s">
        <v>860</v>
      </c>
      <c r="N71" s="142">
        <f>LOOKUP(M71,'[2]Doc Set'!E:E,'[2]Doc Set'!F:F)</f>
        <v>43160</v>
      </c>
      <c r="O71" s="141" t="s">
        <v>844</v>
      </c>
      <c r="P71" s="142">
        <f>+LOOKUP(O71,'[2]Doc Set'!E:E,'[2]Doc Set'!G:G)</f>
        <v>43295</v>
      </c>
      <c r="Q71" s="55" t="str">
        <f t="shared" si="2"/>
        <v>EH1-SS_B</v>
      </c>
      <c r="R71" s="142">
        <f>+LOOKUP(Q71,'[2]Doc Set'!E:E,'[2]Doc Set'!H:H)</f>
        <v>43340</v>
      </c>
      <c r="S71" s="143" t="s">
        <v>200</v>
      </c>
    </row>
    <row r="72" spans="1:19" x14ac:dyDescent="0.3">
      <c r="A72" s="156" t="s">
        <v>40</v>
      </c>
      <c r="B72" s="157" t="s">
        <v>190</v>
      </c>
      <c r="C72" s="157" t="s">
        <v>191</v>
      </c>
      <c r="D72" s="158" t="s">
        <v>64</v>
      </c>
      <c r="E72" s="55" t="s">
        <v>193</v>
      </c>
      <c r="F72" s="55" t="s">
        <v>555</v>
      </c>
      <c r="G72" s="55" t="s">
        <v>570</v>
      </c>
      <c r="H72" s="144" t="s">
        <v>867</v>
      </c>
      <c r="I72" s="154" t="s">
        <v>51</v>
      </c>
      <c r="J72" s="159" t="s">
        <v>868</v>
      </c>
      <c r="K72" s="55">
        <v>20038918</v>
      </c>
      <c r="L72" s="55" t="s">
        <v>859</v>
      </c>
      <c r="M72" s="141" t="s">
        <v>860</v>
      </c>
      <c r="N72" s="142">
        <f>LOOKUP(M72,'[2]Doc Set'!E:E,'[2]Doc Set'!F:F)</f>
        <v>43160</v>
      </c>
      <c r="O72" s="141" t="s">
        <v>844</v>
      </c>
      <c r="P72" s="142">
        <f>+LOOKUP(O72,'[2]Doc Set'!E:E,'[2]Doc Set'!G:G)</f>
        <v>43295</v>
      </c>
      <c r="Q72" s="55" t="str">
        <f t="shared" si="2"/>
        <v>EH1-SS_B</v>
      </c>
      <c r="R72" s="142">
        <f>+LOOKUP(Q72,'[2]Doc Set'!E:E,'[2]Doc Set'!H:H)</f>
        <v>43340</v>
      </c>
      <c r="S72" s="143" t="s">
        <v>200</v>
      </c>
    </row>
    <row r="73" spans="1:19" x14ac:dyDescent="0.3">
      <c r="A73" s="156" t="s">
        <v>40</v>
      </c>
      <c r="B73" s="157" t="s">
        <v>190</v>
      </c>
      <c r="C73" s="157" t="s">
        <v>191</v>
      </c>
      <c r="D73" s="158" t="s">
        <v>64</v>
      </c>
      <c r="E73" s="55" t="s">
        <v>193</v>
      </c>
      <c r="F73" s="55" t="s">
        <v>555</v>
      </c>
      <c r="G73" s="55" t="s">
        <v>573</v>
      </c>
      <c r="H73" s="144" t="s">
        <v>869</v>
      </c>
      <c r="I73" s="154" t="s">
        <v>51</v>
      </c>
      <c r="J73" s="159" t="s">
        <v>870</v>
      </c>
      <c r="K73" s="55">
        <v>20038918</v>
      </c>
      <c r="L73" s="55" t="s">
        <v>859</v>
      </c>
      <c r="M73" s="141" t="s">
        <v>860</v>
      </c>
      <c r="N73" s="142">
        <f>LOOKUP(M73,'[2]Doc Set'!E:E,'[2]Doc Set'!F:F)</f>
        <v>43160</v>
      </c>
      <c r="O73" s="141" t="s">
        <v>844</v>
      </c>
      <c r="P73" s="142">
        <f>+LOOKUP(O73,'[2]Doc Set'!E:E,'[2]Doc Set'!G:G)</f>
        <v>43295</v>
      </c>
      <c r="Q73" s="55" t="str">
        <f t="shared" si="2"/>
        <v>EH1-SS_B</v>
      </c>
      <c r="R73" s="142">
        <f>+LOOKUP(Q73,'[2]Doc Set'!E:E,'[2]Doc Set'!H:H)</f>
        <v>43340</v>
      </c>
      <c r="S73" s="143" t="s">
        <v>200</v>
      </c>
    </row>
    <row r="74" spans="1:19" ht="28.8" x14ac:dyDescent="0.3">
      <c r="A74" s="156" t="s">
        <v>40</v>
      </c>
      <c r="B74" s="157" t="s">
        <v>190</v>
      </c>
      <c r="C74" s="157" t="s">
        <v>191</v>
      </c>
      <c r="D74" s="158" t="s">
        <v>64</v>
      </c>
      <c r="E74" s="55" t="s">
        <v>193</v>
      </c>
      <c r="F74" s="55" t="s">
        <v>555</v>
      </c>
      <c r="G74" s="55" t="s">
        <v>576</v>
      </c>
      <c r="H74" s="144" t="s">
        <v>871</v>
      </c>
      <c r="I74" s="154" t="s">
        <v>51</v>
      </c>
      <c r="J74" s="159" t="s">
        <v>872</v>
      </c>
      <c r="K74" s="55">
        <v>20038918</v>
      </c>
      <c r="L74" s="55" t="s">
        <v>859</v>
      </c>
      <c r="M74" s="141" t="str">
        <f t="shared" ref="M74:M98" si="3">+O74</f>
        <v>EH1-SS_B</v>
      </c>
      <c r="N74" s="142" t="str">
        <f>LOOKUP(M74,'[2]Doc Set'!E:E,'[2]Doc Set'!F:F)</f>
        <v>_</v>
      </c>
      <c r="O74" s="141" t="s">
        <v>844</v>
      </c>
      <c r="P74" s="142">
        <f>+LOOKUP(O74,'[2]Doc Set'!E:E,'[2]Doc Set'!G:G)</f>
        <v>43295</v>
      </c>
      <c r="Q74" s="55" t="str">
        <f t="shared" si="2"/>
        <v>EH1-SS_B</v>
      </c>
      <c r="R74" s="142">
        <f>+LOOKUP(Q74,'[2]Doc Set'!E:E,'[2]Doc Set'!H:H)</f>
        <v>43340</v>
      </c>
      <c r="S74" s="143" t="s">
        <v>200</v>
      </c>
    </row>
    <row r="75" spans="1:19" ht="28.8" x14ac:dyDescent="0.3">
      <c r="A75" s="156" t="s">
        <v>40</v>
      </c>
      <c r="B75" s="157" t="s">
        <v>190</v>
      </c>
      <c r="C75" s="157" t="s">
        <v>191</v>
      </c>
      <c r="D75" s="158" t="s">
        <v>64</v>
      </c>
      <c r="E75" s="55" t="s">
        <v>193</v>
      </c>
      <c r="F75" s="55" t="s">
        <v>555</v>
      </c>
      <c r="G75" s="55" t="s">
        <v>579</v>
      </c>
      <c r="H75" s="144" t="s">
        <v>873</v>
      </c>
      <c r="I75" s="154" t="s">
        <v>51</v>
      </c>
      <c r="J75" s="159" t="s">
        <v>874</v>
      </c>
      <c r="K75" s="55">
        <v>20038918</v>
      </c>
      <c r="L75" s="55" t="s">
        <v>859</v>
      </c>
      <c r="M75" s="141" t="str">
        <f t="shared" si="3"/>
        <v>EH1-SS_B</v>
      </c>
      <c r="N75" s="142" t="str">
        <f>LOOKUP(M75,'[2]Doc Set'!E:E,'[2]Doc Set'!F:F)</f>
        <v>_</v>
      </c>
      <c r="O75" s="141" t="s">
        <v>844</v>
      </c>
      <c r="P75" s="142">
        <f>+LOOKUP(O75,'[2]Doc Set'!E:E,'[2]Doc Set'!G:G)</f>
        <v>43295</v>
      </c>
      <c r="Q75" s="55" t="str">
        <f t="shared" si="2"/>
        <v>EH1-SS_B</v>
      </c>
      <c r="R75" s="142">
        <f>+LOOKUP(Q75,'[2]Doc Set'!E:E,'[2]Doc Set'!H:H)</f>
        <v>43340</v>
      </c>
      <c r="S75" s="143" t="s">
        <v>200</v>
      </c>
    </row>
    <row r="76" spans="1:19" x14ac:dyDescent="0.3">
      <c r="A76" s="156" t="s">
        <v>40</v>
      </c>
      <c r="B76" s="157" t="s">
        <v>190</v>
      </c>
      <c r="C76" s="157" t="s">
        <v>191</v>
      </c>
      <c r="D76" s="158" t="s">
        <v>64</v>
      </c>
      <c r="E76" s="55" t="s">
        <v>193</v>
      </c>
      <c r="F76" s="55" t="s">
        <v>555</v>
      </c>
      <c r="G76" s="55" t="s">
        <v>582</v>
      </c>
      <c r="H76" s="144" t="s">
        <v>875</v>
      </c>
      <c r="I76" s="154" t="s">
        <v>51</v>
      </c>
      <c r="J76" s="159" t="s">
        <v>876</v>
      </c>
      <c r="K76" s="55">
        <v>20038918</v>
      </c>
      <c r="L76" s="55" t="s">
        <v>859</v>
      </c>
      <c r="M76" s="141" t="str">
        <f t="shared" si="3"/>
        <v>EH1-SS_B</v>
      </c>
      <c r="N76" s="142" t="str">
        <f>LOOKUP(M76,'[2]Doc Set'!E:E,'[2]Doc Set'!F:F)</f>
        <v>_</v>
      </c>
      <c r="O76" s="141" t="s">
        <v>844</v>
      </c>
      <c r="P76" s="142">
        <f>+LOOKUP(O76,'[2]Doc Set'!E:E,'[2]Doc Set'!G:G)</f>
        <v>43295</v>
      </c>
      <c r="Q76" s="55" t="str">
        <f t="shared" si="2"/>
        <v>EH1-SS_B</v>
      </c>
      <c r="R76" s="142">
        <f>+LOOKUP(Q76,'[2]Doc Set'!E:E,'[2]Doc Set'!H:H)</f>
        <v>43340</v>
      </c>
      <c r="S76" s="143" t="s">
        <v>200</v>
      </c>
    </row>
    <row r="77" spans="1:19" x14ac:dyDescent="0.3">
      <c r="A77" s="156" t="s">
        <v>40</v>
      </c>
      <c r="B77" s="157" t="s">
        <v>190</v>
      </c>
      <c r="C77" s="157" t="s">
        <v>191</v>
      </c>
      <c r="D77" s="158" t="s">
        <v>64</v>
      </c>
      <c r="E77" s="55" t="s">
        <v>193</v>
      </c>
      <c r="F77" s="55" t="s">
        <v>663</v>
      </c>
      <c r="G77" s="55" t="s">
        <v>877</v>
      </c>
      <c r="H77" s="55" t="s">
        <v>878</v>
      </c>
      <c r="I77" s="154" t="s">
        <v>134</v>
      </c>
      <c r="J77" s="159" t="s">
        <v>879</v>
      </c>
      <c r="K77" s="55">
        <v>20038918</v>
      </c>
      <c r="L77" s="55" t="s">
        <v>198</v>
      </c>
      <c r="M77" s="141" t="str">
        <f t="shared" si="3"/>
        <v>EH1-INT_D</v>
      </c>
      <c r="N77" s="142" t="str">
        <f>LOOKUP(M77,'[2]Doc Set'!E:E,'[2]Doc Set'!F:F)</f>
        <v>_</v>
      </c>
      <c r="O77" s="141" t="s">
        <v>714</v>
      </c>
      <c r="P77" s="142">
        <f>+LOOKUP(O77,'[2]Doc Set'!E:E,'[2]Doc Set'!G:G)</f>
        <v>43493</v>
      </c>
      <c r="Q77" s="55" t="str">
        <f t="shared" si="2"/>
        <v>EH1-INT_D</v>
      </c>
      <c r="R77" s="142">
        <f>+LOOKUP(Q77,'[2]Doc Set'!E:E,'[2]Doc Set'!H:H)</f>
        <v>43521</v>
      </c>
      <c r="S77" s="143" t="s">
        <v>200</v>
      </c>
    </row>
    <row r="78" spans="1:19" x14ac:dyDescent="0.3">
      <c r="A78" s="156" t="s">
        <v>40</v>
      </c>
      <c r="B78" s="157" t="s">
        <v>190</v>
      </c>
      <c r="C78" s="157" t="s">
        <v>191</v>
      </c>
      <c r="D78" s="158" t="s">
        <v>64</v>
      </c>
      <c r="E78" s="55" t="s">
        <v>193</v>
      </c>
      <c r="F78" s="55" t="s">
        <v>663</v>
      </c>
      <c r="G78" s="55" t="s">
        <v>670</v>
      </c>
      <c r="H78" s="55" t="s">
        <v>880</v>
      </c>
      <c r="I78" s="154" t="s">
        <v>134</v>
      </c>
      <c r="J78" s="159" t="s">
        <v>881</v>
      </c>
      <c r="K78" s="55">
        <v>20038918</v>
      </c>
      <c r="L78" s="55" t="s">
        <v>198</v>
      </c>
      <c r="M78" s="141" t="str">
        <f t="shared" si="3"/>
        <v>EH1-INT_D</v>
      </c>
      <c r="N78" s="142" t="str">
        <f>LOOKUP(M78,'[2]Doc Set'!E:E,'[2]Doc Set'!F:F)</f>
        <v>_</v>
      </c>
      <c r="O78" s="141" t="s">
        <v>714</v>
      </c>
      <c r="P78" s="142">
        <f>+LOOKUP(O78,'[2]Doc Set'!E:E,'[2]Doc Set'!G:G)</f>
        <v>43493</v>
      </c>
      <c r="Q78" s="55" t="str">
        <f t="shared" si="2"/>
        <v>EH1-INT_D</v>
      </c>
      <c r="R78" s="142">
        <f>+LOOKUP(Q78,'[2]Doc Set'!E:E,'[2]Doc Set'!H:H)</f>
        <v>43521</v>
      </c>
      <c r="S78" s="143" t="s">
        <v>200</v>
      </c>
    </row>
    <row r="79" spans="1:19" x14ac:dyDescent="0.3">
      <c r="A79" s="156" t="s">
        <v>40</v>
      </c>
      <c r="B79" s="157" t="s">
        <v>190</v>
      </c>
      <c r="C79" s="157" t="s">
        <v>191</v>
      </c>
      <c r="D79" s="158" t="s">
        <v>64</v>
      </c>
      <c r="E79" s="55" t="s">
        <v>193</v>
      </c>
      <c r="F79" s="55" t="s">
        <v>663</v>
      </c>
      <c r="G79" s="55" t="s">
        <v>673</v>
      </c>
      <c r="H79" s="55" t="s">
        <v>882</v>
      </c>
      <c r="I79" s="154" t="s">
        <v>134</v>
      </c>
      <c r="J79" s="159" t="s">
        <v>883</v>
      </c>
      <c r="K79" s="55">
        <v>20038918</v>
      </c>
      <c r="L79" s="55" t="s">
        <v>198</v>
      </c>
      <c r="M79" s="141" t="str">
        <f t="shared" si="3"/>
        <v>EH1-INT_D</v>
      </c>
      <c r="N79" s="142" t="str">
        <f>LOOKUP(M79,'[2]Doc Set'!E:E,'[2]Doc Set'!F:F)</f>
        <v>_</v>
      </c>
      <c r="O79" s="141" t="s">
        <v>714</v>
      </c>
      <c r="P79" s="142">
        <f>+LOOKUP(O79,'[2]Doc Set'!E:E,'[2]Doc Set'!G:G)</f>
        <v>43493</v>
      </c>
      <c r="Q79" s="55" t="str">
        <f t="shared" si="2"/>
        <v>EH1-INT_D</v>
      </c>
      <c r="R79" s="142">
        <f>+LOOKUP(Q79,'[2]Doc Set'!E:E,'[2]Doc Set'!H:H)</f>
        <v>43521</v>
      </c>
      <c r="S79" s="143" t="s">
        <v>200</v>
      </c>
    </row>
    <row r="80" spans="1:19" x14ac:dyDescent="0.3">
      <c r="A80" s="156" t="s">
        <v>40</v>
      </c>
      <c r="B80" s="157" t="s">
        <v>190</v>
      </c>
      <c r="C80" s="157" t="s">
        <v>191</v>
      </c>
      <c r="D80" s="158" t="s">
        <v>64</v>
      </c>
      <c r="E80" s="55" t="s">
        <v>193</v>
      </c>
      <c r="F80" s="55" t="s">
        <v>663</v>
      </c>
      <c r="G80" s="55" t="s">
        <v>676</v>
      </c>
      <c r="H80" s="55" t="s">
        <v>884</v>
      </c>
      <c r="I80" s="154" t="s">
        <v>134</v>
      </c>
      <c r="J80" s="159" t="s">
        <v>885</v>
      </c>
      <c r="K80" s="55">
        <v>20038918</v>
      </c>
      <c r="L80" s="55" t="s">
        <v>198</v>
      </c>
      <c r="M80" s="141" t="str">
        <f t="shared" si="3"/>
        <v>EH1-INT_D</v>
      </c>
      <c r="N80" s="142" t="str">
        <f>LOOKUP(M80,'[2]Doc Set'!E:E,'[2]Doc Set'!F:F)</f>
        <v>_</v>
      </c>
      <c r="O80" s="141" t="s">
        <v>714</v>
      </c>
      <c r="P80" s="142">
        <f>+LOOKUP(O80,'[2]Doc Set'!E:E,'[2]Doc Set'!G:G)</f>
        <v>43493</v>
      </c>
      <c r="Q80" s="55" t="str">
        <f t="shared" si="2"/>
        <v>EH1-INT_D</v>
      </c>
      <c r="R80" s="142">
        <f>+LOOKUP(Q80,'[2]Doc Set'!E:E,'[2]Doc Set'!H:H)</f>
        <v>43521</v>
      </c>
      <c r="S80" s="143" t="s">
        <v>200</v>
      </c>
    </row>
    <row r="81" spans="1:19" x14ac:dyDescent="0.3">
      <c r="A81" s="156" t="s">
        <v>40</v>
      </c>
      <c r="B81" s="157" t="s">
        <v>190</v>
      </c>
      <c r="C81" s="157" t="s">
        <v>191</v>
      </c>
      <c r="D81" s="158" t="s">
        <v>64</v>
      </c>
      <c r="E81" s="55" t="s">
        <v>193</v>
      </c>
      <c r="F81" s="55" t="s">
        <v>663</v>
      </c>
      <c r="G81" s="55" t="s">
        <v>679</v>
      </c>
      <c r="H81" s="55" t="s">
        <v>886</v>
      </c>
      <c r="I81" s="154" t="s">
        <v>134</v>
      </c>
      <c r="J81" s="159" t="s">
        <v>887</v>
      </c>
      <c r="K81" s="55">
        <v>20038918</v>
      </c>
      <c r="L81" s="55" t="s">
        <v>198</v>
      </c>
      <c r="M81" s="141" t="str">
        <f t="shared" si="3"/>
        <v>EH1-INT_D</v>
      </c>
      <c r="N81" s="142" t="str">
        <f>LOOKUP(M81,'[2]Doc Set'!E:E,'[2]Doc Set'!F:F)</f>
        <v>_</v>
      </c>
      <c r="O81" s="141" t="s">
        <v>714</v>
      </c>
      <c r="P81" s="142">
        <f>+LOOKUP(O81,'[2]Doc Set'!E:E,'[2]Doc Set'!G:G)</f>
        <v>43493</v>
      </c>
      <c r="Q81" s="55" t="str">
        <f t="shared" si="2"/>
        <v>EH1-INT_D</v>
      </c>
      <c r="R81" s="142">
        <f>+LOOKUP(Q81,'[2]Doc Set'!E:E,'[2]Doc Set'!H:H)</f>
        <v>43521</v>
      </c>
      <c r="S81" s="143" t="s">
        <v>200</v>
      </c>
    </row>
    <row r="82" spans="1:19" x14ac:dyDescent="0.3">
      <c r="A82" s="156" t="s">
        <v>40</v>
      </c>
      <c r="B82" s="157" t="s">
        <v>190</v>
      </c>
      <c r="C82" s="157" t="s">
        <v>191</v>
      </c>
      <c r="D82" s="158" t="s">
        <v>64</v>
      </c>
      <c r="E82" s="55" t="s">
        <v>193</v>
      </c>
      <c r="F82" s="55" t="s">
        <v>663</v>
      </c>
      <c r="G82" s="55" t="s">
        <v>682</v>
      </c>
      <c r="H82" s="55" t="s">
        <v>888</v>
      </c>
      <c r="I82" s="154" t="s">
        <v>134</v>
      </c>
      <c r="J82" s="159" t="s">
        <v>889</v>
      </c>
      <c r="K82" s="55">
        <v>20038918</v>
      </c>
      <c r="L82" s="55" t="s">
        <v>198</v>
      </c>
      <c r="M82" s="141" t="str">
        <f t="shared" si="3"/>
        <v>EH1-INT_D</v>
      </c>
      <c r="N82" s="142" t="str">
        <f>LOOKUP(M82,'[2]Doc Set'!E:E,'[2]Doc Set'!F:F)</f>
        <v>_</v>
      </c>
      <c r="O82" s="141" t="s">
        <v>714</v>
      </c>
      <c r="P82" s="142">
        <f>+LOOKUP(O82,'[2]Doc Set'!E:E,'[2]Doc Set'!G:G)</f>
        <v>43493</v>
      </c>
      <c r="Q82" s="55" t="str">
        <f t="shared" si="2"/>
        <v>EH1-INT_D</v>
      </c>
      <c r="R82" s="142">
        <f>+LOOKUP(Q82,'[2]Doc Set'!E:E,'[2]Doc Set'!H:H)</f>
        <v>43521</v>
      </c>
      <c r="S82" s="143" t="s">
        <v>200</v>
      </c>
    </row>
    <row r="83" spans="1:19" x14ac:dyDescent="0.3">
      <c r="A83" s="156" t="s">
        <v>40</v>
      </c>
      <c r="B83" s="157" t="s">
        <v>190</v>
      </c>
      <c r="C83" s="157" t="s">
        <v>191</v>
      </c>
      <c r="D83" s="158" t="s">
        <v>64</v>
      </c>
      <c r="E83" s="55" t="s">
        <v>193</v>
      </c>
      <c r="F83" s="55" t="s">
        <v>194</v>
      </c>
      <c r="G83" s="55" t="s">
        <v>364</v>
      </c>
      <c r="H83" s="55" t="s">
        <v>890</v>
      </c>
      <c r="I83" s="139" t="s">
        <v>51</v>
      </c>
      <c r="J83" s="159" t="s">
        <v>891</v>
      </c>
      <c r="K83" s="55">
        <v>20038918</v>
      </c>
      <c r="L83" s="55" t="s">
        <v>198</v>
      </c>
      <c r="M83" s="141" t="str">
        <f t="shared" si="3"/>
        <v>EH1-INT_D</v>
      </c>
      <c r="N83" s="142" t="str">
        <f>LOOKUP(M83,'[2]Doc Set'!E:E,'[2]Doc Set'!F:F)</f>
        <v>_</v>
      </c>
      <c r="O83" s="141" t="s">
        <v>714</v>
      </c>
      <c r="P83" s="142">
        <f>+LOOKUP(O83,'[2]Doc Set'!E:E,'[2]Doc Set'!G:G)</f>
        <v>43493</v>
      </c>
      <c r="Q83" s="55" t="str">
        <f t="shared" si="2"/>
        <v>EH1-INT_D</v>
      </c>
      <c r="R83" s="142">
        <f>+LOOKUP(Q83,'[2]Doc Set'!E:E,'[2]Doc Set'!H:H)</f>
        <v>43521</v>
      </c>
      <c r="S83" s="143" t="s">
        <v>200</v>
      </c>
    </row>
    <row r="84" spans="1:19" x14ac:dyDescent="0.3">
      <c r="A84" s="156" t="s">
        <v>40</v>
      </c>
      <c r="B84" s="157" t="s">
        <v>190</v>
      </c>
      <c r="C84" s="157" t="s">
        <v>191</v>
      </c>
      <c r="D84" s="158" t="s">
        <v>64</v>
      </c>
      <c r="E84" s="55" t="s">
        <v>193</v>
      </c>
      <c r="F84" s="55" t="s">
        <v>194</v>
      </c>
      <c r="G84" s="55" t="s">
        <v>892</v>
      </c>
      <c r="H84" s="55" t="s">
        <v>893</v>
      </c>
      <c r="I84" s="139" t="s">
        <v>51</v>
      </c>
      <c r="J84" s="159" t="s">
        <v>894</v>
      </c>
      <c r="K84" s="55">
        <v>20038918</v>
      </c>
      <c r="L84" s="55" t="s">
        <v>198</v>
      </c>
      <c r="M84" s="141" t="str">
        <f t="shared" si="3"/>
        <v>EH1-INT_D</v>
      </c>
      <c r="N84" s="142" t="str">
        <f>LOOKUP(M84,'[2]Doc Set'!E:E,'[2]Doc Set'!F:F)</f>
        <v>_</v>
      </c>
      <c r="O84" s="141" t="s">
        <v>714</v>
      </c>
      <c r="P84" s="142">
        <f>+LOOKUP(O84,'[2]Doc Set'!E:E,'[2]Doc Set'!G:G)</f>
        <v>43493</v>
      </c>
      <c r="Q84" s="55" t="str">
        <f t="shared" si="2"/>
        <v>EH1-INT_D</v>
      </c>
      <c r="R84" s="142">
        <f>+LOOKUP(Q84,'[2]Doc Set'!E:E,'[2]Doc Set'!H:H)</f>
        <v>43521</v>
      </c>
      <c r="S84" s="143" t="s">
        <v>200</v>
      </c>
    </row>
    <row r="85" spans="1:19" x14ac:dyDescent="0.3">
      <c r="A85" s="156" t="s">
        <v>40</v>
      </c>
      <c r="B85" s="157" t="s">
        <v>190</v>
      </c>
      <c r="C85" s="157" t="s">
        <v>191</v>
      </c>
      <c r="D85" s="158" t="s">
        <v>64</v>
      </c>
      <c r="E85" s="55" t="s">
        <v>193</v>
      </c>
      <c r="F85" s="55" t="s">
        <v>194</v>
      </c>
      <c r="G85" s="55" t="s">
        <v>895</v>
      </c>
      <c r="H85" s="55" t="s">
        <v>896</v>
      </c>
      <c r="I85" s="139" t="s">
        <v>51</v>
      </c>
      <c r="J85" s="159" t="s">
        <v>897</v>
      </c>
      <c r="K85" s="55">
        <v>20038918</v>
      </c>
      <c r="L85" s="55" t="s">
        <v>198</v>
      </c>
      <c r="M85" s="141" t="str">
        <f t="shared" si="3"/>
        <v>EH1-INT_D</v>
      </c>
      <c r="N85" s="142" t="str">
        <f>LOOKUP(M85,'[2]Doc Set'!E:E,'[2]Doc Set'!F:F)</f>
        <v>_</v>
      </c>
      <c r="O85" s="141" t="s">
        <v>714</v>
      </c>
      <c r="P85" s="142">
        <f>+LOOKUP(O85,'[2]Doc Set'!E:E,'[2]Doc Set'!G:G)</f>
        <v>43493</v>
      </c>
      <c r="Q85" s="55" t="str">
        <f t="shared" si="2"/>
        <v>EH1-INT_D</v>
      </c>
      <c r="R85" s="142">
        <f>+LOOKUP(Q85,'[2]Doc Set'!E:E,'[2]Doc Set'!H:H)</f>
        <v>43521</v>
      </c>
      <c r="S85" s="143" t="s">
        <v>200</v>
      </c>
    </row>
    <row r="86" spans="1:19" x14ac:dyDescent="0.3">
      <c r="A86" s="156" t="s">
        <v>40</v>
      </c>
      <c r="B86" s="157" t="s">
        <v>190</v>
      </c>
      <c r="C86" s="157" t="s">
        <v>191</v>
      </c>
      <c r="D86" s="158" t="s">
        <v>64</v>
      </c>
      <c r="E86" s="55" t="s">
        <v>193</v>
      </c>
      <c r="F86" s="55" t="s">
        <v>194</v>
      </c>
      <c r="G86" s="55" t="s">
        <v>385</v>
      </c>
      <c r="H86" s="55" t="s">
        <v>898</v>
      </c>
      <c r="I86" s="139" t="s">
        <v>51</v>
      </c>
      <c r="J86" s="159" t="s">
        <v>899</v>
      </c>
      <c r="K86" s="55">
        <v>20038918</v>
      </c>
      <c r="L86" s="55" t="s">
        <v>198</v>
      </c>
      <c r="M86" s="141" t="str">
        <f t="shared" si="3"/>
        <v>EH1-INT_D</v>
      </c>
      <c r="N86" s="142" t="str">
        <f>LOOKUP(M86,'[2]Doc Set'!E:E,'[2]Doc Set'!F:F)</f>
        <v>_</v>
      </c>
      <c r="O86" s="141" t="s">
        <v>714</v>
      </c>
      <c r="P86" s="142">
        <f>+LOOKUP(O86,'[2]Doc Set'!E:E,'[2]Doc Set'!G:G)</f>
        <v>43493</v>
      </c>
      <c r="Q86" s="55" t="str">
        <f t="shared" si="2"/>
        <v>EH1-INT_D</v>
      </c>
      <c r="R86" s="142">
        <f>+LOOKUP(Q86,'[2]Doc Set'!E:E,'[2]Doc Set'!H:H)</f>
        <v>43521</v>
      </c>
      <c r="S86" s="143" t="s">
        <v>200</v>
      </c>
    </row>
    <row r="87" spans="1:19" x14ac:dyDescent="0.3">
      <c r="A87" s="156" t="s">
        <v>40</v>
      </c>
      <c r="B87" s="157" t="s">
        <v>190</v>
      </c>
      <c r="C87" s="157" t="s">
        <v>191</v>
      </c>
      <c r="D87" s="158" t="s">
        <v>64</v>
      </c>
      <c r="E87" s="55" t="s">
        <v>193</v>
      </c>
      <c r="F87" s="55" t="s">
        <v>194</v>
      </c>
      <c r="G87" s="55" t="s">
        <v>900</v>
      </c>
      <c r="H87" s="55" t="s">
        <v>901</v>
      </c>
      <c r="I87" s="139" t="s">
        <v>51</v>
      </c>
      <c r="J87" s="159" t="s">
        <v>902</v>
      </c>
      <c r="K87" s="55">
        <v>20038918</v>
      </c>
      <c r="L87" s="55" t="s">
        <v>198</v>
      </c>
      <c r="M87" s="141" t="str">
        <f t="shared" si="3"/>
        <v>EH1-INT_D</v>
      </c>
      <c r="N87" s="142" t="str">
        <f>LOOKUP(M87,'[2]Doc Set'!E:E,'[2]Doc Set'!F:F)</f>
        <v>_</v>
      </c>
      <c r="O87" s="141" t="s">
        <v>714</v>
      </c>
      <c r="P87" s="142">
        <f>+LOOKUP(O87,'[2]Doc Set'!E:E,'[2]Doc Set'!G:G)</f>
        <v>43493</v>
      </c>
      <c r="Q87" s="55" t="str">
        <f t="shared" si="2"/>
        <v>EH1-INT_D</v>
      </c>
      <c r="R87" s="142">
        <f>+LOOKUP(Q87,'[2]Doc Set'!E:E,'[2]Doc Set'!H:H)</f>
        <v>43521</v>
      </c>
      <c r="S87" s="143" t="s">
        <v>200</v>
      </c>
    </row>
    <row r="88" spans="1:19" x14ac:dyDescent="0.3">
      <c r="A88" s="156" t="s">
        <v>40</v>
      </c>
      <c r="B88" s="157" t="s">
        <v>190</v>
      </c>
      <c r="C88" s="157" t="s">
        <v>191</v>
      </c>
      <c r="D88" s="158" t="s">
        <v>64</v>
      </c>
      <c r="E88" s="55" t="s">
        <v>193</v>
      </c>
      <c r="F88" s="55" t="s">
        <v>194</v>
      </c>
      <c r="G88" s="55" t="s">
        <v>903</v>
      </c>
      <c r="H88" s="55" t="s">
        <v>904</v>
      </c>
      <c r="I88" s="139" t="s">
        <v>51</v>
      </c>
      <c r="J88" s="159" t="s">
        <v>905</v>
      </c>
      <c r="K88" s="55">
        <v>20038918</v>
      </c>
      <c r="L88" s="55" t="s">
        <v>198</v>
      </c>
      <c r="M88" s="141" t="str">
        <f t="shared" si="3"/>
        <v>EH1-INT_D</v>
      </c>
      <c r="N88" s="142" t="str">
        <f>LOOKUP(M88,'[2]Doc Set'!E:E,'[2]Doc Set'!F:F)</f>
        <v>_</v>
      </c>
      <c r="O88" s="141" t="s">
        <v>714</v>
      </c>
      <c r="P88" s="142">
        <f>+LOOKUP(O88,'[2]Doc Set'!E:E,'[2]Doc Set'!G:G)</f>
        <v>43493</v>
      </c>
      <c r="Q88" s="55" t="str">
        <f t="shared" si="2"/>
        <v>EH1-INT_D</v>
      </c>
      <c r="R88" s="142">
        <f>+LOOKUP(Q88,'[2]Doc Set'!E:E,'[2]Doc Set'!H:H)</f>
        <v>43521</v>
      </c>
      <c r="S88" s="143" t="s">
        <v>200</v>
      </c>
    </row>
    <row r="89" spans="1:19" x14ac:dyDescent="0.3">
      <c r="A89" s="156" t="s">
        <v>40</v>
      </c>
      <c r="B89" s="157" t="s">
        <v>190</v>
      </c>
      <c r="C89" s="157" t="s">
        <v>191</v>
      </c>
      <c r="D89" s="158" t="s">
        <v>64</v>
      </c>
      <c r="E89" s="55" t="s">
        <v>193</v>
      </c>
      <c r="F89" s="55" t="s">
        <v>194</v>
      </c>
      <c r="G89" s="55" t="s">
        <v>406</v>
      </c>
      <c r="H89" s="55" t="s">
        <v>906</v>
      </c>
      <c r="I89" s="139" t="s">
        <v>51</v>
      </c>
      <c r="J89" s="159" t="s">
        <v>907</v>
      </c>
      <c r="K89" s="55">
        <v>20038918</v>
      </c>
      <c r="L89" s="55" t="s">
        <v>198</v>
      </c>
      <c r="M89" s="141" t="str">
        <f t="shared" si="3"/>
        <v>EH1-INT_D</v>
      </c>
      <c r="N89" s="142" t="str">
        <f>LOOKUP(M89,'[2]Doc Set'!E:E,'[2]Doc Set'!F:F)</f>
        <v>_</v>
      </c>
      <c r="O89" s="141" t="s">
        <v>714</v>
      </c>
      <c r="P89" s="142">
        <f>+LOOKUP(O89,'[2]Doc Set'!E:E,'[2]Doc Set'!G:G)</f>
        <v>43493</v>
      </c>
      <c r="Q89" s="55" t="str">
        <f t="shared" si="2"/>
        <v>EH1-INT_D</v>
      </c>
      <c r="R89" s="142">
        <f>+LOOKUP(Q89,'[2]Doc Set'!E:E,'[2]Doc Set'!H:H)</f>
        <v>43521</v>
      </c>
      <c r="S89" s="143" t="s">
        <v>200</v>
      </c>
    </row>
    <row r="90" spans="1:19" x14ac:dyDescent="0.3">
      <c r="A90" s="156" t="s">
        <v>40</v>
      </c>
      <c r="B90" s="157" t="s">
        <v>190</v>
      </c>
      <c r="C90" s="157" t="s">
        <v>191</v>
      </c>
      <c r="D90" s="158" t="s">
        <v>64</v>
      </c>
      <c r="E90" s="55" t="s">
        <v>193</v>
      </c>
      <c r="F90" s="55" t="s">
        <v>194</v>
      </c>
      <c r="G90" s="55" t="s">
        <v>908</v>
      </c>
      <c r="H90" s="55" t="s">
        <v>909</v>
      </c>
      <c r="I90" s="139" t="s">
        <v>51</v>
      </c>
      <c r="J90" s="159" t="s">
        <v>910</v>
      </c>
      <c r="K90" s="55">
        <v>20038918</v>
      </c>
      <c r="L90" s="55" t="s">
        <v>198</v>
      </c>
      <c r="M90" s="141" t="str">
        <f t="shared" si="3"/>
        <v>EH1-INT_D</v>
      </c>
      <c r="N90" s="142" t="str">
        <f>LOOKUP(M90,'[2]Doc Set'!E:E,'[2]Doc Set'!F:F)</f>
        <v>_</v>
      </c>
      <c r="O90" s="141" t="s">
        <v>714</v>
      </c>
      <c r="P90" s="142">
        <f>+LOOKUP(O90,'[2]Doc Set'!E:E,'[2]Doc Set'!G:G)</f>
        <v>43493</v>
      </c>
      <c r="Q90" s="55" t="str">
        <f t="shared" si="2"/>
        <v>EH1-INT_D</v>
      </c>
      <c r="R90" s="142">
        <f>+LOOKUP(Q90,'[2]Doc Set'!E:E,'[2]Doc Set'!H:H)</f>
        <v>43521</v>
      </c>
      <c r="S90" s="143" t="s">
        <v>200</v>
      </c>
    </row>
    <row r="91" spans="1:19" x14ac:dyDescent="0.3">
      <c r="A91" s="156" t="s">
        <v>40</v>
      </c>
      <c r="B91" s="157" t="s">
        <v>190</v>
      </c>
      <c r="C91" s="157" t="s">
        <v>191</v>
      </c>
      <c r="D91" s="158" t="s">
        <v>64</v>
      </c>
      <c r="E91" s="55" t="s">
        <v>193</v>
      </c>
      <c r="F91" s="55" t="s">
        <v>194</v>
      </c>
      <c r="G91" s="55" t="s">
        <v>911</v>
      </c>
      <c r="H91" s="55" t="s">
        <v>912</v>
      </c>
      <c r="I91" s="139" t="s">
        <v>51</v>
      </c>
      <c r="J91" s="159" t="s">
        <v>913</v>
      </c>
      <c r="K91" s="55">
        <v>20038918</v>
      </c>
      <c r="L91" s="55" t="s">
        <v>198</v>
      </c>
      <c r="M91" s="141" t="str">
        <f t="shared" si="3"/>
        <v>EH1-INT_D</v>
      </c>
      <c r="N91" s="142" t="str">
        <f>LOOKUP(M91,'[2]Doc Set'!E:E,'[2]Doc Set'!F:F)</f>
        <v>_</v>
      </c>
      <c r="O91" s="141" t="s">
        <v>714</v>
      </c>
      <c r="P91" s="142">
        <f>+LOOKUP(O91,'[2]Doc Set'!E:E,'[2]Doc Set'!G:G)</f>
        <v>43493</v>
      </c>
      <c r="Q91" s="55" t="str">
        <f t="shared" si="2"/>
        <v>EH1-INT_D</v>
      </c>
      <c r="R91" s="142">
        <f>+LOOKUP(Q91,'[2]Doc Set'!E:E,'[2]Doc Set'!H:H)</f>
        <v>43521</v>
      </c>
      <c r="S91" s="143" t="s">
        <v>200</v>
      </c>
    </row>
    <row r="92" spans="1:19" x14ac:dyDescent="0.3">
      <c r="A92" s="156" t="s">
        <v>40</v>
      </c>
      <c r="B92" s="157" t="s">
        <v>190</v>
      </c>
      <c r="C92" s="157" t="s">
        <v>191</v>
      </c>
      <c r="D92" s="158" t="s">
        <v>64</v>
      </c>
      <c r="E92" s="55" t="s">
        <v>193</v>
      </c>
      <c r="F92" s="55" t="s">
        <v>194</v>
      </c>
      <c r="G92" s="55" t="s">
        <v>506</v>
      </c>
      <c r="H92" s="55" t="s">
        <v>914</v>
      </c>
      <c r="I92" s="139" t="s">
        <v>51</v>
      </c>
      <c r="J92" s="147" t="s">
        <v>915</v>
      </c>
      <c r="K92" s="55">
        <v>20038918</v>
      </c>
      <c r="L92" s="55" t="s">
        <v>198</v>
      </c>
      <c r="M92" s="141" t="str">
        <f t="shared" si="3"/>
        <v>EH1-INT_D</v>
      </c>
      <c r="N92" s="142" t="str">
        <f>LOOKUP(M92,'[2]Doc Set'!E:E,'[2]Doc Set'!F:F)</f>
        <v>_</v>
      </c>
      <c r="O92" s="141" t="s">
        <v>714</v>
      </c>
      <c r="P92" s="142">
        <f>+LOOKUP(O92,'[2]Doc Set'!E:E,'[2]Doc Set'!G:G)</f>
        <v>43493</v>
      </c>
      <c r="Q92" s="55" t="str">
        <f t="shared" si="2"/>
        <v>EH1-INT_D</v>
      </c>
      <c r="R92" s="142">
        <f>+LOOKUP(Q92,'[2]Doc Set'!E:E,'[2]Doc Set'!H:H)</f>
        <v>43521</v>
      </c>
      <c r="S92" s="143" t="s">
        <v>200</v>
      </c>
    </row>
    <row r="93" spans="1:19" x14ac:dyDescent="0.3">
      <c r="A93" s="156" t="s">
        <v>40</v>
      </c>
      <c r="B93" s="157" t="s">
        <v>190</v>
      </c>
      <c r="C93" s="157" t="s">
        <v>191</v>
      </c>
      <c r="D93" s="158" t="s">
        <v>64</v>
      </c>
      <c r="E93" s="55" t="s">
        <v>193</v>
      </c>
      <c r="F93" s="55" t="s">
        <v>194</v>
      </c>
      <c r="G93" s="55" t="s">
        <v>509</v>
      </c>
      <c r="H93" s="55" t="s">
        <v>916</v>
      </c>
      <c r="I93" s="139" t="s">
        <v>51</v>
      </c>
      <c r="J93" s="159" t="s">
        <v>917</v>
      </c>
      <c r="K93" s="55">
        <v>20038918</v>
      </c>
      <c r="L93" s="55" t="s">
        <v>198</v>
      </c>
      <c r="M93" s="141" t="str">
        <f t="shared" si="3"/>
        <v>EH1-INT_D</v>
      </c>
      <c r="N93" s="142" t="str">
        <f>LOOKUP(M93,'[2]Doc Set'!E:E,'[2]Doc Set'!F:F)</f>
        <v>_</v>
      </c>
      <c r="O93" s="141" t="s">
        <v>714</v>
      </c>
      <c r="P93" s="142">
        <f>+LOOKUP(O93,'[2]Doc Set'!E:E,'[2]Doc Set'!G:G)</f>
        <v>43493</v>
      </c>
      <c r="Q93" s="55" t="str">
        <f t="shared" si="2"/>
        <v>EH1-INT_D</v>
      </c>
      <c r="R93" s="142">
        <f>+LOOKUP(Q93,'[2]Doc Set'!E:E,'[2]Doc Set'!H:H)</f>
        <v>43521</v>
      </c>
      <c r="S93" s="143" t="s">
        <v>200</v>
      </c>
    </row>
    <row r="94" spans="1:19" x14ac:dyDescent="0.3">
      <c r="A94" s="156" t="s">
        <v>40</v>
      </c>
      <c r="B94" s="157" t="s">
        <v>190</v>
      </c>
      <c r="C94" s="157" t="s">
        <v>191</v>
      </c>
      <c r="D94" s="158" t="s">
        <v>64</v>
      </c>
      <c r="E94" s="55" t="s">
        <v>193</v>
      </c>
      <c r="F94" s="55" t="s">
        <v>194</v>
      </c>
      <c r="G94" s="55" t="s">
        <v>512</v>
      </c>
      <c r="H94" s="55" t="s">
        <v>918</v>
      </c>
      <c r="I94" s="139" t="s">
        <v>51</v>
      </c>
      <c r="J94" s="159" t="s">
        <v>919</v>
      </c>
      <c r="K94" s="55">
        <v>20038918</v>
      </c>
      <c r="L94" s="55" t="s">
        <v>198</v>
      </c>
      <c r="M94" s="141" t="str">
        <f t="shared" si="3"/>
        <v>EH1-INT_D</v>
      </c>
      <c r="N94" s="142" t="str">
        <f>LOOKUP(M94,'[2]Doc Set'!E:E,'[2]Doc Set'!F:F)</f>
        <v>_</v>
      </c>
      <c r="O94" s="141" t="s">
        <v>714</v>
      </c>
      <c r="P94" s="142">
        <f>+LOOKUP(O94,'[2]Doc Set'!E:E,'[2]Doc Set'!G:G)</f>
        <v>43493</v>
      </c>
      <c r="Q94" s="55" t="str">
        <f t="shared" si="2"/>
        <v>EH1-INT_D</v>
      </c>
      <c r="R94" s="142">
        <f>+LOOKUP(Q94,'[2]Doc Set'!E:E,'[2]Doc Set'!H:H)</f>
        <v>43521</v>
      </c>
      <c r="S94" s="143" t="s">
        <v>200</v>
      </c>
    </row>
    <row r="95" spans="1:19" x14ac:dyDescent="0.3">
      <c r="A95" s="156" t="s">
        <v>40</v>
      </c>
      <c r="B95" s="157" t="s">
        <v>190</v>
      </c>
      <c r="C95" s="157" t="s">
        <v>191</v>
      </c>
      <c r="D95" s="158" t="s">
        <v>64</v>
      </c>
      <c r="E95" s="55" t="s">
        <v>193</v>
      </c>
      <c r="F95" s="55" t="s">
        <v>663</v>
      </c>
      <c r="G95" s="55" t="s">
        <v>685</v>
      </c>
      <c r="H95" s="55" t="s">
        <v>920</v>
      </c>
      <c r="I95" s="139" t="s">
        <v>134</v>
      </c>
      <c r="J95" s="147" t="s">
        <v>921</v>
      </c>
      <c r="K95" s="55">
        <v>20038918</v>
      </c>
      <c r="L95" s="55" t="s">
        <v>198</v>
      </c>
      <c r="M95" s="141" t="str">
        <f t="shared" si="3"/>
        <v>EH1-INT_D</v>
      </c>
      <c r="N95" s="142" t="str">
        <f>LOOKUP(M95,'[2]Doc Set'!E:E,'[2]Doc Set'!F:F)</f>
        <v>_</v>
      </c>
      <c r="O95" s="141" t="s">
        <v>714</v>
      </c>
      <c r="P95" s="142">
        <f>+LOOKUP(O95,'[2]Doc Set'!E:E,'[2]Doc Set'!G:G)</f>
        <v>43493</v>
      </c>
      <c r="Q95" s="55" t="str">
        <f t="shared" si="2"/>
        <v>EH1-INT_D</v>
      </c>
      <c r="R95" s="142">
        <f>+LOOKUP(Q95,'[2]Doc Set'!E:E,'[2]Doc Set'!H:H)</f>
        <v>43521</v>
      </c>
      <c r="S95" s="143" t="s">
        <v>200</v>
      </c>
    </row>
    <row r="96" spans="1:19" x14ac:dyDescent="0.3">
      <c r="A96" s="156" t="s">
        <v>40</v>
      </c>
      <c r="B96" s="157" t="s">
        <v>190</v>
      </c>
      <c r="C96" s="157" t="s">
        <v>191</v>
      </c>
      <c r="D96" s="158" t="s">
        <v>64</v>
      </c>
      <c r="E96" s="55" t="s">
        <v>193</v>
      </c>
      <c r="F96" s="55" t="s">
        <v>663</v>
      </c>
      <c r="G96" s="55" t="s">
        <v>688</v>
      </c>
      <c r="H96" s="55" t="s">
        <v>922</v>
      </c>
      <c r="I96" s="139" t="s">
        <v>134</v>
      </c>
      <c r="J96" s="159" t="s">
        <v>923</v>
      </c>
      <c r="K96" s="55">
        <v>20038918</v>
      </c>
      <c r="L96" s="55" t="s">
        <v>198</v>
      </c>
      <c r="M96" s="141" t="str">
        <f t="shared" si="3"/>
        <v>EH1-INT_D</v>
      </c>
      <c r="N96" s="142" t="str">
        <f>LOOKUP(M96,'[2]Doc Set'!E:E,'[2]Doc Set'!F:F)</f>
        <v>_</v>
      </c>
      <c r="O96" s="141" t="s">
        <v>714</v>
      </c>
      <c r="P96" s="142">
        <f>+LOOKUP(O96,'[2]Doc Set'!E:E,'[2]Doc Set'!G:G)</f>
        <v>43493</v>
      </c>
      <c r="Q96" s="55" t="str">
        <f t="shared" si="2"/>
        <v>EH1-INT_D</v>
      </c>
      <c r="R96" s="142">
        <f>+LOOKUP(Q96,'[2]Doc Set'!E:E,'[2]Doc Set'!H:H)</f>
        <v>43521</v>
      </c>
      <c r="S96" s="143" t="s">
        <v>200</v>
      </c>
    </row>
    <row r="97" spans="1:19" x14ac:dyDescent="0.3">
      <c r="A97" s="156" t="s">
        <v>40</v>
      </c>
      <c r="B97" s="157" t="s">
        <v>190</v>
      </c>
      <c r="C97" s="157" t="s">
        <v>191</v>
      </c>
      <c r="D97" s="158" t="s">
        <v>64</v>
      </c>
      <c r="E97" s="55" t="s">
        <v>193</v>
      </c>
      <c r="F97" s="55" t="s">
        <v>663</v>
      </c>
      <c r="G97" s="55" t="s">
        <v>691</v>
      </c>
      <c r="H97" s="55" t="s">
        <v>924</v>
      </c>
      <c r="I97" s="139" t="s">
        <v>134</v>
      </c>
      <c r="J97" s="159" t="s">
        <v>925</v>
      </c>
      <c r="K97" s="55">
        <v>20038918</v>
      </c>
      <c r="L97" s="55" t="s">
        <v>198</v>
      </c>
      <c r="M97" s="141" t="str">
        <f t="shared" si="3"/>
        <v>EH1-INT_D</v>
      </c>
      <c r="N97" s="142" t="str">
        <f>LOOKUP(M97,'[2]Doc Set'!E:E,'[2]Doc Set'!F:F)</f>
        <v>_</v>
      </c>
      <c r="O97" s="141" t="s">
        <v>714</v>
      </c>
      <c r="P97" s="142">
        <f>+LOOKUP(O97,'[2]Doc Set'!E:E,'[2]Doc Set'!G:G)</f>
        <v>43493</v>
      </c>
      <c r="Q97" s="55" t="str">
        <f t="shared" si="2"/>
        <v>EH1-INT_D</v>
      </c>
      <c r="R97" s="142">
        <f>+LOOKUP(Q97,'[2]Doc Set'!E:E,'[2]Doc Set'!H:H)</f>
        <v>43521</v>
      </c>
      <c r="S97" s="143" t="s">
        <v>200</v>
      </c>
    </row>
    <row r="98" spans="1:19" x14ac:dyDescent="0.3">
      <c r="A98" s="156" t="s">
        <v>40</v>
      </c>
      <c r="B98" s="157" t="s">
        <v>190</v>
      </c>
      <c r="C98" s="157" t="s">
        <v>191</v>
      </c>
      <c r="D98" s="158" t="s">
        <v>64</v>
      </c>
      <c r="E98" s="55" t="s">
        <v>193</v>
      </c>
      <c r="F98" s="55" t="s">
        <v>663</v>
      </c>
      <c r="G98" s="55" t="s">
        <v>926</v>
      </c>
      <c r="H98" s="55" t="s">
        <v>927</v>
      </c>
      <c r="I98" s="139" t="s">
        <v>134</v>
      </c>
      <c r="J98" s="159" t="s">
        <v>928</v>
      </c>
      <c r="K98" s="55">
        <v>20038918</v>
      </c>
      <c r="L98" s="55" t="s">
        <v>198</v>
      </c>
      <c r="M98" s="141" t="str">
        <f t="shared" si="3"/>
        <v>EH1-INT_D</v>
      </c>
      <c r="N98" s="142" t="str">
        <f>LOOKUP(M98,'[2]Doc Set'!E:E,'[2]Doc Set'!F:F)</f>
        <v>_</v>
      </c>
      <c r="O98" s="141" t="s">
        <v>714</v>
      </c>
      <c r="P98" s="142">
        <f>+LOOKUP(O98,'[2]Doc Set'!E:E,'[2]Doc Set'!G:G)</f>
        <v>43493</v>
      </c>
      <c r="Q98" s="55" t="str">
        <f t="shared" si="2"/>
        <v>EH1-INT_D</v>
      </c>
      <c r="R98" s="142">
        <f>+LOOKUP(Q98,'[2]Doc Set'!E:E,'[2]Doc Set'!H:H)</f>
        <v>43521</v>
      </c>
      <c r="S98" s="143" t="s">
        <v>200</v>
      </c>
    </row>
  </sheetData>
  <autoFilter ref="A1:S98"/>
  <conditionalFormatting sqref="G1:G1048576">
    <cfRule type="duplicateValues" dxfId="59" priority="2"/>
    <cfRule type="duplicateValues" dxfId="58" priority="3"/>
    <cfRule type="duplicateValues" dxfId="57" priority="4"/>
  </conditionalFormatting>
  <conditionalFormatting sqref="H1:H1048576">
    <cfRule type="duplicateValues" dxfId="56" priority="1"/>
  </conditionalFormatting>
  <dataValidations count="1">
    <dataValidation type="list" allowBlank="1" showInputMessage="1" showErrorMessage="1" sqref="O2:O98 M2:M98">
      <formula1>Document_Set_Name</formula1>
    </dataValidation>
  </dataValidations>
  <pageMargins left="0.7" right="0.7" top="0.75" bottom="0.75" header="0.3" footer="0.3"/>
  <pageSetup orientation="portrait" r:id="rId1"/>
  <headerFooter>
    <oddFooter>&amp;L&amp;1#&amp;"Calibri"&amp;8 Sensitivity: LNT Construction Internal Use</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S169"/>
  <sheetViews>
    <sheetView topLeftCell="H160" zoomScaleNormal="100" workbookViewId="0">
      <selection activeCell="I60" sqref="I60"/>
    </sheetView>
  </sheetViews>
  <sheetFormatPr defaultRowHeight="14.4" x14ac:dyDescent="0.3"/>
  <cols>
    <col min="1" max="1" width="11.44140625" bestFit="1" customWidth="1"/>
    <col min="3" max="3" width="11.109375" bestFit="1" customWidth="1"/>
    <col min="4" max="4" width="11.33203125" style="155" bestFit="1" customWidth="1"/>
    <col min="5" max="5" width="10.5546875" bestFit="1" customWidth="1"/>
    <col min="6" max="6" width="8.5546875" bestFit="1" customWidth="1"/>
    <col min="8" max="8" width="22.5546875" bestFit="1" customWidth="1"/>
    <col min="10" max="10" width="56.5546875" bestFit="1" customWidth="1"/>
    <col min="11" max="11" width="11.6640625" customWidth="1"/>
    <col min="12" max="14" width="14.6640625" customWidth="1"/>
    <col min="15" max="15" width="13.6640625" customWidth="1"/>
    <col min="16" max="16" width="12.5546875" bestFit="1" customWidth="1"/>
    <col min="17" max="17" width="9.109375" customWidth="1"/>
    <col min="18" max="18" width="9.6640625" bestFit="1" customWidth="1"/>
    <col min="19" max="19" width="13.88671875" customWidth="1"/>
  </cols>
  <sheetData>
    <row r="1" spans="1:19" s="136" customFormat="1" x14ac:dyDescent="0.3">
      <c r="A1" s="136" t="s">
        <v>174</v>
      </c>
      <c r="B1" s="136" t="s">
        <v>175</v>
      </c>
      <c r="C1" s="136" t="s">
        <v>176</v>
      </c>
      <c r="D1" s="137" t="s">
        <v>177</v>
      </c>
      <c r="E1" s="136" t="s">
        <v>178</v>
      </c>
      <c r="F1" s="136" t="s">
        <v>179</v>
      </c>
      <c r="G1" s="136" t="s">
        <v>180</v>
      </c>
      <c r="H1" s="136" t="s">
        <v>181</v>
      </c>
      <c r="I1" s="136" t="s">
        <v>182</v>
      </c>
      <c r="J1" s="136" t="s">
        <v>183</v>
      </c>
      <c r="K1" s="136" t="s">
        <v>184</v>
      </c>
      <c r="L1" s="136" t="s">
        <v>185</v>
      </c>
      <c r="M1" s="136" t="s">
        <v>34</v>
      </c>
      <c r="N1" s="136" t="s">
        <v>186</v>
      </c>
      <c r="O1" s="136" t="s">
        <v>67</v>
      </c>
      <c r="P1" s="136" t="s">
        <v>187</v>
      </c>
      <c r="Q1" s="136" t="s">
        <v>133</v>
      </c>
      <c r="R1" s="136" t="s">
        <v>188</v>
      </c>
      <c r="S1" s="136" t="s">
        <v>189</v>
      </c>
    </row>
    <row r="2" spans="1:19" x14ac:dyDescent="0.3">
      <c r="A2" s="55" t="s">
        <v>40</v>
      </c>
      <c r="B2" s="55" t="s">
        <v>190</v>
      </c>
      <c r="C2" s="55" t="s">
        <v>191</v>
      </c>
      <c r="D2" s="138" t="s">
        <v>192</v>
      </c>
      <c r="E2" s="55" t="s">
        <v>193</v>
      </c>
      <c r="F2" s="55" t="s">
        <v>194</v>
      </c>
      <c r="G2" s="55" t="s">
        <v>195</v>
      </c>
      <c r="H2" s="55" t="s">
        <v>196</v>
      </c>
      <c r="I2" s="139" t="s">
        <v>51</v>
      </c>
      <c r="J2" s="140" t="s">
        <v>197</v>
      </c>
      <c r="K2" s="55">
        <v>20038918</v>
      </c>
      <c r="L2" s="55" t="s">
        <v>198</v>
      </c>
      <c r="M2" s="141" t="str">
        <f>+O2</f>
        <v>CC-INT_D</v>
      </c>
      <c r="N2" s="142" t="str">
        <f>LOOKUP(M2,'[2]Doc Set'!E:E,'[2]Doc Set'!F:F)</f>
        <v>_</v>
      </c>
      <c r="O2" s="141" t="s">
        <v>199</v>
      </c>
      <c r="P2" s="142">
        <f>+LOOKUP(O2,'[2]Doc Set'!E:E,'[2]Doc Set'!G:G)</f>
        <v>43437</v>
      </c>
      <c r="Q2" s="55" t="str">
        <f>+O2</f>
        <v>CC-INT_D</v>
      </c>
      <c r="R2" s="142">
        <f>+LOOKUP(Q2,'[2]Doc Set'!E:E,'[2]Doc Set'!H:H)</f>
        <v>43514</v>
      </c>
      <c r="S2" s="143" t="s">
        <v>200</v>
      </c>
    </row>
    <row r="3" spans="1:19" x14ac:dyDescent="0.3">
      <c r="A3" s="55" t="s">
        <v>40</v>
      </c>
      <c r="B3" s="55" t="s">
        <v>190</v>
      </c>
      <c r="C3" s="55" t="s">
        <v>191</v>
      </c>
      <c r="D3" s="138" t="s">
        <v>192</v>
      </c>
      <c r="E3" s="55" t="s">
        <v>193</v>
      </c>
      <c r="F3" s="55" t="s">
        <v>194</v>
      </c>
      <c r="G3" s="55" t="s">
        <v>201</v>
      </c>
      <c r="H3" s="55" t="s">
        <v>202</v>
      </c>
      <c r="I3" s="139" t="s">
        <v>51</v>
      </c>
      <c r="J3" s="140" t="s">
        <v>203</v>
      </c>
      <c r="K3" s="55">
        <v>20038918</v>
      </c>
      <c r="L3" s="55" t="s">
        <v>198</v>
      </c>
      <c r="M3" s="141" t="str">
        <f t="shared" ref="M3:M66" si="0">+O3</f>
        <v>CC-INT_D</v>
      </c>
      <c r="N3" s="142" t="str">
        <f>LOOKUP(M3,'[2]Doc Set'!E:E,'[2]Doc Set'!F:F)</f>
        <v>_</v>
      </c>
      <c r="O3" s="141" t="s">
        <v>199</v>
      </c>
      <c r="P3" s="142">
        <f>+LOOKUP(O3,'[2]Doc Set'!E:E,'[2]Doc Set'!G:G)</f>
        <v>43437</v>
      </c>
      <c r="Q3" s="55" t="str">
        <f t="shared" ref="Q3:Q66" si="1">+O3</f>
        <v>CC-INT_D</v>
      </c>
      <c r="R3" s="142">
        <f>+LOOKUP(Q3,'[2]Doc Set'!E:E,'[2]Doc Set'!H:H)</f>
        <v>43514</v>
      </c>
      <c r="S3" s="143" t="s">
        <v>200</v>
      </c>
    </row>
    <row r="4" spans="1:19" x14ac:dyDescent="0.3">
      <c r="A4" s="55" t="s">
        <v>40</v>
      </c>
      <c r="B4" s="55" t="s">
        <v>190</v>
      </c>
      <c r="C4" s="55" t="s">
        <v>191</v>
      </c>
      <c r="D4" s="138" t="s">
        <v>192</v>
      </c>
      <c r="E4" s="55" t="s">
        <v>193</v>
      </c>
      <c r="F4" s="55" t="s">
        <v>194</v>
      </c>
      <c r="G4" s="55" t="s">
        <v>204</v>
      </c>
      <c r="H4" s="55" t="s">
        <v>205</v>
      </c>
      <c r="I4" s="139" t="s">
        <v>51</v>
      </c>
      <c r="J4" s="140" t="s">
        <v>206</v>
      </c>
      <c r="K4" s="55">
        <v>20038918</v>
      </c>
      <c r="L4" s="55" t="s">
        <v>198</v>
      </c>
      <c r="M4" s="141" t="str">
        <f t="shared" si="0"/>
        <v>CC-INT_D</v>
      </c>
      <c r="N4" s="142" t="str">
        <f>LOOKUP(M4,'[2]Doc Set'!E:E,'[2]Doc Set'!F:F)</f>
        <v>_</v>
      </c>
      <c r="O4" s="141" t="s">
        <v>199</v>
      </c>
      <c r="P4" s="142">
        <f>+LOOKUP(O4,'[2]Doc Set'!E:E,'[2]Doc Set'!G:G)</f>
        <v>43437</v>
      </c>
      <c r="Q4" s="55" t="str">
        <f t="shared" si="1"/>
        <v>CC-INT_D</v>
      </c>
      <c r="R4" s="142">
        <f>+LOOKUP(Q4,'[2]Doc Set'!E:E,'[2]Doc Set'!H:H)</f>
        <v>43514</v>
      </c>
      <c r="S4" s="143" t="s">
        <v>200</v>
      </c>
    </row>
    <row r="5" spans="1:19" x14ac:dyDescent="0.3">
      <c r="A5" s="55" t="s">
        <v>40</v>
      </c>
      <c r="B5" s="55" t="s">
        <v>190</v>
      </c>
      <c r="C5" s="55" t="s">
        <v>191</v>
      </c>
      <c r="D5" s="138" t="s">
        <v>192</v>
      </c>
      <c r="E5" s="55" t="s">
        <v>193</v>
      </c>
      <c r="F5" s="55" t="s">
        <v>194</v>
      </c>
      <c r="G5" s="55" t="s">
        <v>207</v>
      </c>
      <c r="H5" s="55" t="s">
        <v>208</v>
      </c>
      <c r="I5" s="139" t="s">
        <v>51</v>
      </c>
      <c r="J5" s="140" t="s">
        <v>209</v>
      </c>
      <c r="K5" s="55">
        <v>20038918</v>
      </c>
      <c r="L5" s="55" t="s">
        <v>198</v>
      </c>
      <c r="M5" s="141" t="str">
        <f t="shared" si="0"/>
        <v>CC-INT_D</v>
      </c>
      <c r="N5" s="142" t="str">
        <f>LOOKUP(M5,'[2]Doc Set'!E:E,'[2]Doc Set'!F:F)</f>
        <v>_</v>
      </c>
      <c r="O5" s="141" t="s">
        <v>199</v>
      </c>
      <c r="P5" s="142">
        <f>+LOOKUP(O5,'[2]Doc Set'!E:E,'[2]Doc Set'!G:G)</f>
        <v>43437</v>
      </c>
      <c r="Q5" s="55" t="str">
        <f t="shared" si="1"/>
        <v>CC-INT_D</v>
      </c>
      <c r="R5" s="142">
        <f>+LOOKUP(Q5,'[2]Doc Set'!E:E,'[2]Doc Set'!H:H)</f>
        <v>43514</v>
      </c>
      <c r="S5" s="143" t="s">
        <v>200</v>
      </c>
    </row>
    <row r="6" spans="1:19" x14ac:dyDescent="0.3">
      <c r="A6" s="55" t="s">
        <v>40</v>
      </c>
      <c r="B6" s="55" t="s">
        <v>190</v>
      </c>
      <c r="C6" s="55" t="s">
        <v>191</v>
      </c>
      <c r="D6" s="138" t="s">
        <v>192</v>
      </c>
      <c r="E6" s="55" t="s">
        <v>193</v>
      </c>
      <c r="F6" s="55" t="s">
        <v>194</v>
      </c>
      <c r="G6" s="55" t="s">
        <v>210</v>
      </c>
      <c r="H6" s="55" t="s">
        <v>211</v>
      </c>
      <c r="I6" s="139" t="s">
        <v>51</v>
      </c>
      <c r="J6" s="140" t="s">
        <v>212</v>
      </c>
      <c r="K6" s="55">
        <v>20038918</v>
      </c>
      <c r="L6" s="55" t="s">
        <v>198</v>
      </c>
      <c r="M6" s="141" t="str">
        <f t="shared" si="0"/>
        <v>CC-INT_D</v>
      </c>
      <c r="N6" s="142" t="str">
        <f>LOOKUP(M6,'[2]Doc Set'!E:E,'[2]Doc Set'!F:F)</f>
        <v>_</v>
      </c>
      <c r="O6" s="141" t="s">
        <v>199</v>
      </c>
      <c r="P6" s="142">
        <f>+LOOKUP(O6,'[2]Doc Set'!E:E,'[2]Doc Set'!G:G)</f>
        <v>43437</v>
      </c>
      <c r="Q6" s="55" t="str">
        <f t="shared" si="1"/>
        <v>CC-INT_D</v>
      </c>
      <c r="R6" s="142">
        <f>+LOOKUP(Q6,'[2]Doc Set'!E:E,'[2]Doc Set'!H:H)</f>
        <v>43514</v>
      </c>
      <c r="S6" s="143" t="s">
        <v>200</v>
      </c>
    </row>
    <row r="7" spans="1:19" x14ac:dyDescent="0.3">
      <c r="A7" s="55" t="s">
        <v>40</v>
      </c>
      <c r="B7" s="55" t="s">
        <v>190</v>
      </c>
      <c r="C7" s="55" t="s">
        <v>191</v>
      </c>
      <c r="D7" s="138" t="s">
        <v>192</v>
      </c>
      <c r="E7" s="55" t="s">
        <v>193</v>
      </c>
      <c r="F7" s="55" t="s">
        <v>194</v>
      </c>
      <c r="G7" s="55" t="s">
        <v>213</v>
      </c>
      <c r="H7" s="55" t="s">
        <v>214</v>
      </c>
      <c r="I7" s="139" t="s">
        <v>51</v>
      </c>
      <c r="J7" s="140" t="s">
        <v>215</v>
      </c>
      <c r="K7" s="55">
        <v>20038918</v>
      </c>
      <c r="L7" s="55" t="s">
        <v>198</v>
      </c>
      <c r="M7" s="141" t="str">
        <f t="shared" si="0"/>
        <v>CC-INT_D</v>
      </c>
      <c r="N7" s="142" t="str">
        <f>LOOKUP(M7,'[2]Doc Set'!E:E,'[2]Doc Set'!F:F)</f>
        <v>_</v>
      </c>
      <c r="O7" s="141" t="s">
        <v>199</v>
      </c>
      <c r="P7" s="142">
        <f>+LOOKUP(O7,'[2]Doc Set'!E:E,'[2]Doc Set'!G:G)</f>
        <v>43437</v>
      </c>
      <c r="Q7" s="55" t="str">
        <f t="shared" si="1"/>
        <v>CC-INT_D</v>
      </c>
      <c r="R7" s="142">
        <f>+LOOKUP(Q7,'[2]Doc Set'!E:E,'[2]Doc Set'!H:H)</f>
        <v>43514</v>
      </c>
      <c r="S7" s="143" t="s">
        <v>200</v>
      </c>
    </row>
    <row r="8" spans="1:19" x14ac:dyDescent="0.3">
      <c r="A8" s="55" t="s">
        <v>40</v>
      </c>
      <c r="B8" s="55" t="s">
        <v>190</v>
      </c>
      <c r="C8" s="55" t="s">
        <v>191</v>
      </c>
      <c r="D8" s="138" t="s">
        <v>192</v>
      </c>
      <c r="E8" s="55" t="s">
        <v>193</v>
      </c>
      <c r="F8" s="55" t="s">
        <v>194</v>
      </c>
      <c r="G8" s="55" t="s">
        <v>216</v>
      </c>
      <c r="H8" s="55" t="s">
        <v>217</v>
      </c>
      <c r="I8" s="139" t="s">
        <v>51</v>
      </c>
      <c r="J8" s="140" t="s">
        <v>218</v>
      </c>
      <c r="K8" s="55">
        <v>20038918</v>
      </c>
      <c r="L8" s="55" t="s">
        <v>198</v>
      </c>
      <c r="M8" s="141" t="str">
        <f t="shared" si="0"/>
        <v>CC-INT_D</v>
      </c>
      <c r="N8" s="142" t="str">
        <f>LOOKUP(M8,'[2]Doc Set'!E:E,'[2]Doc Set'!F:F)</f>
        <v>_</v>
      </c>
      <c r="O8" s="141" t="s">
        <v>199</v>
      </c>
      <c r="P8" s="142">
        <f>+LOOKUP(O8,'[2]Doc Set'!E:E,'[2]Doc Set'!G:G)</f>
        <v>43437</v>
      </c>
      <c r="Q8" s="55" t="str">
        <f t="shared" si="1"/>
        <v>CC-INT_D</v>
      </c>
      <c r="R8" s="142">
        <f>+LOOKUP(Q8,'[2]Doc Set'!E:E,'[2]Doc Set'!H:H)</f>
        <v>43514</v>
      </c>
      <c r="S8" s="143" t="s">
        <v>200</v>
      </c>
    </row>
    <row r="9" spans="1:19" x14ac:dyDescent="0.3">
      <c r="A9" s="55" t="s">
        <v>40</v>
      </c>
      <c r="B9" s="55" t="s">
        <v>190</v>
      </c>
      <c r="C9" s="55" t="s">
        <v>191</v>
      </c>
      <c r="D9" s="138" t="s">
        <v>192</v>
      </c>
      <c r="E9" s="55" t="s">
        <v>193</v>
      </c>
      <c r="F9" s="55" t="s">
        <v>194</v>
      </c>
      <c r="G9" s="55" t="s">
        <v>219</v>
      </c>
      <c r="H9" s="55" t="s">
        <v>220</v>
      </c>
      <c r="I9" s="139" t="s">
        <v>51</v>
      </c>
      <c r="J9" s="140" t="s">
        <v>221</v>
      </c>
      <c r="K9" s="55">
        <v>20038918</v>
      </c>
      <c r="L9" s="55" t="s">
        <v>198</v>
      </c>
      <c r="M9" s="141" t="str">
        <f t="shared" si="0"/>
        <v>CC-INT_D</v>
      </c>
      <c r="N9" s="142" t="str">
        <f>LOOKUP(M9,'[2]Doc Set'!E:E,'[2]Doc Set'!F:F)</f>
        <v>_</v>
      </c>
      <c r="O9" s="141" t="s">
        <v>199</v>
      </c>
      <c r="P9" s="142">
        <f>+LOOKUP(O9,'[2]Doc Set'!E:E,'[2]Doc Set'!G:G)</f>
        <v>43437</v>
      </c>
      <c r="Q9" s="55" t="str">
        <f t="shared" si="1"/>
        <v>CC-INT_D</v>
      </c>
      <c r="R9" s="142">
        <f>+LOOKUP(Q9,'[2]Doc Set'!E:E,'[2]Doc Set'!H:H)</f>
        <v>43514</v>
      </c>
      <c r="S9" s="143" t="s">
        <v>200</v>
      </c>
    </row>
    <row r="10" spans="1:19" x14ac:dyDescent="0.3">
      <c r="A10" s="55" t="s">
        <v>40</v>
      </c>
      <c r="B10" s="55" t="s">
        <v>190</v>
      </c>
      <c r="C10" s="55" t="s">
        <v>191</v>
      </c>
      <c r="D10" s="138" t="s">
        <v>192</v>
      </c>
      <c r="E10" s="55" t="s">
        <v>193</v>
      </c>
      <c r="F10" s="55" t="s">
        <v>194</v>
      </c>
      <c r="G10" s="55" t="s">
        <v>222</v>
      </c>
      <c r="H10" s="55" t="s">
        <v>223</v>
      </c>
      <c r="I10" s="139" t="s">
        <v>51</v>
      </c>
      <c r="J10" s="140" t="s">
        <v>224</v>
      </c>
      <c r="K10" s="55">
        <v>20038918</v>
      </c>
      <c r="L10" s="55" t="s">
        <v>198</v>
      </c>
      <c r="M10" s="141" t="str">
        <f t="shared" si="0"/>
        <v>CC-INT_D</v>
      </c>
      <c r="N10" s="142" t="str">
        <f>LOOKUP(M10,'[2]Doc Set'!E:E,'[2]Doc Set'!F:F)</f>
        <v>_</v>
      </c>
      <c r="O10" s="141" t="s">
        <v>199</v>
      </c>
      <c r="P10" s="142">
        <f>+LOOKUP(O10,'[2]Doc Set'!E:E,'[2]Doc Set'!G:G)</f>
        <v>43437</v>
      </c>
      <c r="Q10" s="55" t="str">
        <f t="shared" si="1"/>
        <v>CC-INT_D</v>
      </c>
      <c r="R10" s="142">
        <f>+LOOKUP(Q10,'[2]Doc Set'!E:E,'[2]Doc Set'!H:H)</f>
        <v>43514</v>
      </c>
      <c r="S10" s="143" t="s">
        <v>200</v>
      </c>
    </row>
    <row r="11" spans="1:19" x14ac:dyDescent="0.3">
      <c r="A11" s="55" t="s">
        <v>40</v>
      </c>
      <c r="B11" s="55" t="s">
        <v>190</v>
      </c>
      <c r="C11" s="55" t="s">
        <v>191</v>
      </c>
      <c r="D11" s="138" t="s">
        <v>192</v>
      </c>
      <c r="E11" s="55" t="s">
        <v>193</v>
      </c>
      <c r="F11" s="55" t="s">
        <v>194</v>
      </c>
      <c r="G11" s="55" t="s">
        <v>225</v>
      </c>
      <c r="H11" s="55" t="s">
        <v>226</v>
      </c>
      <c r="I11" s="139" t="s">
        <v>51</v>
      </c>
      <c r="J11" s="140" t="s">
        <v>227</v>
      </c>
      <c r="K11" s="55">
        <v>20038918</v>
      </c>
      <c r="L11" s="55" t="s">
        <v>198</v>
      </c>
      <c r="M11" s="141" t="str">
        <f t="shared" si="0"/>
        <v>CC-INT_D</v>
      </c>
      <c r="N11" s="142" t="str">
        <f>LOOKUP(M11,'[2]Doc Set'!E:E,'[2]Doc Set'!F:F)</f>
        <v>_</v>
      </c>
      <c r="O11" s="141" t="s">
        <v>199</v>
      </c>
      <c r="P11" s="142">
        <f>+LOOKUP(O11,'[2]Doc Set'!E:E,'[2]Doc Set'!G:G)</f>
        <v>43437</v>
      </c>
      <c r="Q11" s="55" t="str">
        <f t="shared" si="1"/>
        <v>CC-INT_D</v>
      </c>
      <c r="R11" s="142">
        <f>+LOOKUP(Q11,'[2]Doc Set'!E:E,'[2]Doc Set'!H:H)</f>
        <v>43514</v>
      </c>
      <c r="S11" s="143" t="s">
        <v>200</v>
      </c>
    </row>
    <row r="12" spans="1:19" x14ac:dyDescent="0.3">
      <c r="A12" s="55" t="s">
        <v>40</v>
      </c>
      <c r="B12" s="55" t="s">
        <v>190</v>
      </c>
      <c r="C12" s="55" t="s">
        <v>191</v>
      </c>
      <c r="D12" s="138" t="s">
        <v>192</v>
      </c>
      <c r="E12" s="55" t="s">
        <v>193</v>
      </c>
      <c r="F12" s="55" t="s">
        <v>194</v>
      </c>
      <c r="G12" s="55" t="s">
        <v>228</v>
      </c>
      <c r="H12" s="55" t="s">
        <v>229</v>
      </c>
      <c r="I12" s="139" t="s">
        <v>51</v>
      </c>
      <c r="J12" s="140" t="s">
        <v>230</v>
      </c>
      <c r="K12" s="55">
        <v>20038918</v>
      </c>
      <c r="L12" s="55" t="s">
        <v>198</v>
      </c>
      <c r="M12" s="141" t="str">
        <f t="shared" si="0"/>
        <v>CC-INT_D</v>
      </c>
      <c r="N12" s="142" t="str">
        <f>LOOKUP(M12,'[2]Doc Set'!E:E,'[2]Doc Set'!F:F)</f>
        <v>_</v>
      </c>
      <c r="O12" s="141" t="s">
        <v>199</v>
      </c>
      <c r="P12" s="142">
        <f>+LOOKUP(O12,'[2]Doc Set'!E:E,'[2]Doc Set'!G:G)</f>
        <v>43437</v>
      </c>
      <c r="Q12" s="55" t="str">
        <f t="shared" si="1"/>
        <v>CC-INT_D</v>
      </c>
      <c r="R12" s="142">
        <f>+LOOKUP(Q12,'[2]Doc Set'!E:E,'[2]Doc Set'!H:H)</f>
        <v>43514</v>
      </c>
      <c r="S12" s="143" t="s">
        <v>200</v>
      </c>
    </row>
    <row r="13" spans="1:19" x14ac:dyDescent="0.3">
      <c r="A13" s="55" t="s">
        <v>40</v>
      </c>
      <c r="B13" s="55" t="s">
        <v>190</v>
      </c>
      <c r="C13" s="55" t="s">
        <v>191</v>
      </c>
      <c r="D13" s="138" t="s">
        <v>192</v>
      </c>
      <c r="E13" s="55" t="s">
        <v>193</v>
      </c>
      <c r="F13" s="55" t="s">
        <v>194</v>
      </c>
      <c r="G13" s="55" t="s">
        <v>231</v>
      </c>
      <c r="H13" s="55" t="s">
        <v>232</v>
      </c>
      <c r="I13" s="139" t="s">
        <v>51</v>
      </c>
      <c r="J13" s="140" t="s">
        <v>233</v>
      </c>
      <c r="K13" s="55">
        <v>20038918</v>
      </c>
      <c r="L13" s="55" t="s">
        <v>198</v>
      </c>
      <c r="M13" s="141" t="str">
        <f t="shared" si="0"/>
        <v>CC-INT_D</v>
      </c>
      <c r="N13" s="142" t="str">
        <f>LOOKUP(M13,'[2]Doc Set'!E:E,'[2]Doc Set'!F:F)</f>
        <v>_</v>
      </c>
      <c r="O13" s="141" t="s">
        <v>199</v>
      </c>
      <c r="P13" s="142">
        <f>+LOOKUP(O13,'[2]Doc Set'!E:E,'[2]Doc Set'!G:G)</f>
        <v>43437</v>
      </c>
      <c r="Q13" s="55" t="str">
        <f t="shared" si="1"/>
        <v>CC-INT_D</v>
      </c>
      <c r="R13" s="142">
        <f>+LOOKUP(Q13,'[2]Doc Set'!E:E,'[2]Doc Set'!H:H)</f>
        <v>43514</v>
      </c>
      <c r="S13" s="143" t="s">
        <v>200</v>
      </c>
    </row>
    <row r="14" spans="1:19" x14ac:dyDescent="0.3">
      <c r="A14" s="55" t="s">
        <v>40</v>
      </c>
      <c r="B14" s="55" t="s">
        <v>190</v>
      </c>
      <c r="C14" s="55" t="s">
        <v>191</v>
      </c>
      <c r="D14" s="138" t="s">
        <v>192</v>
      </c>
      <c r="E14" s="55" t="s">
        <v>193</v>
      </c>
      <c r="F14" s="55" t="s">
        <v>194</v>
      </c>
      <c r="G14" s="55" t="s">
        <v>234</v>
      </c>
      <c r="H14" s="55" t="s">
        <v>235</v>
      </c>
      <c r="I14" s="139" t="s">
        <v>51</v>
      </c>
      <c r="J14" s="140" t="s">
        <v>236</v>
      </c>
      <c r="K14" s="55">
        <v>20038918</v>
      </c>
      <c r="L14" s="55" t="s">
        <v>198</v>
      </c>
      <c r="M14" s="141" t="str">
        <f t="shared" si="0"/>
        <v>CC-INT_D</v>
      </c>
      <c r="N14" s="142" t="str">
        <f>LOOKUP(M14,'[2]Doc Set'!E:E,'[2]Doc Set'!F:F)</f>
        <v>_</v>
      </c>
      <c r="O14" s="141" t="s">
        <v>199</v>
      </c>
      <c r="P14" s="142">
        <f>+LOOKUP(O14,'[2]Doc Set'!E:E,'[2]Doc Set'!G:G)</f>
        <v>43437</v>
      </c>
      <c r="Q14" s="55" t="str">
        <f t="shared" si="1"/>
        <v>CC-INT_D</v>
      </c>
      <c r="R14" s="142">
        <f>+LOOKUP(Q14,'[2]Doc Set'!E:E,'[2]Doc Set'!H:H)</f>
        <v>43514</v>
      </c>
      <c r="S14" s="143" t="s">
        <v>200</v>
      </c>
    </row>
    <row r="15" spans="1:19" x14ac:dyDescent="0.3">
      <c r="A15" s="55" t="s">
        <v>40</v>
      </c>
      <c r="B15" s="55" t="s">
        <v>190</v>
      </c>
      <c r="C15" s="55" t="s">
        <v>191</v>
      </c>
      <c r="D15" s="138" t="s">
        <v>192</v>
      </c>
      <c r="E15" s="55" t="s">
        <v>193</v>
      </c>
      <c r="F15" s="55" t="s">
        <v>194</v>
      </c>
      <c r="G15" s="55" t="s">
        <v>237</v>
      </c>
      <c r="H15" s="55" t="s">
        <v>238</v>
      </c>
      <c r="I15" s="139" t="s">
        <v>51</v>
      </c>
      <c r="J15" s="140" t="s">
        <v>239</v>
      </c>
      <c r="K15" s="55">
        <v>20038918</v>
      </c>
      <c r="L15" s="55" t="s">
        <v>198</v>
      </c>
      <c r="M15" s="141" t="str">
        <f t="shared" si="0"/>
        <v>CC-INT_D</v>
      </c>
      <c r="N15" s="142" t="str">
        <f>LOOKUP(M15,'[2]Doc Set'!E:E,'[2]Doc Set'!F:F)</f>
        <v>_</v>
      </c>
      <c r="O15" s="141" t="s">
        <v>199</v>
      </c>
      <c r="P15" s="142">
        <f>+LOOKUP(O15,'[2]Doc Set'!E:E,'[2]Doc Set'!G:G)</f>
        <v>43437</v>
      </c>
      <c r="Q15" s="55" t="str">
        <f t="shared" si="1"/>
        <v>CC-INT_D</v>
      </c>
      <c r="R15" s="142">
        <f>+LOOKUP(Q15,'[2]Doc Set'!E:E,'[2]Doc Set'!H:H)</f>
        <v>43514</v>
      </c>
      <c r="S15" s="143" t="s">
        <v>200</v>
      </c>
    </row>
    <row r="16" spans="1:19" x14ac:dyDescent="0.3">
      <c r="A16" s="55" t="s">
        <v>40</v>
      </c>
      <c r="B16" s="55" t="s">
        <v>190</v>
      </c>
      <c r="C16" s="55" t="s">
        <v>191</v>
      </c>
      <c r="D16" s="138" t="s">
        <v>192</v>
      </c>
      <c r="E16" s="55" t="s">
        <v>193</v>
      </c>
      <c r="F16" s="55" t="s">
        <v>194</v>
      </c>
      <c r="G16" s="55" t="s">
        <v>240</v>
      </c>
      <c r="H16" s="55" t="s">
        <v>241</v>
      </c>
      <c r="I16" s="139" t="s">
        <v>51</v>
      </c>
      <c r="J16" s="140" t="s">
        <v>242</v>
      </c>
      <c r="K16" s="55">
        <v>20038918</v>
      </c>
      <c r="L16" s="55" t="s">
        <v>198</v>
      </c>
      <c r="M16" s="141" t="str">
        <f t="shared" si="0"/>
        <v>CC-INT_D</v>
      </c>
      <c r="N16" s="142" t="str">
        <f>LOOKUP(M16,'[2]Doc Set'!E:E,'[2]Doc Set'!F:F)</f>
        <v>_</v>
      </c>
      <c r="O16" s="141" t="s">
        <v>199</v>
      </c>
      <c r="P16" s="142">
        <f>+LOOKUP(O16,'[2]Doc Set'!E:E,'[2]Doc Set'!G:G)</f>
        <v>43437</v>
      </c>
      <c r="Q16" s="55" t="str">
        <f t="shared" si="1"/>
        <v>CC-INT_D</v>
      </c>
      <c r="R16" s="142">
        <f>+LOOKUP(Q16,'[2]Doc Set'!E:E,'[2]Doc Set'!H:H)</f>
        <v>43514</v>
      </c>
      <c r="S16" s="143" t="s">
        <v>200</v>
      </c>
    </row>
    <row r="17" spans="1:19" x14ac:dyDescent="0.3">
      <c r="A17" s="55" t="s">
        <v>40</v>
      </c>
      <c r="B17" s="55" t="s">
        <v>190</v>
      </c>
      <c r="C17" s="55" t="s">
        <v>191</v>
      </c>
      <c r="D17" s="138" t="s">
        <v>192</v>
      </c>
      <c r="E17" s="55" t="s">
        <v>193</v>
      </c>
      <c r="F17" s="55" t="s">
        <v>194</v>
      </c>
      <c r="G17" s="55" t="s">
        <v>243</v>
      </c>
      <c r="H17" s="55" t="s">
        <v>244</v>
      </c>
      <c r="I17" s="139" t="s">
        <v>51</v>
      </c>
      <c r="J17" s="140" t="s">
        <v>245</v>
      </c>
      <c r="K17" s="55">
        <v>20038918</v>
      </c>
      <c r="L17" s="55" t="s">
        <v>198</v>
      </c>
      <c r="M17" s="141" t="str">
        <f t="shared" si="0"/>
        <v>CC-INT_D</v>
      </c>
      <c r="N17" s="142" t="str">
        <f>LOOKUP(M17,'[2]Doc Set'!E:E,'[2]Doc Set'!F:F)</f>
        <v>_</v>
      </c>
      <c r="O17" s="141" t="s">
        <v>199</v>
      </c>
      <c r="P17" s="142">
        <f>+LOOKUP(O17,'[2]Doc Set'!E:E,'[2]Doc Set'!G:G)</f>
        <v>43437</v>
      </c>
      <c r="Q17" s="55" t="str">
        <f t="shared" si="1"/>
        <v>CC-INT_D</v>
      </c>
      <c r="R17" s="142">
        <f>+LOOKUP(Q17,'[2]Doc Set'!E:E,'[2]Doc Set'!H:H)</f>
        <v>43514</v>
      </c>
      <c r="S17" s="143" t="s">
        <v>200</v>
      </c>
    </row>
    <row r="18" spans="1:19" x14ac:dyDescent="0.3">
      <c r="A18" s="55" t="s">
        <v>40</v>
      </c>
      <c r="B18" s="55" t="s">
        <v>190</v>
      </c>
      <c r="C18" s="55" t="s">
        <v>191</v>
      </c>
      <c r="D18" s="138" t="s">
        <v>192</v>
      </c>
      <c r="E18" s="55" t="s">
        <v>193</v>
      </c>
      <c r="F18" s="55" t="s">
        <v>194</v>
      </c>
      <c r="G18" s="55" t="s">
        <v>246</v>
      </c>
      <c r="H18" s="55" t="s">
        <v>247</v>
      </c>
      <c r="I18" s="139" t="s">
        <v>51</v>
      </c>
      <c r="J18" s="140" t="s">
        <v>248</v>
      </c>
      <c r="K18" s="55">
        <v>20038918</v>
      </c>
      <c r="L18" s="55" t="s">
        <v>198</v>
      </c>
      <c r="M18" s="141" t="str">
        <f t="shared" si="0"/>
        <v>CC-INT_D</v>
      </c>
      <c r="N18" s="142" t="str">
        <f>LOOKUP(M18,'[2]Doc Set'!E:E,'[2]Doc Set'!F:F)</f>
        <v>_</v>
      </c>
      <c r="O18" s="141" t="s">
        <v>199</v>
      </c>
      <c r="P18" s="142">
        <f>+LOOKUP(O18,'[2]Doc Set'!E:E,'[2]Doc Set'!G:G)</f>
        <v>43437</v>
      </c>
      <c r="Q18" s="55" t="str">
        <f t="shared" si="1"/>
        <v>CC-INT_D</v>
      </c>
      <c r="R18" s="142">
        <f>+LOOKUP(Q18,'[2]Doc Set'!E:E,'[2]Doc Set'!H:H)</f>
        <v>43514</v>
      </c>
      <c r="S18" s="143" t="s">
        <v>200</v>
      </c>
    </row>
    <row r="19" spans="1:19" x14ac:dyDescent="0.3">
      <c r="A19" s="55" t="s">
        <v>40</v>
      </c>
      <c r="B19" s="55" t="s">
        <v>190</v>
      </c>
      <c r="C19" s="55" t="s">
        <v>191</v>
      </c>
      <c r="D19" s="138" t="s">
        <v>192</v>
      </c>
      <c r="E19" s="55" t="s">
        <v>193</v>
      </c>
      <c r="F19" s="55" t="s">
        <v>194</v>
      </c>
      <c r="G19" s="55" t="s">
        <v>249</v>
      </c>
      <c r="H19" s="55" t="s">
        <v>250</v>
      </c>
      <c r="I19" s="139" t="s">
        <v>51</v>
      </c>
      <c r="J19" s="140" t="s">
        <v>251</v>
      </c>
      <c r="K19" s="55">
        <v>20038918</v>
      </c>
      <c r="L19" s="55" t="s">
        <v>198</v>
      </c>
      <c r="M19" s="141" t="str">
        <f t="shared" si="0"/>
        <v>CC-INT_D</v>
      </c>
      <c r="N19" s="142" t="str">
        <f>LOOKUP(M19,'[2]Doc Set'!E:E,'[2]Doc Set'!F:F)</f>
        <v>_</v>
      </c>
      <c r="O19" s="141" t="s">
        <v>199</v>
      </c>
      <c r="P19" s="142">
        <f>+LOOKUP(O19,'[2]Doc Set'!E:E,'[2]Doc Set'!G:G)</f>
        <v>43437</v>
      </c>
      <c r="Q19" s="55" t="str">
        <f t="shared" si="1"/>
        <v>CC-INT_D</v>
      </c>
      <c r="R19" s="142">
        <f>+LOOKUP(Q19,'[2]Doc Set'!E:E,'[2]Doc Set'!H:H)</f>
        <v>43514</v>
      </c>
      <c r="S19" s="143" t="s">
        <v>200</v>
      </c>
    </row>
    <row r="20" spans="1:19" x14ac:dyDescent="0.3">
      <c r="A20" s="55" t="s">
        <v>40</v>
      </c>
      <c r="B20" s="55" t="s">
        <v>190</v>
      </c>
      <c r="C20" s="55" t="s">
        <v>191</v>
      </c>
      <c r="D20" s="138" t="s">
        <v>192</v>
      </c>
      <c r="E20" s="55" t="s">
        <v>193</v>
      </c>
      <c r="F20" s="55" t="s">
        <v>194</v>
      </c>
      <c r="G20" s="55" t="s">
        <v>252</v>
      </c>
      <c r="H20" s="55" t="s">
        <v>253</v>
      </c>
      <c r="I20" s="139" t="s">
        <v>51</v>
      </c>
      <c r="J20" s="140" t="s">
        <v>254</v>
      </c>
      <c r="K20" s="55">
        <v>20038918</v>
      </c>
      <c r="L20" s="55" t="s">
        <v>198</v>
      </c>
      <c r="M20" s="141" t="str">
        <f t="shared" si="0"/>
        <v>CC-INT_D</v>
      </c>
      <c r="N20" s="142" t="str">
        <f>LOOKUP(M20,'[2]Doc Set'!E:E,'[2]Doc Set'!F:F)</f>
        <v>_</v>
      </c>
      <c r="O20" s="141" t="s">
        <v>199</v>
      </c>
      <c r="P20" s="142">
        <f>+LOOKUP(O20,'[2]Doc Set'!E:E,'[2]Doc Set'!G:G)</f>
        <v>43437</v>
      </c>
      <c r="Q20" s="55" t="str">
        <f t="shared" si="1"/>
        <v>CC-INT_D</v>
      </c>
      <c r="R20" s="142">
        <f>+LOOKUP(Q20,'[2]Doc Set'!E:E,'[2]Doc Set'!H:H)</f>
        <v>43514</v>
      </c>
      <c r="S20" s="143" t="s">
        <v>200</v>
      </c>
    </row>
    <row r="21" spans="1:19" x14ac:dyDescent="0.3">
      <c r="A21" s="55" t="s">
        <v>40</v>
      </c>
      <c r="B21" s="55" t="s">
        <v>190</v>
      </c>
      <c r="C21" s="55" t="s">
        <v>191</v>
      </c>
      <c r="D21" s="138" t="s">
        <v>192</v>
      </c>
      <c r="E21" s="55" t="s">
        <v>193</v>
      </c>
      <c r="F21" s="55" t="s">
        <v>194</v>
      </c>
      <c r="G21" s="55" t="s">
        <v>255</v>
      </c>
      <c r="H21" s="55" t="s">
        <v>256</v>
      </c>
      <c r="I21" s="139" t="s">
        <v>51</v>
      </c>
      <c r="J21" s="140" t="s">
        <v>257</v>
      </c>
      <c r="K21" s="55">
        <v>20038918</v>
      </c>
      <c r="L21" s="55" t="s">
        <v>198</v>
      </c>
      <c r="M21" s="141" t="str">
        <f t="shared" si="0"/>
        <v>CC-INT_D</v>
      </c>
      <c r="N21" s="142" t="str">
        <f>LOOKUP(M21,'[2]Doc Set'!E:E,'[2]Doc Set'!F:F)</f>
        <v>_</v>
      </c>
      <c r="O21" s="141" t="s">
        <v>199</v>
      </c>
      <c r="P21" s="142">
        <f>+LOOKUP(O21,'[2]Doc Set'!E:E,'[2]Doc Set'!G:G)</f>
        <v>43437</v>
      </c>
      <c r="Q21" s="55" t="str">
        <f t="shared" si="1"/>
        <v>CC-INT_D</v>
      </c>
      <c r="R21" s="142">
        <f>+LOOKUP(Q21,'[2]Doc Set'!E:E,'[2]Doc Set'!H:H)</f>
        <v>43514</v>
      </c>
      <c r="S21" s="143" t="s">
        <v>200</v>
      </c>
    </row>
    <row r="22" spans="1:19" x14ac:dyDescent="0.3">
      <c r="A22" s="55" t="s">
        <v>40</v>
      </c>
      <c r="B22" s="55" t="s">
        <v>190</v>
      </c>
      <c r="C22" s="55" t="s">
        <v>191</v>
      </c>
      <c r="D22" s="138" t="s">
        <v>192</v>
      </c>
      <c r="E22" s="55" t="s">
        <v>193</v>
      </c>
      <c r="F22" s="55" t="s">
        <v>194</v>
      </c>
      <c r="G22" s="55" t="s">
        <v>258</v>
      </c>
      <c r="H22" s="55" t="s">
        <v>259</v>
      </c>
      <c r="I22" s="139" t="s">
        <v>51</v>
      </c>
      <c r="J22" s="140" t="s">
        <v>260</v>
      </c>
      <c r="K22" s="55">
        <v>20038918</v>
      </c>
      <c r="L22" s="55" t="s">
        <v>198</v>
      </c>
      <c r="M22" s="141" t="str">
        <f t="shared" si="0"/>
        <v>CC-INT_D</v>
      </c>
      <c r="N22" s="142" t="str">
        <f>LOOKUP(M22,'[2]Doc Set'!E:E,'[2]Doc Set'!F:F)</f>
        <v>_</v>
      </c>
      <c r="O22" s="141" t="s">
        <v>199</v>
      </c>
      <c r="P22" s="142">
        <f>+LOOKUP(O22,'[2]Doc Set'!E:E,'[2]Doc Set'!G:G)</f>
        <v>43437</v>
      </c>
      <c r="Q22" s="55" t="str">
        <f t="shared" si="1"/>
        <v>CC-INT_D</v>
      </c>
      <c r="R22" s="142">
        <f>+LOOKUP(Q22,'[2]Doc Set'!E:E,'[2]Doc Set'!H:H)</f>
        <v>43514</v>
      </c>
      <c r="S22" s="143" t="s">
        <v>200</v>
      </c>
    </row>
    <row r="23" spans="1:19" x14ac:dyDescent="0.3">
      <c r="A23" s="55" t="s">
        <v>40</v>
      </c>
      <c r="B23" s="55" t="s">
        <v>190</v>
      </c>
      <c r="C23" s="55" t="s">
        <v>191</v>
      </c>
      <c r="D23" s="138" t="s">
        <v>192</v>
      </c>
      <c r="E23" s="55" t="s">
        <v>193</v>
      </c>
      <c r="F23" s="55" t="s">
        <v>194</v>
      </c>
      <c r="G23" s="55" t="s">
        <v>261</v>
      </c>
      <c r="H23" s="55" t="s">
        <v>262</v>
      </c>
      <c r="I23" s="139" t="s">
        <v>51</v>
      </c>
      <c r="J23" s="140" t="s">
        <v>263</v>
      </c>
      <c r="K23" s="55">
        <v>20038918</v>
      </c>
      <c r="L23" s="55" t="s">
        <v>198</v>
      </c>
      <c r="M23" s="141" t="str">
        <f t="shared" si="0"/>
        <v>CC-INT_D</v>
      </c>
      <c r="N23" s="142" t="str">
        <f>LOOKUP(M23,'[2]Doc Set'!E:E,'[2]Doc Set'!F:F)</f>
        <v>_</v>
      </c>
      <c r="O23" s="141" t="s">
        <v>199</v>
      </c>
      <c r="P23" s="142">
        <f>+LOOKUP(O23,'[2]Doc Set'!E:E,'[2]Doc Set'!G:G)</f>
        <v>43437</v>
      </c>
      <c r="Q23" s="55" t="str">
        <f t="shared" si="1"/>
        <v>CC-INT_D</v>
      </c>
      <c r="R23" s="142">
        <f>+LOOKUP(Q23,'[2]Doc Set'!E:E,'[2]Doc Set'!H:H)</f>
        <v>43514</v>
      </c>
      <c r="S23" s="143" t="s">
        <v>200</v>
      </c>
    </row>
    <row r="24" spans="1:19" x14ac:dyDescent="0.3">
      <c r="A24" s="55" t="s">
        <v>40</v>
      </c>
      <c r="B24" s="55" t="s">
        <v>190</v>
      </c>
      <c r="C24" s="55" t="s">
        <v>191</v>
      </c>
      <c r="D24" s="138" t="s">
        <v>192</v>
      </c>
      <c r="E24" s="55" t="s">
        <v>193</v>
      </c>
      <c r="F24" s="55" t="s">
        <v>194</v>
      </c>
      <c r="G24" s="55" t="s">
        <v>264</v>
      </c>
      <c r="H24" s="55" t="s">
        <v>265</v>
      </c>
      <c r="I24" s="139" t="s">
        <v>51</v>
      </c>
      <c r="J24" s="140" t="s">
        <v>266</v>
      </c>
      <c r="K24" s="55">
        <v>20038918</v>
      </c>
      <c r="L24" s="55" t="s">
        <v>198</v>
      </c>
      <c r="M24" s="141" t="str">
        <f t="shared" si="0"/>
        <v>CC-INT_D</v>
      </c>
      <c r="N24" s="142" t="str">
        <f>LOOKUP(M24,'[2]Doc Set'!E:E,'[2]Doc Set'!F:F)</f>
        <v>_</v>
      </c>
      <c r="O24" s="141" t="s">
        <v>199</v>
      </c>
      <c r="P24" s="142">
        <f>+LOOKUP(O24,'[2]Doc Set'!E:E,'[2]Doc Set'!G:G)</f>
        <v>43437</v>
      </c>
      <c r="Q24" s="55" t="str">
        <f t="shared" si="1"/>
        <v>CC-INT_D</v>
      </c>
      <c r="R24" s="142">
        <f>+LOOKUP(Q24,'[2]Doc Set'!E:E,'[2]Doc Set'!H:H)</f>
        <v>43514</v>
      </c>
      <c r="S24" s="143" t="s">
        <v>200</v>
      </c>
    </row>
    <row r="25" spans="1:19" x14ac:dyDescent="0.3">
      <c r="A25" s="55" t="s">
        <v>40</v>
      </c>
      <c r="B25" s="55" t="s">
        <v>190</v>
      </c>
      <c r="C25" s="55" t="s">
        <v>191</v>
      </c>
      <c r="D25" s="138" t="s">
        <v>192</v>
      </c>
      <c r="E25" s="55" t="s">
        <v>193</v>
      </c>
      <c r="F25" s="55" t="s">
        <v>194</v>
      </c>
      <c r="G25" s="55" t="s">
        <v>267</v>
      </c>
      <c r="H25" s="55" t="s">
        <v>268</v>
      </c>
      <c r="I25" s="139" t="s">
        <v>51</v>
      </c>
      <c r="J25" s="140" t="s">
        <v>269</v>
      </c>
      <c r="K25" s="55">
        <v>20038918</v>
      </c>
      <c r="L25" s="55" t="s">
        <v>198</v>
      </c>
      <c r="M25" s="141" t="str">
        <f t="shared" si="0"/>
        <v>CC-INT_D</v>
      </c>
      <c r="N25" s="142" t="str">
        <f>LOOKUP(M25,'[2]Doc Set'!E:E,'[2]Doc Set'!F:F)</f>
        <v>_</v>
      </c>
      <c r="O25" s="141" t="s">
        <v>199</v>
      </c>
      <c r="P25" s="142">
        <f>+LOOKUP(O25,'[2]Doc Set'!E:E,'[2]Doc Set'!G:G)</f>
        <v>43437</v>
      </c>
      <c r="Q25" s="55" t="str">
        <f t="shared" si="1"/>
        <v>CC-INT_D</v>
      </c>
      <c r="R25" s="142">
        <f>+LOOKUP(Q25,'[2]Doc Set'!E:E,'[2]Doc Set'!H:H)</f>
        <v>43514</v>
      </c>
      <c r="S25" s="143" t="s">
        <v>200</v>
      </c>
    </row>
    <row r="26" spans="1:19" x14ac:dyDescent="0.3">
      <c r="A26" s="55" t="s">
        <v>40</v>
      </c>
      <c r="B26" s="55" t="s">
        <v>190</v>
      </c>
      <c r="C26" s="55" t="s">
        <v>191</v>
      </c>
      <c r="D26" s="138" t="s">
        <v>192</v>
      </c>
      <c r="E26" s="55" t="s">
        <v>193</v>
      </c>
      <c r="F26" s="55" t="s">
        <v>194</v>
      </c>
      <c r="G26" s="55" t="s">
        <v>270</v>
      </c>
      <c r="H26" s="55" t="s">
        <v>271</v>
      </c>
      <c r="I26" s="139" t="s">
        <v>51</v>
      </c>
      <c r="J26" s="140" t="s">
        <v>272</v>
      </c>
      <c r="K26" s="55">
        <v>20038918</v>
      </c>
      <c r="L26" s="55" t="s">
        <v>198</v>
      </c>
      <c r="M26" s="141" t="str">
        <f t="shared" si="0"/>
        <v>CC-INT_D</v>
      </c>
      <c r="N26" s="142" t="str">
        <f>LOOKUP(M26,'[2]Doc Set'!E:E,'[2]Doc Set'!F:F)</f>
        <v>_</v>
      </c>
      <c r="O26" s="141" t="s">
        <v>199</v>
      </c>
      <c r="P26" s="142">
        <f>+LOOKUP(O26,'[2]Doc Set'!E:E,'[2]Doc Set'!G:G)</f>
        <v>43437</v>
      </c>
      <c r="Q26" s="55" t="str">
        <f t="shared" si="1"/>
        <v>CC-INT_D</v>
      </c>
      <c r="R26" s="142">
        <f>+LOOKUP(Q26,'[2]Doc Set'!E:E,'[2]Doc Set'!H:H)</f>
        <v>43514</v>
      </c>
      <c r="S26" s="143" t="s">
        <v>200</v>
      </c>
    </row>
    <row r="27" spans="1:19" x14ac:dyDescent="0.3">
      <c r="A27" s="55" t="s">
        <v>40</v>
      </c>
      <c r="B27" s="55" t="s">
        <v>190</v>
      </c>
      <c r="C27" s="55" t="s">
        <v>191</v>
      </c>
      <c r="D27" s="138" t="s">
        <v>192</v>
      </c>
      <c r="E27" s="55" t="s">
        <v>193</v>
      </c>
      <c r="F27" s="55" t="s">
        <v>194</v>
      </c>
      <c r="G27" s="55" t="s">
        <v>273</v>
      </c>
      <c r="H27" s="55" t="s">
        <v>274</v>
      </c>
      <c r="I27" s="139" t="s">
        <v>51</v>
      </c>
      <c r="J27" s="140" t="s">
        <v>275</v>
      </c>
      <c r="K27" s="55">
        <v>20038918</v>
      </c>
      <c r="L27" s="55" t="s">
        <v>198</v>
      </c>
      <c r="M27" s="141" t="str">
        <f t="shared" si="0"/>
        <v>CC-INT_D</v>
      </c>
      <c r="N27" s="142" t="str">
        <f>LOOKUP(M27,'[2]Doc Set'!E:E,'[2]Doc Set'!F:F)</f>
        <v>_</v>
      </c>
      <c r="O27" s="141" t="s">
        <v>199</v>
      </c>
      <c r="P27" s="142">
        <f>+LOOKUP(O27,'[2]Doc Set'!E:E,'[2]Doc Set'!G:G)</f>
        <v>43437</v>
      </c>
      <c r="Q27" s="55" t="str">
        <f t="shared" si="1"/>
        <v>CC-INT_D</v>
      </c>
      <c r="R27" s="142">
        <f>+LOOKUP(Q27,'[2]Doc Set'!E:E,'[2]Doc Set'!H:H)</f>
        <v>43514</v>
      </c>
      <c r="S27" s="143" t="s">
        <v>200</v>
      </c>
    </row>
    <row r="28" spans="1:19" x14ac:dyDescent="0.3">
      <c r="A28" s="55" t="s">
        <v>40</v>
      </c>
      <c r="B28" s="55" t="s">
        <v>190</v>
      </c>
      <c r="C28" s="55" t="s">
        <v>191</v>
      </c>
      <c r="D28" s="138" t="s">
        <v>192</v>
      </c>
      <c r="E28" s="55" t="s">
        <v>193</v>
      </c>
      <c r="F28" s="55" t="s">
        <v>194</v>
      </c>
      <c r="G28" s="55" t="s">
        <v>276</v>
      </c>
      <c r="H28" s="55" t="s">
        <v>277</v>
      </c>
      <c r="I28" s="139" t="s">
        <v>51</v>
      </c>
      <c r="J28" s="140" t="s">
        <v>278</v>
      </c>
      <c r="K28" s="55">
        <v>20038918</v>
      </c>
      <c r="L28" s="55" t="s">
        <v>198</v>
      </c>
      <c r="M28" s="141" t="str">
        <f t="shared" si="0"/>
        <v>CC-INT_D</v>
      </c>
      <c r="N28" s="142" t="str">
        <f>LOOKUP(M28,'[2]Doc Set'!E:E,'[2]Doc Set'!F:F)</f>
        <v>_</v>
      </c>
      <c r="O28" s="141" t="s">
        <v>199</v>
      </c>
      <c r="P28" s="142">
        <f>+LOOKUP(O28,'[2]Doc Set'!E:E,'[2]Doc Set'!G:G)</f>
        <v>43437</v>
      </c>
      <c r="Q28" s="55" t="str">
        <f t="shared" si="1"/>
        <v>CC-INT_D</v>
      </c>
      <c r="R28" s="142">
        <f>+LOOKUP(Q28,'[2]Doc Set'!E:E,'[2]Doc Set'!H:H)</f>
        <v>43514</v>
      </c>
      <c r="S28" s="143" t="s">
        <v>200</v>
      </c>
    </row>
    <row r="29" spans="1:19" x14ac:dyDescent="0.3">
      <c r="A29" s="55" t="s">
        <v>40</v>
      </c>
      <c r="B29" s="55" t="s">
        <v>190</v>
      </c>
      <c r="C29" s="55" t="s">
        <v>191</v>
      </c>
      <c r="D29" s="138" t="s">
        <v>192</v>
      </c>
      <c r="E29" s="55" t="s">
        <v>193</v>
      </c>
      <c r="F29" s="55" t="s">
        <v>194</v>
      </c>
      <c r="G29" s="55" t="s">
        <v>279</v>
      </c>
      <c r="H29" s="55" t="s">
        <v>280</v>
      </c>
      <c r="I29" s="139" t="s">
        <v>51</v>
      </c>
      <c r="J29" s="140" t="s">
        <v>281</v>
      </c>
      <c r="K29" s="55">
        <v>20038918</v>
      </c>
      <c r="L29" s="55" t="s">
        <v>198</v>
      </c>
      <c r="M29" s="141" t="str">
        <f t="shared" si="0"/>
        <v>CC-INT_D</v>
      </c>
      <c r="N29" s="142" t="str">
        <f>LOOKUP(M29,'[2]Doc Set'!E:E,'[2]Doc Set'!F:F)</f>
        <v>_</v>
      </c>
      <c r="O29" s="141" t="s">
        <v>199</v>
      </c>
      <c r="P29" s="142">
        <f>+LOOKUP(O29,'[2]Doc Set'!E:E,'[2]Doc Set'!G:G)</f>
        <v>43437</v>
      </c>
      <c r="Q29" s="55" t="str">
        <f t="shared" si="1"/>
        <v>CC-INT_D</v>
      </c>
      <c r="R29" s="142">
        <f>+LOOKUP(Q29,'[2]Doc Set'!E:E,'[2]Doc Set'!H:H)</f>
        <v>43514</v>
      </c>
      <c r="S29" s="143" t="s">
        <v>200</v>
      </c>
    </row>
    <row r="30" spans="1:19" x14ac:dyDescent="0.3">
      <c r="A30" s="55" t="s">
        <v>40</v>
      </c>
      <c r="B30" s="55" t="s">
        <v>190</v>
      </c>
      <c r="C30" s="55" t="s">
        <v>191</v>
      </c>
      <c r="D30" s="138" t="s">
        <v>192</v>
      </c>
      <c r="E30" s="55" t="s">
        <v>193</v>
      </c>
      <c r="F30" s="55" t="s">
        <v>194</v>
      </c>
      <c r="G30" s="55" t="s">
        <v>282</v>
      </c>
      <c r="H30" s="55" t="s">
        <v>283</v>
      </c>
      <c r="I30" s="139" t="s">
        <v>51</v>
      </c>
      <c r="J30" s="140" t="s">
        <v>284</v>
      </c>
      <c r="K30" s="55">
        <v>20038918</v>
      </c>
      <c r="L30" s="55" t="s">
        <v>198</v>
      </c>
      <c r="M30" s="141" t="str">
        <f t="shared" si="0"/>
        <v>CC-INT_D</v>
      </c>
      <c r="N30" s="142" t="str">
        <f>LOOKUP(M30,'[2]Doc Set'!E:E,'[2]Doc Set'!F:F)</f>
        <v>_</v>
      </c>
      <c r="O30" s="141" t="s">
        <v>199</v>
      </c>
      <c r="P30" s="142">
        <f>+LOOKUP(O30,'[2]Doc Set'!E:E,'[2]Doc Set'!G:G)</f>
        <v>43437</v>
      </c>
      <c r="Q30" s="55" t="str">
        <f t="shared" si="1"/>
        <v>CC-INT_D</v>
      </c>
      <c r="R30" s="142">
        <f>+LOOKUP(Q30,'[2]Doc Set'!E:E,'[2]Doc Set'!H:H)</f>
        <v>43514</v>
      </c>
      <c r="S30" s="143" t="s">
        <v>200</v>
      </c>
    </row>
    <row r="31" spans="1:19" x14ac:dyDescent="0.3">
      <c r="A31" s="55" t="s">
        <v>40</v>
      </c>
      <c r="B31" s="55" t="s">
        <v>190</v>
      </c>
      <c r="C31" s="55" t="s">
        <v>191</v>
      </c>
      <c r="D31" s="138" t="s">
        <v>192</v>
      </c>
      <c r="E31" s="55" t="s">
        <v>193</v>
      </c>
      <c r="F31" s="55" t="s">
        <v>194</v>
      </c>
      <c r="G31" s="55" t="s">
        <v>285</v>
      </c>
      <c r="H31" s="55" t="s">
        <v>286</v>
      </c>
      <c r="I31" s="139" t="s">
        <v>51</v>
      </c>
      <c r="J31" s="140" t="s">
        <v>287</v>
      </c>
      <c r="K31" s="55">
        <v>20038918</v>
      </c>
      <c r="L31" s="55" t="s">
        <v>198</v>
      </c>
      <c r="M31" s="141" t="str">
        <f t="shared" si="0"/>
        <v>CC-INT_D</v>
      </c>
      <c r="N31" s="142" t="str">
        <f>LOOKUP(M31,'[2]Doc Set'!E:E,'[2]Doc Set'!F:F)</f>
        <v>_</v>
      </c>
      <c r="O31" s="141" t="s">
        <v>199</v>
      </c>
      <c r="P31" s="142">
        <f>+LOOKUP(O31,'[2]Doc Set'!E:E,'[2]Doc Set'!G:G)</f>
        <v>43437</v>
      </c>
      <c r="Q31" s="55" t="str">
        <f t="shared" si="1"/>
        <v>CC-INT_D</v>
      </c>
      <c r="R31" s="142">
        <f>+LOOKUP(Q31,'[2]Doc Set'!E:E,'[2]Doc Set'!H:H)</f>
        <v>43514</v>
      </c>
      <c r="S31" s="143" t="s">
        <v>200</v>
      </c>
    </row>
    <row r="32" spans="1:19" x14ac:dyDescent="0.3">
      <c r="A32" s="55" t="s">
        <v>40</v>
      </c>
      <c r="B32" s="55" t="s">
        <v>190</v>
      </c>
      <c r="C32" s="55" t="s">
        <v>191</v>
      </c>
      <c r="D32" s="138" t="s">
        <v>192</v>
      </c>
      <c r="E32" s="55" t="s">
        <v>193</v>
      </c>
      <c r="F32" s="55" t="s">
        <v>194</v>
      </c>
      <c r="G32" s="55" t="s">
        <v>288</v>
      </c>
      <c r="H32" s="55" t="s">
        <v>289</v>
      </c>
      <c r="I32" s="139" t="s">
        <v>51</v>
      </c>
      <c r="J32" s="140" t="s">
        <v>290</v>
      </c>
      <c r="K32" s="55">
        <v>20038918</v>
      </c>
      <c r="L32" s="55" t="s">
        <v>198</v>
      </c>
      <c r="M32" s="141" t="str">
        <f t="shared" si="0"/>
        <v>CC-INT_D</v>
      </c>
      <c r="N32" s="142" t="str">
        <f>LOOKUP(M32,'[2]Doc Set'!E:E,'[2]Doc Set'!F:F)</f>
        <v>_</v>
      </c>
      <c r="O32" s="141" t="s">
        <v>199</v>
      </c>
      <c r="P32" s="142">
        <f>+LOOKUP(O32,'[2]Doc Set'!E:E,'[2]Doc Set'!G:G)</f>
        <v>43437</v>
      </c>
      <c r="Q32" s="55" t="str">
        <f t="shared" si="1"/>
        <v>CC-INT_D</v>
      </c>
      <c r="R32" s="142">
        <f>+LOOKUP(Q32,'[2]Doc Set'!E:E,'[2]Doc Set'!H:H)</f>
        <v>43514</v>
      </c>
      <c r="S32" s="143" t="s">
        <v>200</v>
      </c>
    </row>
    <row r="33" spans="1:19" x14ac:dyDescent="0.3">
      <c r="A33" s="55" t="s">
        <v>40</v>
      </c>
      <c r="B33" s="55" t="s">
        <v>190</v>
      </c>
      <c r="C33" s="55" t="s">
        <v>191</v>
      </c>
      <c r="D33" s="138" t="s">
        <v>192</v>
      </c>
      <c r="E33" s="55" t="s">
        <v>193</v>
      </c>
      <c r="F33" s="55" t="s">
        <v>194</v>
      </c>
      <c r="G33" s="55" t="s">
        <v>291</v>
      </c>
      <c r="H33" s="55" t="s">
        <v>292</v>
      </c>
      <c r="I33" s="139" t="s">
        <v>51</v>
      </c>
      <c r="J33" s="140" t="s">
        <v>293</v>
      </c>
      <c r="K33" s="55">
        <v>20038918</v>
      </c>
      <c r="L33" s="55" t="s">
        <v>198</v>
      </c>
      <c r="M33" s="141" t="str">
        <f t="shared" si="0"/>
        <v>CC-INT_D</v>
      </c>
      <c r="N33" s="142" t="str">
        <f>LOOKUP(M33,'[2]Doc Set'!E:E,'[2]Doc Set'!F:F)</f>
        <v>_</v>
      </c>
      <c r="O33" s="141" t="s">
        <v>199</v>
      </c>
      <c r="P33" s="142">
        <f>+LOOKUP(O33,'[2]Doc Set'!E:E,'[2]Doc Set'!G:G)</f>
        <v>43437</v>
      </c>
      <c r="Q33" s="55" t="str">
        <f t="shared" si="1"/>
        <v>CC-INT_D</v>
      </c>
      <c r="R33" s="142">
        <f>+LOOKUP(Q33,'[2]Doc Set'!E:E,'[2]Doc Set'!H:H)</f>
        <v>43514</v>
      </c>
      <c r="S33" s="143" t="s">
        <v>200</v>
      </c>
    </row>
    <row r="34" spans="1:19" x14ac:dyDescent="0.3">
      <c r="A34" s="55" t="s">
        <v>40</v>
      </c>
      <c r="B34" s="55" t="s">
        <v>190</v>
      </c>
      <c r="C34" s="55" t="s">
        <v>191</v>
      </c>
      <c r="D34" s="138" t="s">
        <v>192</v>
      </c>
      <c r="E34" s="55" t="s">
        <v>193</v>
      </c>
      <c r="F34" s="55" t="s">
        <v>194</v>
      </c>
      <c r="G34" s="55" t="s">
        <v>294</v>
      </c>
      <c r="H34" s="55" t="s">
        <v>295</v>
      </c>
      <c r="I34" s="139" t="s">
        <v>51</v>
      </c>
      <c r="J34" s="140" t="s">
        <v>296</v>
      </c>
      <c r="K34" s="55">
        <v>20038918</v>
      </c>
      <c r="L34" s="55" t="s">
        <v>198</v>
      </c>
      <c r="M34" s="141" t="str">
        <f t="shared" si="0"/>
        <v>CC-INT_D</v>
      </c>
      <c r="N34" s="142" t="str">
        <f>LOOKUP(M34,'[2]Doc Set'!E:E,'[2]Doc Set'!F:F)</f>
        <v>_</v>
      </c>
      <c r="O34" s="141" t="s">
        <v>199</v>
      </c>
      <c r="P34" s="142">
        <f>+LOOKUP(O34,'[2]Doc Set'!E:E,'[2]Doc Set'!G:G)</f>
        <v>43437</v>
      </c>
      <c r="Q34" s="55" t="str">
        <f t="shared" si="1"/>
        <v>CC-INT_D</v>
      </c>
      <c r="R34" s="142">
        <f>+LOOKUP(Q34,'[2]Doc Set'!E:E,'[2]Doc Set'!H:H)</f>
        <v>43514</v>
      </c>
      <c r="S34" s="143" t="s">
        <v>200</v>
      </c>
    </row>
    <row r="35" spans="1:19" x14ac:dyDescent="0.3">
      <c r="A35" s="55" t="s">
        <v>40</v>
      </c>
      <c r="B35" s="55" t="s">
        <v>190</v>
      </c>
      <c r="C35" s="55" t="s">
        <v>191</v>
      </c>
      <c r="D35" s="138" t="s">
        <v>192</v>
      </c>
      <c r="E35" s="55" t="s">
        <v>193</v>
      </c>
      <c r="F35" s="55" t="s">
        <v>194</v>
      </c>
      <c r="G35" s="55" t="s">
        <v>297</v>
      </c>
      <c r="H35" s="55" t="s">
        <v>298</v>
      </c>
      <c r="I35" s="139" t="s">
        <v>51</v>
      </c>
      <c r="J35" s="140" t="s">
        <v>299</v>
      </c>
      <c r="K35" s="55">
        <v>20038918</v>
      </c>
      <c r="L35" s="55" t="s">
        <v>198</v>
      </c>
      <c r="M35" s="141" t="str">
        <f t="shared" si="0"/>
        <v>CC-INT_D</v>
      </c>
      <c r="N35" s="142" t="str">
        <f>LOOKUP(M35,'[2]Doc Set'!E:E,'[2]Doc Set'!F:F)</f>
        <v>_</v>
      </c>
      <c r="O35" s="141" t="s">
        <v>199</v>
      </c>
      <c r="P35" s="142">
        <f>+LOOKUP(O35,'[2]Doc Set'!E:E,'[2]Doc Set'!G:G)</f>
        <v>43437</v>
      </c>
      <c r="Q35" s="55" t="str">
        <f t="shared" si="1"/>
        <v>CC-INT_D</v>
      </c>
      <c r="R35" s="142">
        <f>+LOOKUP(Q35,'[2]Doc Set'!E:E,'[2]Doc Set'!H:H)</f>
        <v>43514</v>
      </c>
      <c r="S35" s="143" t="s">
        <v>200</v>
      </c>
    </row>
    <row r="36" spans="1:19" x14ac:dyDescent="0.3">
      <c r="A36" s="55" t="s">
        <v>40</v>
      </c>
      <c r="B36" s="55" t="s">
        <v>190</v>
      </c>
      <c r="C36" s="55" t="s">
        <v>191</v>
      </c>
      <c r="D36" s="138" t="s">
        <v>192</v>
      </c>
      <c r="E36" s="55" t="s">
        <v>193</v>
      </c>
      <c r="F36" s="55" t="s">
        <v>194</v>
      </c>
      <c r="G36" s="55" t="s">
        <v>300</v>
      </c>
      <c r="H36" s="55" t="s">
        <v>301</v>
      </c>
      <c r="I36" s="139" t="s">
        <v>51</v>
      </c>
      <c r="J36" s="140" t="s">
        <v>302</v>
      </c>
      <c r="K36" s="55">
        <v>20038918</v>
      </c>
      <c r="L36" s="55" t="s">
        <v>198</v>
      </c>
      <c r="M36" s="141" t="str">
        <f t="shared" si="0"/>
        <v>CC-INT_D</v>
      </c>
      <c r="N36" s="142" t="str">
        <f>LOOKUP(M36,'[2]Doc Set'!E:E,'[2]Doc Set'!F:F)</f>
        <v>_</v>
      </c>
      <c r="O36" s="141" t="s">
        <v>199</v>
      </c>
      <c r="P36" s="142">
        <f>+LOOKUP(O36,'[2]Doc Set'!E:E,'[2]Doc Set'!G:G)</f>
        <v>43437</v>
      </c>
      <c r="Q36" s="55" t="str">
        <f t="shared" si="1"/>
        <v>CC-INT_D</v>
      </c>
      <c r="R36" s="142">
        <f>+LOOKUP(Q36,'[2]Doc Set'!E:E,'[2]Doc Set'!H:H)</f>
        <v>43514</v>
      </c>
      <c r="S36" s="143" t="s">
        <v>200</v>
      </c>
    </row>
    <row r="37" spans="1:19" x14ac:dyDescent="0.3">
      <c r="A37" s="55" t="s">
        <v>40</v>
      </c>
      <c r="B37" s="55" t="s">
        <v>190</v>
      </c>
      <c r="C37" s="55" t="s">
        <v>191</v>
      </c>
      <c r="D37" s="138" t="s">
        <v>192</v>
      </c>
      <c r="E37" s="55" t="s">
        <v>193</v>
      </c>
      <c r="F37" s="55" t="s">
        <v>194</v>
      </c>
      <c r="G37" s="55" t="s">
        <v>303</v>
      </c>
      <c r="H37" s="55" t="s">
        <v>304</v>
      </c>
      <c r="I37" s="139" t="s">
        <v>51</v>
      </c>
      <c r="J37" s="140" t="s">
        <v>305</v>
      </c>
      <c r="K37" s="55">
        <v>20038918</v>
      </c>
      <c r="L37" s="55" t="s">
        <v>198</v>
      </c>
      <c r="M37" s="141" t="str">
        <f t="shared" si="0"/>
        <v>CC-INT_E</v>
      </c>
      <c r="N37" s="142" t="str">
        <f>LOOKUP(M37,'[2]Doc Set'!E:E,'[2]Doc Set'!F:F)</f>
        <v>_</v>
      </c>
      <c r="O37" s="141" t="s">
        <v>306</v>
      </c>
      <c r="P37" s="142">
        <f>+LOOKUP(O37,'[2]Doc Set'!E:E,'[2]Doc Set'!G:G)</f>
        <v>43489</v>
      </c>
      <c r="Q37" s="55" t="str">
        <f t="shared" si="1"/>
        <v>CC-INT_E</v>
      </c>
      <c r="R37" s="142">
        <f>+LOOKUP(Q37,'[2]Doc Set'!E:E,'[2]Doc Set'!H:H)</f>
        <v>43542</v>
      </c>
      <c r="S37" s="143" t="s">
        <v>200</v>
      </c>
    </row>
    <row r="38" spans="1:19" x14ac:dyDescent="0.3">
      <c r="A38" s="55" t="s">
        <v>40</v>
      </c>
      <c r="B38" s="55" t="s">
        <v>190</v>
      </c>
      <c r="C38" s="55" t="s">
        <v>191</v>
      </c>
      <c r="D38" s="138" t="s">
        <v>192</v>
      </c>
      <c r="E38" s="55" t="s">
        <v>193</v>
      </c>
      <c r="F38" s="55" t="s">
        <v>194</v>
      </c>
      <c r="G38" s="55" t="s">
        <v>307</v>
      </c>
      <c r="H38" s="55" t="s">
        <v>308</v>
      </c>
      <c r="I38" s="139" t="s">
        <v>51</v>
      </c>
      <c r="J38" s="140" t="s">
        <v>309</v>
      </c>
      <c r="K38" s="55">
        <v>20038918</v>
      </c>
      <c r="L38" s="55" t="s">
        <v>198</v>
      </c>
      <c r="M38" s="141" t="str">
        <f t="shared" si="0"/>
        <v>CC-INT_E</v>
      </c>
      <c r="N38" s="142" t="str">
        <f>LOOKUP(M38,'[2]Doc Set'!E:E,'[2]Doc Set'!F:F)</f>
        <v>_</v>
      </c>
      <c r="O38" s="141" t="s">
        <v>306</v>
      </c>
      <c r="P38" s="142">
        <f>+LOOKUP(O38,'[2]Doc Set'!E:E,'[2]Doc Set'!G:G)</f>
        <v>43489</v>
      </c>
      <c r="Q38" s="55" t="str">
        <f t="shared" si="1"/>
        <v>CC-INT_E</v>
      </c>
      <c r="R38" s="142">
        <f>+LOOKUP(Q38,'[2]Doc Set'!E:E,'[2]Doc Set'!H:H)</f>
        <v>43542</v>
      </c>
      <c r="S38" s="143" t="s">
        <v>200</v>
      </c>
    </row>
    <row r="39" spans="1:19" x14ac:dyDescent="0.3">
      <c r="A39" s="55" t="s">
        <v>40</v>
      </c>
      <c r="B39" s="55" t="s">
        <v>190</v>
      </c>
      <c r="C39" s="55" t="s">
        <v>191</v>
      </c>
      <c r="D39" s="138" t="s">
        <v>192</v>
      </c>
      <c r="E39" s="55" t="s">
        <v>193</v>
      </c>
      <c r="F39" s="55" t="s">
        <v>194</v>
      </c>
      <c r="G39" s="55" t="s">
        <v>310</v>
      </c>
      <c r="H39" s="55" t="s">
        <v>311</v>
      </c>
      <c r="I39" s="139" t="s">
        <v>51</v>
      </c>
      <c r="J39" s="140" t="s">
        <v>312</v>
      </c>
      <c r="K39" s="55">
        <v>20038918</v>
      </c>
      <c r="L39" s="55" t="s">
        <v>198</v>
      </c>
      <c r="M39" s="141" t="str">
        <f t="shared" si="0"/>
        <v>CC-INT_E</v>
      </c>
      <c r="N39" s="142" t="str">
        <f>LOOKUP(M39,'[2]Doc Set'!E:E,'[2]Doc Set'!F:F)</f>
        <v>_</v>
      </c>
      <c r="O39" s="141" t="s">
        <v>306</v>
      </c>
      <c r="P39" s="142">
        <f>+LOOKUP(O39,'[2]Doc Set'!E:E,'[2]Doc Set'!G:G)</f>
        <v>43489</v>
      </c>
      <c r="Q39" s="55" t="str">
        <f t="shared" si="1"/>
        <v>CC-INT_E</v>
      </c>
      <c r="R39" s="142">
        <f>+LOOKUP(Q39,'[2]Doc Set'!E:E,'[2]Doc Set'!H:H)</f>
        <v>43542</v>
      </c>
      <c r="S39" s="143" t="s">
        <v>200</v>
      </c>
    </row>
    <row r="40" spans="1:19" x14ac:dyDescent="0.3">
      <c r="A40" s="55" t="s">
        <v>40</v>
      </c>
      <c r="B40" s="55" t="s">
        <v>190</v>
      </c>
      <c r="C40" s="55" t="s">
        <v>191</v>
      </c>
      <c r="D40" s="138" t="s">
        <v>192</v>
      </c>
      <c r="E40" s="55" t="s">
        <v>193</v>
      </c>
      <c r="F40" s="55" t="s">
        <v>194</v>
      </c>
      <c r="G40" s="55" t="s">
        <v>313</v>
      </c>
      <c r="H40" s="55" t="s">
        <v>314</v>
      </c>
      <c r="I40" s="139" t="s">
        <v>51</v>
      </c>
      <c r="J40" s="140" t="s">
        <v>315</v>
      </c>
      <c r="K40" s="55">
        <v>20038918</v>
      </c>
      <c r="L40" s="55" t="s">
        <v>198</v>
      </c>
      <c r="M40" s="141" t="str">
        <f t="shared" si="0"/>
        <v>CC-INT_E</v>
      </c>
      <c r="N40" s="142" t="str">
        <f>LOOKUP(M40,'[2]Doc Set'!E:E,'[2]Doc Set'!F:F)</f>
        <v>_</v>
      </c>
      <c r="O40" s="141" t="s">
        <v>306</v>
      </c>
      <c r="P40" s="142">
        <f>+LOOKUP(O40,'[2]Doc Set'!E:E,'[2]Doc Set'!G:G)</f>
        <v>43489</v>
      </c>
      <c r="Q40" s="55" t="str">
        <f t="shared" si="1"/>
        <v>CC-INT_E</v>
      </c>
      <c r="R40" s="142">
        <f>+LOOKUP(Q40,'[2]Doc Set'!E:E,'[2]Doc Set'!H:H)</f>
        <v>43542</v>
      </c>
      <c r="S40" s="143" t="s">
        <v>200</v>
      </c>
    </row>
    <row r="41" spans="1:19" x14ac:dyDescent="0.3">
      <c r="A41" s="55" t="s">
        <v>40</v>
      </c>
      <c r="B41" s="55" t="s">
        <v>190</v>
      </c>
      <c r="C41" s="55" t="s">
        <v>191</v>
      </c>
      <c r="D41" s="138" t="s">
        <v>192</v>
      </c>
      <c r="E41" s="55" t="s">
        <v>193</v>
      </c>
      <c r="F41" s="55" t="s">
        <v>194</v>
      </c>
      <c r="G41" s="55" t="s">
        <v>316</v>
      </c>
      <c r="H41" s="55" t="s">
        <v>317</v>
      </c>
      <c r="I41" s="139" t="s">
        <v>51</v>
      </c>
      <c r="J41" s="140" t="s">
        <v>318</v>
      </c>
      <c r="K41" s="55">
        <v>20038918</v>
      </c>
      <c r="L41" s="55" t="s">
        <v>198</v>
      </c>
      <c r="M41" s="141" t="str">
        <f t="shared" si="0"/>
        <v>CC-INT_E</v>
      </c>
      <c r="N41" s="142" t="str">
        <f>LOOKUP(M41,'[2]Doc Set'!E:E,'[2]Doc Set'!F:F)</f>
        <v>_</v>
      </c>
      <c r="O41" s="141" t="s">
        <v>306</v>
      </c>
      <c r="P41" s="142">
        <f>+LOOKUP(O41,'[2]Doc Set'!E:E,'[2]Doc Set'!G:G)</f>
        <v>43489</v>
      </c>
      <c r="Q41" s="55" t="str">
        <f t="shared" si="1"/>
        <v>CC-INT_E</v>
      </c>
      <c r="R41" s="142">
        <f>+LOOKUP(Q41,'[2]Doc Set'!E:E,'[2]Doc Set'!H:H)</f>
        <v>43542</v>
      </c>
      <c r="S41" s="143" t="s">
        <v>200</v>
      </c>
    </row>
    <row r="42" spans="1:19" x14ac:dyDescent="0.3">
      <c r="A42" s="55" t="s">
        <v>40</v>
      </c>
      <c r="B42" s="55" t="s">
        <v>190</v>
      </c>
      <c r="C42" s="55" t="s">
        <v>191</v>
      </c>
      <c r="D42" s="138" t="s">
        <v>192</v>
      </c>
      <c r="E42" s="55" t="s">
        <v>193</v>
      </c>
      <c r="F42" s="55" t="s">
        <v>194</v>
      </c>
      <c r="G42" s="55" t="s">
        <v>319</v>
      </c>
      <c r="H42" s="55" t="s">
        <v>320</v>
      </c>
      <c r="I42" s="139" t="s">
        <v>51</v>
      </c>
      <c r="J42" s="140" t="s">
        <v>321</v>
      </c>
      <c r="K42" s="55">
        <v>20038918</v>
      </c>
      <c r="L42" s="55" t="s">
        <v>198</v>
      </c>
      <c r="M42" s="141" t="str">
        <f t="shared" si="0"/>
        <v>CC-INT_E</v>
      </c>
      <c r="N42" s="142" t="str">
        <f>LOOKUP(M42,'[2]Doc Set'!E:E,'[2]Doc Set'!F:F)</f>
        <v>_</v>
      </c>
      <c r="O42" s="141" t="s">
        <v>306</v>
      </c>
      <c r="P42" s="142">
        <f>+LOOKUP(O42,'[2]Doc Set'!E:E,'[2]Doc Set'!G:G)</f>
        <v>43489</v>
      </c>
      <c r="Q42" s="55" t="str">
        <f t="shared" si="1"/>
        <v>CC-INT_E</v>
      </c>
      <c r="R42" s="142">
        <f>+LOOKUP(Q42,'[2]Doc Set'!E:E,'[2]Doc Set'!H:H)</f>
        <v>43542</v>
      </c>
      <c r="S42" s="143" t="s">
        <v>200</v>
      </c>
    </row>
    <row r="43" spans="1:19" x14ac:dyDescent="0.3">
      <c r="A43" s="55" t="s">
        <v>40</v>
      </c>
      <c r="B43" s="55" t="s">
        <v>190</v>
      </c>
      <c r="C43" s="55" t="s">
        <v>191</v>
      </c>
      <c r="D43" s="138" t="s">
        <v>192</v>
      </c>
      <c r="E43" s="55" t="s">
        <v>193</v>
      </c>
      <c r="F43" s="55" t="s">
        <v>194</v>
      </c>
      <c r="G43" s="55" t="s">
        <v>322</v>
      </c>
      <c r="H43" s="55" t="s">
        <v>323</v>
      </c>
      <c r="I43" s="139" t="s">
        <v>51</v>
      </c>
      <c r="J43" s="140" t="s">
        <v>324</v>
      </c>
      <c r="K43" s="55">
        <v>20038918</v>
      </c>
      <c r="L43" s="55" t="s">
        <v>198</v>
      </c>
      <c r="M43" s="141" t="str">
        <f t="shared" si="0"/>
        <v>CC-INT_E</v>
      </c>
      <c r="N43" s="142" t="str">
        <f>LOOKUP(M43,'[2]Doc Set'!E:E,'[2]Doc Set'!F:F)</f>
        <v>_</v>
      </c>
      <c r="O43" s="141" t="s">
        <v>306</v>
      </c>
      <c r="P43" s="142">
        <f>+LOOKUP(O43,'[2]Doc Set'!E:E,'[2]Doc Set'!G:G)</f>
        <v>43489</v>
      </c>
      <c r="Q43" s="55" t="str">
        <f t="shared" si="1"/>
        <v>CC-INT_E</v>
      </c>
      <c r="R43" s="142">
        <f>+LOOKUP(Q43,'[2]Doc Set'!E:E,'[2]Doc Set'!H:H)</f>
        <v>43542</v>
      </c>
      <c r="S43" s="143" t="s">
        <v>200</v>
      </c>
    </row>
    <row r="44" spans="1:19" x14ac:dyDescent="0.3">
      <c r="A44" s="55" t="s">
        <v>40</v>
      </c>
      <c r="B44" s="55" t="s">
        <v>190</v>
      </c>
      <c r="C44" s="55" t="s">
        <v>191</v>
      </c>
      <c r="D44" s="138" t="s">
        <v>192</v>
      </c>
      <c r="E44" s="55" t="s">
        <v>193</v>
      </c>
      <c r="F44" s="55" t="s">
        <v>194</v>
      </c>
      <c r="G44" s="55" t="s">
        <v>325</v>
      </c>
      <c r="H44" s="55" t="s">
        <v>326</v>
      </c>
      <c r="I44" s="139" t="s">
        <v>51</v>
      </c>
      <c r="J44" s="140" t="s">
        <v>327</v>
      </c>
      <c r="K44" s="55">
        <v>20038918</v>
      </c>
      <c r="L44" s="55" t="s">
        <v>198</v>
      </c>
      <c r="M44" s="141" t="str">
        <f t="shared" si="0"/>
        <v>CC-INT_E</v>
      </c>
      <c r="N44" s="142" t="str">
        <f>LOOKUP(M44,'[2]Doc Set'!E:E,'[2]Doc Set'!F:F)</f>
        <v>_</v>
      </c>
      <c r="O44" s="141" t="s">
        <v>306</v>
      </c>
      <c r="P44" s="142">
        <f>+LOOKUP(O44,'[2]Doc Set'!E:E,'[2]Doc Set'!G:G)</f>
        <v>43489</v>
      </c>
      <c r="Q44" s="55" t="str">
        <f t="shared" si="1"/>
        <v>CC-INT_E</v>
      </c>
      <c r="R44" s="142">
        <f>+LOOKUP(Q44,'[2]Doc Set'!E:E,'[2]Doc Set'!H:H)</f>
        <v>43542</v>
      </c>
      <c r="S44" s="143" t="s">
        <v>200</v>
      </c>
    </row>
    <row r="45" spans="1:19" x14ac:dyDescent="0.3">
      <c r="A45" s="55" t="s">
        <v>40</v>
      </c>
      <c r="B45" s="55" t="s">
        <v>190</v>
      </c>
      <c r="C45" s="55" t="s">
        <v>191</v>
      </c>
      <c r="D45" s="138" t="s">
        <v>192</v>
      </c>
      <c r="E45" s="55" t="s">
        <v>193</v>
      </c>
      <c r="F45" s="55" t="s">
        <v>194</v>
      </c>
      <c r="G45" s="55" t="s">
        <v>328</v>
      </c>
      <c r="H45" s="55" t="s">
        <v>329</v>
      </c>
      <c r="I45" s="139" t="s">
        <v>51</v>
      </c>
      <c r="J45" s="140" t="s">
        <v>330</v>
      </c>
      <c r="K45" s="55">
        <v>20038918</v>
      </c>
      <c r="L45" s="55" t="s">
        <v>198</v>
      </c>
      <c r="M45" s="141" t="str">
        <f t="shared" si="0"/>
        <v>CC-INT_E</v>
      </c>
      <c r="N45" s="142" t="str">
        <f>LOOKUP(M45,'[2]Doc Set'!E:E,'[2]Doc Set'!F:F)</f>
        <v>_</v>
      </c>
      <c r="O45" s="141" t="s">
        <v>306</v>
      </c>
      <c r="P45" s="142">
        <f>+LOOKUP(O45,'[2]Doc Set'!E:E,'[2]Doc Set'!G:G)</f>
        <v>43489</v>
      </c>
      <c r="Q45" s="55" t="str">
        <f t="shared" si="1"/>
        <v>CC-INT_E</v>
      </c>
      <c r="R45" s="142">
        <f>+LOOKUP(Q45,'[2]Doc Set'!E:E,'[2]Doc Set'!H:H)</f>
        <v>43542</v>
      </c>
      <c r="S45" s="143" t="s">
        <v>200</v>
      </c>
    </row>
    <row r="46" spans="1:19" x14ac:dyDescent="0.3">
      <c r="A46" s="55" t="s">
        <v>40</v>
      </c>
      <c r="B46" s="55" t="s">
        <v>190</v>
      </c>
      <c r="C46" s="55" t="s">
        <v>191</v>
      </c>
      <c r="D46" s="138" t="s">
        <v>192</v>
      </c>
      <c r="E46" s="55" t="s">
        <v>193</v>
      </c>
      <c r="F46" s="55" t="s">
        <v>194</v>
      </c>
      <c r="G46" s="55" t="s">
        <v>331</v>
      </c>
      <c r="H46" s="55" t="s">
        <v>332</v>
      </c>
      <c r="I46" s="139" t="s">
        <v>51</v>
      </c>
      <c r="J46" s="140" t="s">
        <v>333</v>
      </c>
      <c r="K46" s="55">
        <v>20038918</v>
      </c>
      <c r="L46" s="55" t="s">
        <v>198</v>
      </c>
      <c r="M46" s="141" t="str">
        <f t="shared" si="0"/>
        <v>CC-INT_E</v>
      </c>
      <c r="N46" s="142" t="str">
        <f>LOOKUP(M46,'[2]Doc Set'!E:E,'[2]Doc Set'!F:F)</f>
        <v>_</v>
      </c>
      <c r="O46" s="141" t="s">
        <v>306</v>
      </c>
      <c r="P46" s="142">
        <f>+LOOKUP(O46,'[2]Doc Set'!E:E,'[2]Doc Set'!G:G)</f>
        <v>43489</v>
      </c>
      <c r="Q46" s="55" t="str">
        <f t="shared" si="1"/>
        <v>CC-INT_E</v>
      </c>
      <c r="R46" s="142">
        <f>+LOOKUP(Q46,'[2]Doc Set'!E:E,'[2]Doc Set'!H:H)</f>
        <v>43542</v>
      </c>
      <c r="S46" s="143" t="s">
        <v>200</v>
      </c>
    </row>
    <row r="47" spans="1:19" x14ac:dyDescent="0.3">
      <c r="A47" s="55" t="s">
        <v>40</v>
      </c>
      <c r="B47" s="55" t="s">
        <v>190</v>
      </c>
      <c r="C47" s="55" t="s">
        <v>191</v>
      </c>
      <c r="D47" s="138" t="s">
        <v>192</v>
      </c>
      <c r="E47" s="55" t="s">
        <v>193</v>
      </c>
      <c r="F47" s="55" t="s">
        <v>194</v>
      </c>
      <c r="G47" s="55" t="s">
        <v>334</v>
      </c>
      <c r="H47" s="55" t="s">
        <v>335</v>
      </c>
      <c r="I47" s="139" t="s">
        <v>51</v>
      </c>
      <c r="J47" s="140" t="s">
        <v>336</v>
      </c>
      <c r="K47" s="55">
        <v>20038918</v>
      </c>
      <c r="L47" s="55" t="s">
        <v>198</v>
      </c>
      <c r="M47" s="141" t="str">
        <f t="shared" si="0"/>
        <v>CC-INT_E</v>
      </c>
      <c r="N47" s="142" t="str">
        <f>LOOKUP(M47,'[2]Doc Set'!E:E,'[2]Doc Set'!F:F)</f>
        <v>_</v>
      </c>
      <c r="O47" s="141" t="s">
        <v>306</v>
      </c>
      <c r="P47" s="142">
        <f>+LOOKUP(O47,'[2]Doc Set'!E:E,'[2]Doc Set'!G:G)</f>
        <v>43489</v>
      </c>
      <c r="Q47" s="55" t="str">
        <f t="shared" si="1"/>
        <v>CC-INT_E</v>
      </c>
      <c r="R47" s="142">
        <f>+LOOKUP(Q47,'[2]Doc Set'!E:E,'[2]Doc Set'!H:H)</f>
        <v>43542</v>
      </c>
      <c r="S47" s="143" t="s">
        <v>200</v>
      </c>
    </row>
    <row r="48" spans="1:19" x14ac:dyDescent="0.3">
      <c r="A48" s="55" t="s">
        <v>40</v>
      </c>
      <c r="B48" s="55" t="s">
        <v>190</v>
      </c>
      <c r="C48" s="55" t="s">
        <v>191</v>
      </c>
      <c r="D48" s="138" t="s">
        <v>192</v>
      </c>
      <c r="E48" s="55" t="s">
        <v>193</v>
      </c>
      <c r="F48" s="55" t="s">
        <v>194</v>
      </c>
      <c r="G48" s="55" t="s">
        <v>337</v>
      </c>
      <c r="H48" s="55" t="s">
        <v>338</v>
      </c>
      <c r="I48" s="139" t="s">
        <v>51</v>
      </c>
      <c r="J48" s="140" t="s">
        <v>339</v>
      </c>
      <c r="K48" s="55">
        <v>20038918</v>
      </c>
      <c r="L48" s="55" t="s">
        <v>198</v>
      </c>
      <c r="M48" s="141" t="str">
        <f t="shared" si="0"/>
        <v>CC-INT_E</v>
      </c>
      <c r="N48" s="142" t="str">
        <f>LOOKUP(M48,'[2]Doc Set'!E:E,'[2]Doc Set'!F:F)</f>
        <v>_</v>
      </c>
      <c r="O48" s="141" t="s">
        <v>306</v>
      </c>
      <c r="P48" s="142">
        <f>+LOOKUP(O48,'[2]Doc Set'!E:E,'[2]Doc Set'!G:G)</f>
        <v>43489</v>
      </c>
      <c r="Q48" s="55" t="str">
        <f t="shared" si="1"/>
        <v>CC-INT_E</v>
      </c>
      <c r="R48" s="142">
        <f>+LOOKUP(Q48,'[2]Doc Set'!E:E,'[2]Doc Set'!H:H)</f>
        <v>43542</v>
      </c>
      <c r="S48" s="143" t="s">
        <v>200</v>
      </c>
    </row>
    <row r="49" spans="1:19" x14ac:dyDescent="0.3">
      <c r="A49" s="55" t="s">
        <v>40</v>
      </c>
      <c r="B49" s="55" t="s">
        <v>190</v>
      </c>
      <c r="C49" s="55" t="s">
        <v>191</v>
      </c>
      <c r="D49" s="138" t="s">
        <v>192</v>
      </c>
      <c r="E49" s="55" t="s">
        <v>193</v>
      </c>
      <c r="F49" s="55" t="s">
        <v>194</v>
      </c>
      <c r="G49" s="55" t="s">
        <v>340</v>
      </c>
      <c r="H49" s="55" t="s">
        <v>341</v>
      </c>
      <c r="I49" s="139" t="s">
        <v>51</v>
      </c>
      <c r="J49" s="140" t="s">
        <v>342</v>
      </c>
      <c r="K49" s="55">
        <v>20038918</v>
      </c>
      <c r="L49" s="55" t="s">
        <v>198</v>
      </c>
      <c r="M49" s="141" t="str">
        <f t="shared" si="0"/>
        <v>CC-INT_E</v>
      </c>
      <c r="N49" s="142" t="str">
        <f>LOOKUP(M49,'[2]Doc Set'!E:E,'[2]Doc Set'!F:F)</f>
        <v>_</v>
      </c>
      <c r="O49" s="141" t="s">
        <v>306</v>
      </c>
      <c r="P49" s="142">
        <f>+LOOKUP(O49,'[2]Doc Set'!E:E,'[2]Doc Set'!G:G)</f>
        <v>43489</v>
      </c>
      <c r="Q49" s="55" t="str">
        <f t="shared" si="1"/>
        <v>CC-INT_E</v>
      </c>
      <c r="R49" s="142">
        <f>+LOOKUP(Q49,'[2]Doc Set'!E:E,'[2]Doc Set'!H:H)</f>
        <v>43542</v>
      </c>
      <c r="S49" s="143" t="s">
        <v>200</v>
      </c>
    </row>
    <row r="50" spans="1:19" x14ac:dyDescent="0.3">
      <c r="A50" s="55" t="s">
        <v>40</v>
      </c>
      <c r="B50" s="55" t="s">
        <v>190</v>
      </c>
      <c r="C50" s="55" t="s">
        <v>191</v>
      </c>
      <c r="D50" s="138" t="s">
        <v>192</v>
      </c>
      <c r="E50" s="55" t="s">
        <v>193</v>
      </c>
      <c r="F50" s="55" t="s">
        <v>194</v>
      </c>
      <c r="G50" s="55" t="s">
        <v>343</v>
      </c>
      <c r="H50" s="55" t="s">
        <v>344</v>
      </c>
      <c r="I50" s="139" t="s">
        <v>51</v>
      </c>
      <c r="J50" s="140" t="s">
        <v>345</v>
      </c>
      <c r="K50" s="55">
        <v>20038918</v>
      </c>
      <c r="L50" s="55" t="s">
        <v>198</v>
      </c>
      <c r="M50" s="141" t="str">
        <f t="shared" si="0"/>
        <v>CC-INT_E</v>
      </c>
      <c r="N50" s="142" t="str">
        <f>LOOKUP(M50,'[2]Doc Set'!E:E,'[2]Doc Set'!F:F)</f>
        <v>_</v>
      </c>
      <c r="O50" s="141" t="s">
        <v>306</v>
      </c>
      <c r="P50" s="142">
        <f>+LOOKUP(O50,'[2]Doc Set'!E:E,'[2]Doc Set'!G:G)</f>
        <v>43489</v>
      </c>
      <c r="Q50" s="55" t="str">
        <f t="shared" si="1"/>
        <v>CC-INT_E</v>
      </c>
      <c r="R50" s="142">
        <f>+LOOKUP(Q50,'[2]Doc Set'!E:E,'[2]Doc Set'!H:H)</f>
        <v>43542</v>
      </c>
      <c r="S50" s="143" t="s">
        <v>200</v>
      </c>
    </row>
    <row r="51" spans="1:19" x14ac:dyDescent="0.3">
      <c r="A51" s="55" t="s">
        <v>40</v>
      </c>
      <c r="B51" s="55" t="s">
        <v>190</v>
      </c>
      <c r="C51" s="55" t="s">
        <v>191</v>
      </c>
      <c r="D51" s="138" t="s">
        <v>192</v>
      </c>
      <c r="E51" s="55" t="s">
        <v>193</v>
      </c>
      <c r="F51" s="55" t="s">
        <v>194</v>
      </c>
      <c r="G51" s="55" t="s">
        <v>346</v>
      </c>
      <c r="H51" s="55" t="s">
        <v>347</v>
      </c>
      <c r="I51" s="139" t="s">
        <v>51</v>
      </c>
      <c r="J51" s="140" t="s">
        <v>348</v>
      </c>
      <c r="K51" s="55">
        <v>20038918</v>
      </c>
      <c r="L51" s="55" t="s">
        <v>198</v>
      </c>
      <c r="M51" s="141" t="str">
        <f t="shared" si="0"/>
        <v>CC-INT_E</v>
      </c>
      <c r="N51" s="142" t="str">
        <f>LOOKUP(M51,'[2]Doc Set'!E:E,'[2]Doc Set'!F:F)</f>
        <v>_</v>
      </c>
      <c r="O51" s="141" t="s">
        <v>306</v>
      </c>
      <c r="P51" s="142">
        <f>+LOOKUP(O51,'[2]Doc Set'!E:E,'[2]Doc Set'!G:G)</f>
        <v>43489</v>
      </c>
      <c r="Q51" s="55" t="str">
        <f t="shared" si="1"/>
        <v>CC-INT_E</v>
      </c>
      <c r="R51" s="142">
        <f>+LOOKUP(Q51,'[2]Doc Set'!E:E,'[2]Doc Set'!H:H)</f>
        <v>43542</v>
      </c>
      <c r="S51" s="143" t="s">
        <v>200</v>
      </c>
    </row>
    <row r="52" spans="1:19" x14ac:dyDescent="0.3">
      <c r="A52" s="55" t="s">
        <v>40</v>
      </c>
      <c r="B52" s="55" t="s">
        <v>190</v>
      </c>
      <c r="C52" s="55" t="s">
        <v>191</v>
      </c>
      <c r="D52" s="138" t="s">
        <v>192</v>
      </c>
      <c r="E52" s="55" t="s">
        <v>193</v>
      </c>
      <c r="F52" s="55" t="s">
        <v>194</v>
      </c>
      <c r="G52" s="55" t="s">
        <v>349</v>
      </c>
      <c r="H52" s="55" t="s">
        <v>350</v>
      </c>
      <c r="I52" s="139" t="s">
        <v>51</v>
      </c>
      <c r="J52" s="140" t="s">
        <v>351</v>
      </c>
      <c r="K52" s="55">
        <v>20038918</v>
      </c>
      <c r="L52" s="55" t="s">
        <v>198</v>
      </c>
      <c r="M52" s="141" t="str">
        <f t="shared" si="0"/>
        <v>CC-INT_E</v>
      </c>
      <c r="N52" s="142" t="str">
        <f>LOOKUP(M52,'[2]Doc Set'!E:E,'[2]Doc Set'!F:F)</f>
        <v>_</v>
      </c>
      <c r="O52" s="141" t="s">
        <v>306</v>
      </c>
      <c r="P52" s="142">
        <f>+LOOKUP(O52,'[2]Doc Set'!E:E,'[2]Doc Set'!G:G)</f>
        <v>43489</v>
      </c>
      <c r="Q52" s="55" t="str">
        <f t="shared" si="1"/>
        <v>CC-INT_E</v>
      </c>
      <c r="R52" s="142">
        <f>+LOOKUP(Q52,'[2]Doc Set'!E:E,'[2]Doc Set'!H:H)</f>
        <v>43542</v>
      </c>
      <c r="S52" s="143" t="s">
        <v>200</v>
      </c>
    </row>
    <row r="53" spans="1:19" x14ac:dyDescent="0.3">
      <c r="A53" s="55" t="s">
        <v>40</v>
      </c>
      <c r="B53" s="55" t="s">
        <v>190</v>
      </c>
      <c r="C53" s="55" t="s">
        <v>191</v>
      </c>
      <c r="D53" s="138" t="s">
        <v>192</v>
      </c>
      <c r="E53" s="55" t="s">
        <v>193</v>
      </c>
      <c r="F53" s="55" t="s">
        <v>194</v>
      </c>
      <c r="G53" s="55" t="s">
        <v>352</v>
      </c>
      <c r="H53" s="55" t="s">
        <v>353</v>
      </c>
      <c r="I53" s="139" t="s">
        <v>51</v>
      </c>
      <c r="J53" s="140" t="s">
        <v>354</v>
      </c>
      <c r="K53" s="55">
        <v>20038918</v>
      </c>
      <c r="L53" s="55" t="s">
        <v>198</v>
      </c>
      <c r="M53" s="141" t="str">
        <f t="shared" si="0"/>
        <v>CC-INT_E</v>
      </c>
      <c r="N53" s="142" t="str">
        <f>LOOKUP(M53,'[2]Doc Set'!E:E,'[2]Doc Set'!F:F)</f>
        <v>_</v>
      </c>
      <c r="O53" s="141" t="s">
        <v>306</v>
      </c>
      <c r="P53" s="142">
        <f>+LOOKUP(O53,'[2]Doc Set'!E:E,'[2]Doc Set'!G:G)</f>
        <v>43489</v>
      </c>
      <c r="Q53" s="55" t="str">
        <f t="shared" si="1"/>
        <v>CC-INT_E</v>
      </c>
      <c r="R53" s="142">
        <f>+LOOKUP(Q53,'[2]Doc Set'!E:E,'[2]Doc Set'!H:H)</f>
        <v>43542</v>
      </c>
      <c r="S53" s="143" t="s">
        <v>200</v>
      </c>
    </row>
    <row r="54" spans="1:19" x14ac:dyDescent="0.3">
      <c r="A54" s="55" t="s">
        <v>40</v>
      </c>
      <c r="B54" s="55" t="s">
        <v>190</v>
      </c>
      <c r="C54" s="55" t="s">
        <v>191</v>
      </c>
      <c r="D54" s="138" t="s">
        <v>192</v>
      </c>
      <c r="E54" s="55" t="s">
        <v>193</v>
      </c>
      <c r="F54" s="55" t="s">
        <v>194</v>
      </c>
      <c r="G54" s="55" t="s">
        <v>355</v>
      </c>
      <c r="H54" s="55" t="s">
        <v>356</v>
      </c>
      <c r="I54" s="139" t="s">
        <v>51</v>
      </c>
      <c r="J54" s="140" t="s">
        <v>357</v>
      </c>
      <c r="K54" s="55">
        <v>20038918</v>
      </c>
      <c r="L54" s="55" t="s">
        <v>198</v>
      </c>
      <c r="M54" s="141" t="str">
        <f t="shared" si="0"/>
        <v>CC-INT_E</v>
      </c>
      <c r="N54" s="142" t="str">
        <f>LOOKUP(M54,'[2]Doc Set'!E:E,'[2]Doc Set'!F:F)</f>
        <v>_</v>
      </c>
      <c r="O54" s="141" t="s">
        <v>306</v>
      </c>
      <c r="P54" s="142">
        <f>+LOOKUP(O54,'[2]Doc Set'!E:E,'[2]Doc Set'!G:G)</f>
        <v>43489</v>
      </c>
      <c r="Q54" s="55" t="str">
        <f t="shared" si="1"/>
        <v>CC-INT_E</v>
      </c>
      <c r="R54" s="142">
        <f>+LOOKUP(Q54,'[2]Doc Set'!E:E,'[2]Doc Set'!H:H)</f>
        <v>43542</v>
      </c>
      <c r="S54" s="143" t="s">
        <v>200</v>
      </c>
    </row>
    <row r="55" spans="1:19" x14ac:dyDescent="0.3">
      <c r="A55" s="55" t="s">
        <v>40</v>
      </c>
      <c r="B55" s="55" t="s">
        <v>190</v>
      </c>
      <c r="C55" s="55" t="s">
        <v>191</v>
      </c>
      <c r="D55" s="138" t="s">
        <v>192</v>
      </c>
      <c r="E55" s="55" t="s">
        <v>193</v>
      </c>
      <c r="F55" s="55" t="s">
        <v>194</v>
      </c>
      <c r="G55" s="55" t="s">
        <v>358</v>
      </c>
      <c r="H55" s="55" t="s">
        <v>359</v>
      </c>
      <c r="I55" s="139" t="s">
        <v>51</v>
      </c>
      <c r="J55" s="140" t="s">
        <v>360</v>
      </c>
      <c r="K55" s="55">
        <v>20038918</v>
      </c>
      <c r="L55" s="55" t="s">
        <v>198</v>
      </c>
      <c r="M55" s="141" t="str">
        <f t="shared" si="0"/>
        <v>CC-INT_E</v>
      </c>
      <c r="N55" s="142" t="str">
        <f>LOOKUP(M55,'[2]Doc Set'!E:E,'[2]Doc Set'!F:F)</f>
        <v>_</v>
      </c>
      <c r="O55" s="141" t="s">
        <v>306</v>
      </c>
      <c r="P55" s="142">
        <f>+LOOKUP(O55,'[2]Doc Set'!E:E,'[2]Doc Set'!G:G)</f>
        <v>43489</v>
      </c>
      <c r="Q55" s="55" t="str">
        <f t="shared" si="1"/>
        <v>CC-INT_E</v>
      </c>
      <c r="R55" s="142">
        <f>+LOOKUP(Q55,'[2]Doc Set'!E:E,'[2]Doc Set'!H:H)</f>
        <v>43542</v>
      </c>
      <c r="S55" s="143" t="s">
        <v>200</v>
      </c>
    </row>
    <row r="56" spans="1:19" x14ac:dyDescent="0.3">
      <c r="A56" s="55" t="s">
        <v>40</v>
      </c>
      <c r="B56" s="55" t="s">
        <v>190</v>
      </c>
      <c r="C56" s="55" t="s">
        <v>191</v>
      </c>
      <c r="D56" s="138" t="s">
        <v>192</v>
      </c>
      <c r="E56" s="55" t="s">
        <v>193</v>
      </c>
      <c r="F56" s="55" t="s">
        <v>194</v>
      </c>
      <c r="G56" s="55" t="s">
        <v>361</v>
      </c>
      <c r="H56" s="55" t="s">
        <v>362</v>
      </c>
      <c r="I56" s="139" t="s">
        <v>51</v>
      </c>
      <c r="J56" s="140" t="s">
        <v>363</v>
      </c>
      <c r="K56" s="55">
        <v>20038918</v>
      </c>
      <c r="L56" s="55" t="s">
        <v>198</v>
      </c>
      <c r="M56" s="141" t="str">
        <f t="shared" si="0"/>
        <v>CC-INT_E</v>
      </c>
      <c r="N56" s="142" t="str">
        <f>LOOKUP(M56,'[2]Doc Set'!E:E,'[2]Doc Set'!F:F)</f>
        <v>_</v>
      </c>
      <c r="O56" s="141" t="s">
        <v>306</v>
      </c>
      <c r="P56" s="142">
        <f>+LOOKUP(O56,'[2]Doc Set'!E:E,'[2]Doc Set'!G:G)</f>
        <v>43489</v>
      </c>
      <c r="Q56" s="55" t="str">
        <f t="shared" si="1"/>
        <v>CC-INT_E</v>
      </c>
      <c r="R56" s="142">
        <f>+LOOKUP(Q56,'[2]Doc Set'!E:E,'[2]Doc Set'!H:H)</f>
        <v>43542</v>
      </c>
      <c r="S56" s="143" t="s">
        <v>200</v>
      </c>
    </row>
    <row r="57" spans="1:19" x14ac:dyDescent="0.3">
      <c r="A57" s="55" t="s">
        <v>40</v>
      </c>
      <c r="B57" s="55" t="s">
        <v>190</v>
      </c>
      <c r="C57" s="55" t="s">
        <v>191</v>
      </c>
      <c r="D57" s="138" t="s">
        <v>192</v>
      </c>
      <c r="E57" s="55" t="s">
        <v>193</v>
      </c>
      <c r="F57" s="55" t="s">
        <v>194</v>
      </c>
      <c r="G57" s="55" t="s">
        <v>364</v>
      </c>
      <c r="H57" s="55" t="s">
        <v>365</v>
      </c>
      <c r="I57" s="139" t="s">
        <v>51</v>
      </c>
      <c r="J57" s="140" t="s">
        <v>366</v>
      </c>
      <c r="K57" s="55">
        <v>20038918</v>
      </c>
      <c r="L57" s="55" t="s">
        <v>198</v>
      </c>
      <c r="M57" s="141" t="str">
        <f t="shared" si="0"/>
        <v>CC-INT_E</v>
      </c>
      <c r="N57" s="142" t="str">
        <f>LOOKUP(M57,'[2]Doc Set'!E:E,'[2]Doc Set'!F:F)</f>
        <v>_</v>
      </c>
      <c r="O57" s="141" t="s">
        <v>306</v>
      </c>
      <c r="P57" s="142">
        <f>+LOOKUP(O57,'[2]Doc Set'!E:E,'[2]Doc Set'!G:G)</f>
        <v>43489</v>
      </c>
      <c r="Q57" s="55" t="str">
        <f t="shared" si="1"/>
        <v>CC-INT_E</v>
      </c>
      <c r="R57" s="142">
        <f>+LOOKUP(Q57,'[2]Doc Set'!E:E,'[2]Doc Set'!H:H)</f>
        <v>43542</v>
      </c>
      <c r="S57" s="143" t="s">
        <v>200</v>
      </c>
    </row>
    <row r="58" spans="1:19" x14ac:dyDescent="0.3">
      <c r="A58" s="55" t="s">
        <v>40</v>
      </c>
      <c r="B58" s="55" t="s">
        <v>190</v>
      </c>
      <c r="C58" s="55" t="s">
        <v>191</v>
      </c>
      <c r="D58" s="138" t="s">
        <v>192</v>
      </c>
      <c r="E58" s="55" t="s">
        <v>193</v>
      </c>
      <c r="F58" s="55" t="s">
        <v>194</v>
      </c>
      <c r="G58" s="55" t="s">
        <v>367</v>
      </c>
      <c r="H58" s="55" t="s">
        <v>368</v>
      </c>
      <c r="I58" s="139" t="s">
        <v>51</v>
      </c>
      <c r="J58" s="140" t="s">
        <v>369</v>
      </c>
      <c r="K58" s="55">
        <v>20038918</v>
      </c>
      <c r="L58" s="55" t="s">
        <v>198</v>
      </c>
      <c r="M58" s="141" t="str">
        <f t="shared" si="0"/>
        <v>CC-INT_E</v>
      </c>
      <c r="N58" s="142" t="str">
        <f>LOOKUP(M58,'[2]Doc Set'!E:E,'[2]Doc Set'!F:F)</f>
        <v>_</v>
      </c>
      <c r="O58" s="141" t="s">
        <v>306</v>
      </c>
      <c r="P58" s="142">
        <f>+LOOKUP(O58,'[2]Doc Set'!E:E,'[2]Doc Set'!G:G)</f>
        <v>43489</v>
      </c>
      <c r="Q58" s="55" t="str">
        <f t="shared" si="1"/>
        <v>CC-INT_E</v>
      </c>
      <c r="R58" s="142">
        <f>+LOOKUP(Q58,'[2]Doc Set'!E:E,'[2]Doc Set'!H:H)</f>
        <v>43542</v>
      </c>
      <c r="S58" s="143" t="s">
        <v>200</v>
      </c>
    </row>
    <row r="59" spans="1:19" x14ac:dyDescent="0.3">
      <c r="A59" s="55" t="s">
        <v>40</v>
      </c>
      <c r="B59" s="55" t="s">
        <v>190</v>
      </c>
      <c r="C59" s="55" t="s">
        <v>191</v>
      </c>
      <c r="D59" s="138" t="s">
        <v>192</v>
      </c>
      <c r="E59" s="55" t="s">
        <v>193</v>
      </c>
      <c r="F59" s="55" t="s">
        <v>194</v>
      </c>
      <c r="G59" s="55" t="s">
        <v>370</v>
      </c>
      <c r="H59" s="55" t="s">
        <v>371</v>
      </c>
      <c r="I59" s="139" t="s">
        <v>51</v>
      </c>
      <c r="J59" s="140" t="s">
        <v>372</v>
      </c>
      <c r="K59" s="55">
        <v>20038918</v>
      </c>
      <c r="L59" s="55" t="s">
        <v>198</v>
      </c>
      <c r="M59" s="141" t="str">
        <f t="shared" si="0"/>
        <v>CC-INT_E</v>
      </c>
      <c r="N59" s="142" t="str">
        <f>LOOKUP(M59,'[2]Doc Set'!E:E,'[2]Doc Set'!F:F)</f>
        <v>_</v>
      </c>
      <c r="O59" s="141" t="s">
        <v>306</v>
      </c>
      <c r="P59" s="142">
        <f>+LOOKUP(O59,'[2]Doc Set'!E:E,'[2]Doc Set'!G:G)</f>
        <v>43489</v>
      </c>
      <c r="Q59" s="55" t="str">
        <f t="shared" si="1"/>
        <v>CC-INT_E</v>
      </c>
      <c r="R59" s="142">
        <f>+LOOKUP(Q59,'[2]Doc Set'!E:E,'[2]Doc Set'!H:H)</f>
        <v>43542</v>
      </c>
      <c r="S59" s="143" t="s">
        <v>200</v>
      </c>
    </row>
    <row r="60" spans="1:19" x14ac:dyDescent="0.3">
      <c r="A60" s="55" t="s">
        <v>40</v>
      </c>
      <c r="B60" s="55" t="s">
        <v>190</v>
      </c>
      <c r="C60" s="55" t="s">
        <v>191</v>
      </c>
      <c r="D60" s="138" t="s">
        <v>192</v>
      </c>
      <c r="E60" s="55" t="s">
        <v>193</v>
      </c>
      <c r="F60" s="55" t="s">
        <v>194</v>
      </c>
      <c r="G60" s="55" t="s">
        <v>373</v>
      </c>
      <c r="H60" s="55" t="s">
        <v>374</v>
      </c>
      <c r="I60" s="139" t="s">
        <v>51</v>
      </c>
      <c r="J60" s="140" t="s">
        <v>375</v>
      </c>
      <c r="K60" s="55">
        <v>20038918</v>
      </c>
      <c r="L60" s="55" t="s">
        <v>198</v>
      </c>
      <c r="M60" s="141" t="str">
        <f t="shared" si="0"/>
        <v>CC-INT_E</v>
      </c>
      <c r="N60" s="142" t="str">
        <f>LOOKUP(M60,'[2]Doc Set'!E:E,'[2]Doc Set'!F:F)</f>
        <v>_</v>
      </c>
      <c r="O60" s="141" t="s">
        <v>306</v>
      </c>
      <c r="P60" s="142">
        <f>+LOOKUP(O60,'[2]Doc Set'!E:E,'[2]Doc Set'!G:G)</f>
        <v>43489</v>
      </c>
      <c r="Q60" s="55" t="str">
        <f t="shared" si="1"/>
        <v>CC-INT_E</v>
      </c>
      <c r="R60" s="142">
        <f>+LOOKUP(Q60,'[2]Doc Set'!E:E,'[2]Doc Set'!H:H)</f>
        <v>43542</v>
      </c>
      <c r="S60" s="143" t="s">
        <v>200</v>
      </c>
    </row>
    <row r="61" spans="1:19" x14ac:dyDescent="0.3">
      <c r="A61" s="55" t="s">
        <v>40</v>
      </c>
      <c r="B61" s="55" t="s">
        <v>190</v>
      </c>
      <c r="C61" s="55" t="s">
        <v>191</v>
      </c>
      <c r="D61" s="138" t="s">
        <v>192</v>
      </c>
      <c r="E61" s="55" t="s">
        <v>193</v>
      </c>
      <c r="F61" s="55" t="s">
        <v>194</v>
      </c>
      <c r="G61" s="55" t="s">
        <v>376</v>
      </c>
      <c r="H61" s="55" t="s">
        <v>377</v>
      </c>
      <c r="I61" s="139" t="s">
        <v>51</v>
      </c>
      <c r="J61" s="140" t="s">
        <v>378</v>
      </c>
      <c r="K61" s="55">
        <v>20038918</v>
      </c>
      <c r="L61" s="55" t="s">
        <v>198</v>
      </c>
      <c r="M61" s="141" t="str">
        <f t="shared" si="0"/>
        <v>CC-INT_E</v>
      </c>
      <c r="N61" s="142" t="str">
        <f>LOOKUP(M61,'[2]Doc Set'!E:E,'[2]Doc Set'!F:F)</f>
        <v>_</v>
      </c>
      <c r="O61" s="141" t="s">
        <v>306</v>
      </c>
      <c r="P61" s="142">
        <f>+LOOKUP(O61,'[2]Doc Set'!E:E,'[2]Doc Set'!G:G)</f>
        <v>43489</v>
      </c>
      <c r="Q61" s="55" t="str">
        <f t="shared" si="1"/>
        <v>CC-INT_E</v>
      </c>
      <c r="R61" s="142">
        <f>+LOOKUP(Q61,'[2]Doc Set'!E:E,'[2]Doc Set'!H:H)</f>
        <v>43542</v>
      </c>
      <c r="S61" s="143" t="s">
        <v>200</v>
      </c>
    </row>
    <row r="62" spans="1:19" x14ac:dyDescent="0.3">
      <c r="A62" s="55" t="s">
        <v>40</v>
      </c>
      <c r="B62" s="55" t="s">
        <v>190</v>
      </c>
      <c r="C62" s="55" t="s">
        <v>191</v>
      </c>
      <c r="D62" s="138" t="s">
        <v>192</v>
      </c>
      <c r="E62" s="55" t="s">
        <v>193</v>
      </c>
      <c r="F62" s="55" t="s">
        <v>194</v>
      </c>
      <c r="G62" s="55" t="s">
        <v>379</v>
      </c>
      <c r="H62" s="55" t="s">
        <v>380</v>
      </c>
      <c r="I62" s="139" t="s">
        <v>51</v>
      </c>
      <c r="J62" s="140" t="s">
        <v>381</v>
      </c>
      <c r="K62" s="55">
        <v>20038918</v>
      </c>
      <c r="L62" s="55" t="s">
        <v>198</v>
      </c>
      <c r="M62" s="141" t="str">
        <f t="shared" si="0"/>
        <v>CC-INT_E</v>
      </c>
      <c r="N62" s="142" t="str">
        <f>LOOKUP(M62,'[2]Doc Set'!E:E,'[2]Doc Set'!F:F)</f>
        <v>_</v>
      </c>
      <c r="O62" s="141" t="s">
        <v>306</v>
      </c>
      <c r="P62" s="142">
        <f>+LOOKUP(O62,'[2]Doc Set'!E:E,'[2]Doc Set'!G:G)</f>
        <v>43489</v>
      </c>
      <c r="Q62" s="55" t="str">
        <f t="shared" si="1"/>
        <v>CC-INT_E</v>
      </c>
      <c r="R62" s="142">
        <f>+LOOKUP(Q62,'[2]Doc Set'!E:E,'[2]Doc Set'!H:H)</f>
        <v>43542</v>
      </c>
      <c r="S62" s="143" t="s">
        <v>200</v>
      </c>
    </row>
    <row r="63" spans="1:19" x14ac:dyDescent="0.3">
      <c r="A63" s="55" t="s">
        <v>40</v>
      </c>
      <c r="B63" s="55" t="s">
        <v>190</v>
      </c>
      <c r="C63" s="55" t="s">
        <v>191</v>
      </c>
      <c r="D63" s="138" t="s">
        <v>192</v>
      </c>
      <c r="E63" s="55" t="s">
        <v>193</v>
      </c>
      <c r="F63" s="55" t="s">
        <v>194</v>
      </c>
      <c r="G63" s="55" t="s">
        <v>382</v>
      </c>
      <c r="H63" s="55" t="s">
        <v>383</v>
      </c>
      <c r="I63" s="139" t="s">
        <v>51</v>
      </c>
      <c r="J63" s="140" t="s">
        <v>384</v>
      </c>
      <c r="K63" s="55">
        <v>20038918</v>
      </c>
      <c r="L63" s="55" t="s">
        <v>198</v>
      </c>
      <c r="M63" s="141" t="str">
        <f t="shared" si="0"/>
        <v>CC-INT_E</v>
      </c>
      <c r="N63" s="142" t="str">
        <f>LOOKUP(M63,'[2]Doc Set'!E:E,'[2]Doc Set'!F:F)</f>
        <v>_</v>
      </c>
      <c r="O63" s="141" t="s">
        <v>306</v>
      </c>
      <c r="P63" s="142">
        <f>+LOOKUP(O63,'[2]Doc Set'!E:E,'[2]Doc Set'!G:G)</f>
        <v>43489</v>
      </c>
      <c r="Q63" s="55" t="str">
        <f t="shared" si="1"/>
        <v>CC-INT_E</v>
      </c>
      <c r="R63" s="142">
        <f>+LOOKUP(Q63,'[2]Doc Set'!E:E,'[2]Doc Set'!H:H)</f>
        <v>43542</v>
      </c>
      <c r="S63" s="143" t="s">
        <v>200</v>
      </c>
    </row>
    <row r="64" spans="1:19" x14ac:dyDescent="0.3">
      <c r="A64" s="55" t="s">
        <v>40</v>
      </c>
      <c r="B64" s="55" t="s">
        <v>190</v>
      </c>
      <c r="C64" s="55" t="s">
        <v>191</v>
      </c>
      <c r="D64" s="138" t="s">
        <v>192</v>
      </c>
      <c r="E64" s="55" t="s">
        <v>193</v>
      </c>
      <c r="F64" s="55" t="s">
        <v>194</v>
      </c>
      <c r="G64" s="55" t="s">
        <v>385</v>
      </c>
      <c r="H64" s="55" t="s">
        <v>386</v>
      </c>
      <c r="I64" s="139" t="s">
        <v>51</v>
      </c>
      <c r="J64" s="140" t="s">
        <v>387</v>
      </c>
      <c r="K64" s="55">
        <v>20038918</v>
      </c>
      <c r="L64" s="55" t="s">
        <v>198</v>
      </c>
      <c r="M64" s="141" t="str">
        <f t="shared" si="0"/>
        <v>CC-INT_E</v>
      </c>
      <c r="N64" s="142" t="str">
        <f>LOOKUP(M64,'[2]Doc Set'!E:E,'[2]Doc Set'!F:F)</f>
        <v>_</v>
      </c>
      <c r="O64" s="141" t="s">
        <v>306</v>
      </c>
      <c r="P64" s="142">
        <f>+LOOKUP(O64,'[2]Doc Set'!E:E,'[2]Doc Set'!G:G)</f>
        <v>43489</v>
      </c>
      <c r="Q64" s="55" t="str">
        <f t="shared" si="1"/>
        <v>CC-INT_E</v>
      </c>
      <c r="R64" s="142">
        <f>+LOOKUP(Q64,'[2]Doc Set'!E:E,'[2]Doc Set'!H:H)</f>
        <v>43542</v>
      </c>
      <c r="S64" s="143" t="s">
        <v>200</v>
      </c>
    </row>
    <row r="65" spans="1:19" x14ac:dyDescent="0.3">
      <c r="A65" s="55" t="s">
        <v>40</v>
      </c>
      <c r="B65" s="55" t="s">
        <v>190</v>
      </c>
      <c r="C65" s="55" t="s">
        <v>191</v>
      </c>
      <c r="D65" s="138" t="s">
        <v>192</v>
      </c>
      <c r="E65" s="55" t="s">
        <v>193</v>
      </c>
      <c r="F65" s="55" t="s">
        <v>194</v>
      </c>
      <c r="G65" s="55" t="s">
        <v>388</v>
      </c>
      <c r="H65" s="55" t="s">
        <v>389</v>
      </c>
      <c r="I65" s="139" t="s">
        <v>51</v>
      </c>
      <c r="J65" s="140" t="s">
        <v>390</v>
      </c>
      <c r="K65" s="55">
        <v>20038918</v>
      </c>
      <c r="L65" s="55" t="s">
        <v>198</v>
      </c>
      <c r="M65" s="141" t="str">
        <f t="shared" si="0"/>
        <v>CC-INT_E</v>
      </c>
      <c r="N65" s="142" t="str">
        <f>LOOKUP(M65,'[2]Doc Set'!E:E,'[2]Doc Set'!F:F)</f>
        <v>_</v>
      </c>
      <c r="O65" s="141" t="s">
        <v>306</v>
      </c>
      <c r="P65" s="142">
        <f>+LOOKUP(O65,'[2]Doc Set'!E:E,'[2]Doc Set'!G:G)</f>
        <v>43489</v>
      </c>
      <c r="Q65" s="55" t="str">
        <f t="shared" si="1"/>
        <v>CC-INT_E</v>
      </c>
      <c r="R65" s="142">
        <f>+LOOKUP(Q65,'[2]Doc Set'!E:E,'[2]Doc Set'!H:H)</f>
        <v>43542</v>
      </c>
      <c r="S65" s="143" t="s">
        <v>200</v>
      </c>
    </row>
    <row r="66" spans="1:19" x14ac:dyDescent="0.3">
      <c r="A66" s="55" t="s">
        <v>40</v>
      </c>
      <c r="B66" s="55" t="s">
        <v>190</v>
      </c>
      <c r="C66" s="55" t="s">
        <v>191</v>
      </c>
      <c r="D66" s="138" t="s">
        <v>192</v>
      </c>
      <c r="E66" s="55" t="s">
        <v>193</v>
      </c>
      <c r="F66" s="55" t="s">
        <v>194</v>
      </c>
      <c r="G66" s="55" t="s">
        <v>391</v>
      </c>
      <c r="H66" s="55" t="s">
        <v>392</v>
      </c>
      <c r="I66" s="139" t="s">
        <v>51</v>
      </c>
      <c r="J66" s="140" t="s">
        <v>393</v>
      </c>
      <c r="K66" s="55">
        <v>20038918</v>
      </c>
      <c r="L66" s="55" t="s">
        <v>198</v>
      </c>
      <c r="M66" s="141" t="str">
        <f t="shared" si="0"/>
        <v>CC-INT_E</v>
      </c>
      <c r="N66" s="142" t="str">
        <f>LOOKUP(M66,'[2]Doc Set'!E:E,'[2]Doc Set'!F:F)</f>
        <v>_</v>
      </c>
      <c r="O66" s="141" t="s">
        <v>306</v>
      </c>
      <c r="P66" s="142">
        <f>+LOOKUP(O66,'[2]Doc Set'!E:E,'[2]Doc Set'!G:G)</f>
        <v>43489</v>
      </c>
      <c r="Q66" s="55" t="str">
        <f t="shared" si="1"/>
        <v>CC-INT_E</v>
      </c>
      <c r="R66" s="142">
        <f>+LOOKUP(Q66,'[2]Doc Set'!E:E,'[2]Doc Set'!H:H)</f>
        <v>43542</v>
      </c>
      <c r="S66" s="143" t="s">
        <v>200</v>
      </c>
    </row>
    <row r="67" spans="1:19" x14ac:dyDescent="0.3">
      <c r="A67" s="55" t="s">
        <v>40</v>
      </c>
      <c r="B67" s="55" t="s">
        <v>190</v>
      </c>
      <c r="C67" s="55" t="s">
        <v>191</v>
      </c>
      <c r="D67" s="138" t="s">
        <v>192</v>
      </c>
      <c r="E67" s="55" t="s">
        <v>193</v>
      </c>
      <c r="F67" s="55" t="s">
        <v>194</v>
      </c>
      <c r="G67" s="55" t="s">
        <v>394</v>
      </c>
      <c r="H67" s="55" t="s">
        <v>395</v>
      </c>
      <c r="I67" s="139" t="s">
        <v>51</v>
      </c>
      <c r="J67" s="140" t="s">
        <v>396</v>
      </c>
      <c r="K67" s="55">
        <v>20038918</v>
      </c>
      <c r="L67" s="55" t="s">
        <v>198</v>
      </c>
      <c r="M67" s="141" t="str">
        <f t="shared" ref="M67:M119" si="2">+O67</f>
        <v>CC-INT_E</v>
      </c>
      <c r="N67" s="142" t="str">
        <f>LOOKUP(M67,'[2]Doc Set'!E:E,'[2]Doc Set'!F:F)</f>
        <v>_</v>
      </c>
      <c r="O67" s="141" t="s">
        <v>306</v>
      </c>
      <c r="P67" s="142">
        <f>+LOOKUP(O67,'[2]Doc Set'!E:E,'[2]Doc Set'!G:G)</f>
        <v>43489</v>
      </c>
      <c r="Q67" s="55" t="str">
        <f t="shared" ref="Q67:Q119" si="3">+O67</f>
        <v>CC-INT_E</v>
      </c>
      <c r="R67" s="142">
        <f>+LOOKUP(Q67,'[2]Doc Set'!E:E,'[2]Doc Set'!H:H)</f>
        <v>43542</v>
      </c>
      <c r="S67" s="143" t="s">
        <v>200</v>
      </c>
    </row>
    <row r="68" spans="1:19" x14ac:dyDescent="0.3">
      <c r="A68" s="55" t="s">
        <v>40</v>
      </c>
      <c r="B68" s="55" t="s">
        <v>190</v>
      </c>
      <c r="C68" s="55" t="s">
        <v>191</v>
      </c>
      <c r="D68" s="138" t="s">
        <v>192</v>
      </c>
      <c r="E68" s="55" t="s">
        <v>193</v>
      </c>
      <c r="F68" s="55" t="s">
        <v>194</v>
      </c>
      <c r="G68" s="55" t="s">
        <v>397</v>
      </c>
      <c r="H68" s="55" t="s">
        <v>398</v>
      </c>
      <c r="I68" s="139" t="s">
        <v>51</v>
      </c>
      <c r="J68" s="140" t="s">
        <v>399</v>
      </c>
      <c r="K68" s="55">
        <v>20038918</v>
      </c>
      <c r="L68" s="55" t="s">
        <v>198</v>
      </c>
      <c r="M68" s="141" t="str">
        <f t="shared" si="2"/>
        <v>CC-INT_E</v>
      </c>
      <c r="N68" s="142" t="str">
        <f>LOOKUP(M68,'[2]Doc Set'!E:E,'[2]Doc Set'!F:F)</f>
        <v>_</v>
      </c>
      <c r="O68" s="141" t="s">
        <v>306</v>
      </c>
      <c r="P68" s="142">
        <f>+LOOKUP(O68,'[2]Doc Set'!E:E,'[2]Doc Set'!G:G)</f>
        <v>43489</v>
      </c>
      <c r="Q68" s="55" t="str">
        <f t="shared" si="3"/>
        <v>CC-INT_E</v>
      </c>
      <c r="R68" s="142">
        <f>+LOOKUP(Q68,'[2]Doc Set'!E:E,'[2]Doc Set'!H:H)</f>
        <v>43542</v>
      </c>
      <c r="S68" s="143" t="s">
        <v>200</v>
      </c>
    </row>
    <row r="69" spans="1:19" x14ac:dyDescent="0.3">
      <c r="A69" s="55" t="s">
        <v>40</v>
      </c>
      <c r="B69" s="55" t="s">
        <v>190</v>
      </c>
      <c r="C69" s="55" t="s">
        <v>191</v>
      </c>
      <c r="D69" s="138" t="s">
        <v>192</v>
      </c>
      <c r="E69" s="55" t="s">
        <v>193</v>
      </c>
      <c r="F69" s="55" t="s">
        <v>194</v>
      </c>
      <c r="G69" s="55" t="s">
        <v>400</v>
      </c>
      <c r="H69" s="55" t="s">
        <v>401</v>
      </c>
      <c r="I69" s="139" t="s">
        <v>51</v>
      </c>
      <c r="J69" s="140" t="s">
        <v>402</v>
      </c>
      <c r="K69" s="55">
        <v>20038918</v>
      </c>
      <c r="L69" s="55" t="s">
        <v>198</v>
      </c>
      <c r="M69" s="141" t="str">
        <f t="shared" si="2"/>
        <v>CC-INT_E</v>
      </c>
      <c r="N69" s="142" t="str">
        <f>LOOKUP(M69,'[2]Doc Set'!E:E,'[2]Doc Set'!F:F)</f>
        <v>_</v>
      </c>
      <c r="O69" s="141" t="s">
        <v>306</v>
      </c>
      <c r="P69" s="142">
        <f>+LOOKUP(O69,'[2]Doc Set'!E:E,'[2]Doc Set'!G:G)</f>
        <v>43489</v>
      </c>
      <c r="Q69" s="55" t="str">
        <f t="shared" si="3"/>
        <v>CC-INT_E</v>
      </c>
      <c r="R69" s="142">
        <f>+LOOKUP(Q69,'[2]Doc Set'!E:E,'[2]Doc Set'!H:H)</f>
        <v>43542</v>
      </c>
      <c r="S69" s="143" t="s">
        <v>200</v>
      </c>
    </row>
    <row r="70" spans="1:19" x14ac:dyDescent="0.3">
      <c r="A70" s="55" t="s">
        <v>40</v>
      </c>
      <c r="B70" s="55" t="s">
        <v>190</v>
      </c>
      <c r="C70" s="55" t="s">
        <v>191</v>
      </c>
      <c r="D70" s="138" t="s">
        <v>192</v>
      </c>
      <c r="E70" s="55" t="s">
        <v>193</v>
      </c>
      <c r="F70" s="55" t="s">
        <v>194</v>
      </c>
      <c r="G70" s="55" t="s">
        <v>403</v>
      </c>
      <c r="H70" s="55" t="s">
        <v>404</v>
      </c>
      <c r="I70" s="139" t="s">
        <v>51</v>
      </c>
      <c r="J70" s="140" t="s">
        <v>405</v>
      </c>
      <c r="K70" s="55">
        <v>20038918</v>
      </c>
      <c r="L70" s="55" t="s">
        <v>198</v>
      </c>
      <c r="M70" s="141" t="str">
        <f t="shared" si="2"/>
        <v>CC-INT_E</v>
      </c>
      <c r="N70" s="142" t="str">
        <f>LOOKUP(M70,'[2]Doc Set'!E:E,'[2]Doc Set'!F:F)</f>
        <v>_</v>
      </c>
      <c r="O70" s="141" t="s">
        <v>306</v>
      </c>
      <c r="P70" s="142">
        <f>+LOOKUP(O70,'[2]Doc Set'!E:E,'[2]Doc Set'!G:G)</f>
        <v>43489</v>
      </c>
      <c r="Q70" s="55" t="str">
        <f t="shared" si="3"/>
        <v>CC-INT_E</v>
      </c>
      <c r="R70" s="142">
        <f>+LOOKUP(Q70,'[2]Doc Set'!E:E,'[2]Doc Set'!H:H)</f>
        <v>43542</v>
      </c>
      <c r="S70" s="143" t="s">
        <v>200</v>
      </c>
    </row>
    <row r="71" spans="1:19" x14ac:dyDescent="0.3">
      <c r="A71" s="55" t="s">
        <v>40</v>
      </c>
      <c r="B71" s="55" t="s">
        <v>190</v>
      </c>
      <c r="C71" s="55" t="s">
        <v>191</v>
      </c>
      <c r="D71" s="138" t="s">
        <v>192</v>
      </c>
      <c r="E71" s="55" t="s">
        <v>193</v>
      </c>
      <c r="F71" s="55" t="s">
        <v>194</v>
      </c>
      <c r="G71" s="55" t="s">
        <v>406</v>
      </c>
      <c r="H71" s="55" t="s">
        <v>407</v>
      </c>
      <c r="I71" s="139" t="s">
        <v>51</v>
      </c>
      <c r="J71" s="140" t="s">
        <v>408</v>
      </c>
      <c r="K71" s="55">
        <v>20038918</v>
      </c>
      <c r="L71" s="55" t="s">
        <v>198</v>
      </c>
      <c r="M71" s="141" t="str">
        <f t="shared" si="2"/>
        <v>CC-INT_E</v>
      </c>
      <c r="N71" s="142" t="str">
        <f>LOOKUP(M71,'[2]Doc Set'!E:E,'[2]Doc Set'!F:F)</f>
        <v>_</v>
      </c>
      <c r="O71" s="141" t="s">
        <v>306</v>
      </c>
      <c r="P71" s="142">
        <f>+LOOKUP(O71,'[2]Doc Set'!E:E,'[2]Doc Set'!G:G)</f>
        <v>43489</v>
      </c>
      <c r="Q71" s="55" t="str">
        <f t="shared" si="3"/>
        <v>CC-INT_E</v>
      </c>
      <c r="R71" s="142">
        <f>+LOOKUP(Q71,'[2]Doc Set'!E:E,'[2]Doc Set'!H:H)</f>
        <v>43542</v>
      </c>
      <c r="S71" s="143" t="s">
        <v>200</v>
      </c>
    </row>
    <row r="72" spans="1:19" x14ac:dyDescent="0.3">
      <c r="A72" s="55" t="s">
        <v>40</v>
      </c>
      <c r="B72" s="55" t="s">
        <v>190</v>
      </c>
      <c r="C72" s="55" t="s">
        <v>191</v>
      </c>
      <c r="D72" s="138" t="s">
        <v>192</v>
      </c>
      <c r="E72" s="55" t="s">
        <v>193</v>
      </c>
      <c r="F72" s="55" t="s">
        <v>194</v>
      </c>
      <c r="G72" s="55" t="s">
        <v>409</v>
      </c>
      <c r="H72" s="55" t="s">
        <v>410</v>
      </c>
      <c r="I72" s="139" t="s">
        <v>51</v>
      </c>
      <c r="J72" s="140" t="s">
        <v>411</v>
      </c>
      <c r="K72" s="55">
        <v>20038918</v>
      </c>
      <c r="L72" s="55" t="s">
        <v>198</v>
      </c>
      <c r="M72" s="141" t="str">
        <f t="shared" si="2"/>
        <v>CC-INT_E</v>
      </c>
      <c r="N72" s="142" t="str">
        <f>LOOKUP(M72,'[2]Doc Set'!E:E,'[2]Doc Set'!F:F)</f>
        <v>_</v>
      </c>
      <c r="O72" s="141" t="s">
        <v>306</v>
      </c>
      <c r="P72" s="142">
        <f>+LOOKUP(O72,'[2]Doc Set'!E:E,'[2]Doc Set'!G:G)</f>
        <v>43489</v>
      </c>
      <c r="Q72" s="55" t="str">
        <f t="shared" si="3"/>
        <v>CC-INT_E</v>
      </c>
      <c r="R72" s="142">
        <f>+LOOKUP(Q72,'[2]Doc Set'!E:E,'[2]Doc Set'!H:H)</f>
        <v>43542</v>
      </c>
      <c r="S72" s="143" t="s">
        <v>200</v>
      </c>
    </row>
    <row r="73" spans="1:19" x14ac:dyDescent="0.3">
      <c r="A73" s="55" t="s">
        <v>40</v>
      </c>
      <c r="B73" s="55" t="s">
        <v>190</v>
      </c>
      <c r="C73" s="55" t="s">
        <v>191</v>
      </c>
      <c r="D73" s="138" t="s">
        <v>192</v>
      </c>
      <c r="E73" s="55" t="s">
        <v>193</v>
      </c>
      <c r="F73" s="55" t="s">
        <v>194</v>
      </c>
      <c r="G73" s="55" t="s">
        <v>412</v>
      </c>
      <c r="H73" s="55" t="s">
        <v>413</v>
      </c>
      <c r="I73" s="139" t="s">
        <v>51</v>
      </c>
      <c r="J73" s="140" t="s">
        <v>414</v>
      </c>
      <c r="K73" s="55">
        <v>20038918</v>
      </c>
      <c r="L73" s="55" t="s">
        <v>198</v>
      </c>
      <c r="M73" s="141" t="str">
        <f t="shared" si="2"/>
        <v>CC-INT_E</v>
      </c>
      <c r="N73" s="142" t="str">
        <f>LOOKUP(M73,'[2]Doc Set'!E:E,'[2]Doc Set'!F:F)</f>
        <v>_</v>
      </c>
      <c r="O73" s="141" t="s">
        <v>306</v>
      </c>
      <c r="P73" s="142">
        <f>+LOOKUP(O73,'[2]Doc Set'!E:E,'[2]Doc Set'!G:G)</f>
        <v>43489</v>
      </c>
      <c r="Q73" s="55" t="str">
        <f t="shared" si="3"/>
        <v>CC-INT_E</v>
      </c>
      <c r="R73" s="142">
        <f>+LOOKUP(Q73,'[2]Doc Set'!E:E,'[2]Doc Set'!H:H)</f>
        <v>43542</v>
      </c>
      <c r="S73" s="143" t="s">
        <v>200</v>
      </c>
    </row>
    <row r="74" spans="1:19" x14ac:dyDescent="0.3">
      <c r="A74" s="55" t="s">
        <v>40</v>
      </c>
      <c r="B74" s="55" t="s">
        <v>190</v>
      </c>
      <c r="C74" s="55" t="s">
        <v>191</v>
      </c>
      <c r="D74" s="138" t="s">
        <v>192</v>
      </c>
      <c r="E74" s="55" t="s">
        <v>193</v>
      </c>
      <c r="F74" s="55" t="s">
        <v>194</v>
      </c>
      <c r="G74" s="55" t="s">
        <v>415</v>
      </c>
      <c r="H74" s="55" t="s">
        <v>416</v>
      </c>
      <c r="I74" s="139" t="s">
        <v>51</v>
      </c>
      <c r="J74" s="140" t="s">
        <v>417</v>
      </c>
      <c r="K74" s="55">
        <v>20038918</v>
      </c>
      <c r="L74" s="55" t="s">
        <v>198</v>
      </c>
      <c r="M74" s="141" t="str">
        <f t="shared" si="2"/>
        <v>CC-INT_E</v>
      </c>
      <c r="N74" s="142" t="str">
        <f>LOOKUP(M74,'[2]Doc Set'!E:E,'[2]Doc Set'!F:F)</f>
        <v>_</v>
      </c>
      <c r="O74" s="141" t="s">
        <v>306</v>
      </c>
      <c r="P74" s="142">
        <f>+LOOKUP(O74,'[2]Doc Set'!E:E,'[2]Doc Set'!G:G)</f>
        <v>43489</v>
      </c>
      <c r="Q74" s="55" t="str">
        <f t="shared" si="3"/>
        <v>CC-INT_E</v>
      </c>
      <c r="R74" s="142">
        <f>+LOOKUP(Q74,'[2]Doc Set'!E:E,'[2]Doc Set'!H:H)</f>
        <v>43542</v>
      </c>
      <c r="S74" s="143" t="s">
        <v>200</v>
      </c>
    </row>
    <row r="75" spans="1:19" x14ac:dyDescent="0.3">
      <c r="A75" s="55" t="s">
        <v>40</v>
      </c>
      <c r="B75" s="55" t="s">
        <v>190</v>
      </c>
      <c r="C75" s="55" t="s">
        <v>191</v>
      </c>
      <c r="D75" s="138" t="s">
        <v>192</v>
      </c>
      <c r="E75" s="55" t="s">
        <v>193</v>
      </c>
      <c r="F75" s="55" t="s">
        <v>194</v>
      </c>
      <c r="G75" s="55" t="s">
        <v>418</v>
      </c>
      <c r="H75" s="55" t="s">
        <v>419</v>
      </c>
      <c r="I75" s="139" t="s">
        <v>51</v>
      </c>
      <c r="J75" s="140" t="s">
        <v>420</v>
      </c>
      <c r="K75" s="55">
        <v>20038918</v>
      </c>
      <c r="L75" s="55" t="s">
        <v>198</v>
      </c>
      <c r="M75" s="141" t="str">
        <f t="shared" si="2"/>
        <v>CC-INT_E</v>
      </c>
      <c r="N75" s="142" t="str">
        <f>LOOKUP(M75,'[2]Doc Set'!E:E,'[2]Doc Set'!F:F)</f>
        <v>_</v>
      </c>
      <c r="O75" s="141" t="s">
        <v>306</v>
      </c>
      <c r="P75" s="142">
        <f>+LOOKUP(O75,'[2]Doc Set'!E:E,'[2]Doc Set'!G:G)</f>
        <v>43489</v>
      </c>
      <c r="Q75" s="55" t="str">
        <f t="shared" si="3"/>
        <v>CC-INT_E</v>
      </c>
      <c r="R75" s="142">
        <f>+LOOKUP(Q75,'[2]Doc Set'!E:E,'[2]Doc Set'!H:H)</f>
        <v>43542</v>
      </c>
      <c r="S75" s="143" t="s">
        <v>200</v>
      </c>
    </row>
    <row r="76" spans="1:19" x14ac:dyDescent="0.3">
      <c r="A76" s="55" t="s">
        <v>40</v>
      </c>
      <c r="B76" s="55" t="s">
        <v>190</v>
      </c>
      <c r="C76" s="55" t="s">
        <v>191</v>
      </c>
      <c r="D76" s="138" t="s">
        <v>192</v>
      </c>
      <c r="E76" s="55" t="s">
        <v>193</v>
      </c>
      <c r="F76" s="55" t="s">
        <v>194</v>
      </c>
      <c r="G76" s="55" t="s">
        <v>421</v>
      </c>
      <c r="H76" s="55" t="s">
        <v>422</v>
      </c>
      <c r="I76" s="139" t="s">
        <v>51</v>
      </c>
      <c r="J76" s="140" t="s">
        <v>423</v>
      </c>
      <c r="K76" s="55">
        <v>20038918</v>
      </c>
      <c r="L76" s="55" t="s">
        <v>198</v>
      </c>
      <c r="M76" s="141" t="str">
        <f t="shared" si="2"/>
        <v>CC-INT_E</v>
      </c>
      <c r="N76" s="142" t="str">
        <f>LOOKUP(M76,'[2]Doc Set'!E:E,'[2]Doc Set'!F:F)</f>
        <v>_</v>
      </c>
      <c r="O76" s="141" t="s">
        <v>306</v>
      </c>
      <c r="P76" s="142">
        <f>+LOOKUP(O76,'[2]Doc Set'!E:E,'[2]Doc Set'!G:G)</f>
        <v>43489</v>
      </c>
      <c r="Q76" s="55" t="str">
        <f t="shared" si="3"/>
        <v>CC-INT_E</v>
      </c>
      <c r="R76" s="142">
        <f>+LOOKUP(Q76,'[2]Doc Set'!E:E,'[2]Doc Set'!H:H)</f>
        <v>43542</v>
      </c>
      <c r="S76" s="143" t="s">
        <v>200</v>
      </c>
    </row>
    <row r="77" spans="1:19" x14ac:dyDescent="0.3">
      <c r="A77" s="55" t="s">
        <v>40</v>
      </c>
      <c r="B77" s="55" t="s">
        <v>190</v>
      </c>
      <c r="C77" s="55" t="s">
        <v>191</v>
      </c>
      <c r="D77" s="138" t="s">
        <v>192</v>
      </c>
      <c r="E77" s="55" t="s">
        <v>193</v>
      </c>
      <c r="F77" s="55" t="s">
        <v>194</v>
      </c>
      <c r="G77" s="55" t="s">
        <v>424</v>
      </c>
      <c r="H77" s="55" t="s">
        <v>425</v>
      </c>
      <c r="I77" s="139" t="s">
        <v>51</v>
      </c>
      <c r="J77" s="140" t="s">
        <v>426</v>
      </c>
      <c r="K77" s="55">
        <v>20038918</v>
      </c>
      <c r="L77" s="55" t="s">
        <v>198</v>
      </c>
      <c r="M77" s="141" t="str">
        <f t="shared" si="2"/>
        <v>CC-INT_E</v>
      </c>
      <c r="N77" s="142" t="str">
        <f>LOOKUP(M77,'[2]Doc Set'!E:E,'[2]Doc Set'!F:F)</f>
        <v>_</v>
      </c>
      <c r="O77" s="141" t="s">
        <v>306</v>
      </c>
      <c r="P77" s="142">
        <f>+LOOKUP(O77,'[2]Doc Set'!E:E,'[2]Doc Set'!G:G)</f>
        <v>43489</v>
      </c>
      <c r="Q77" s="55" t="str">
        <f t="shared" si="3"/>
        <v>CC-INT_E</v>
      </c>
      <c r="R77" s="142">
        <f>+LOOKUP(Q77,'[2]Doc Set'!E:E,'[2]Doc Set'!H:H)</f>
        <v>43542</v>
      </c>
      <c r="S77" s="143" t="s">
        <v>200</v>
      </c>
    </row>
    <row r="78" spans="1:19" x14ac:dyDescent="0.3">
      <c r="A78" s="55" t="s">
        <v>40</v>
      </c>
      <c r="B78" s="55" t="s">
        <v>190</v>
      </c>
      <c r="C78" s="55" t="s">
        <v>191</v>
      </c>
      <c r="D78" s="138" t="s">
        <v>192</v>
      </c>
      <c r="E78" s="55" t="s">
        <v>193</v>
      </c>
      <c r="F78" s="55" t="s">
        <v>194</v>
      </c>
      <c r="G78" s="55" t="s">
        <v>427</v>
      </c>
      <c r="H78" s="55" t="s">
        <v>428</v>
      </c>
      <c r="I78" s="139" t="s">
        <v>51</v>
      </c>
      <c r="J78" s="140" t="s">
        <v>429</v>
      </c>
      <c r="K78" s="55">
        <v>20038918</v>
      </c>
      <c r="L78" s="55" t="s">
        <v>198</v>
      </c>
      <c r="M78" s="141" t="str">
        <f t="shared" si="2"/>
        <v>CC-INT_E</v>
      </c>
      <c r="N78" s="142" t="str">
        <f>LOOKUP(M78,'[2]Doc Set'!E:E,'[2]Doc Set'!F:F)</f>
        <v>_</v>
      </c>
      <c r="O78" s="141" t="s">
        <v>306</v>
      </c>
      <c r="P78" s="142">
        <f>+LOOKUP(O78,'[2]Doc Set'!E:E,'[2]Doc Set'!G:G)</f>
        <v>43489</v>
      </c>
      <c r="Q78" s="55" t="str">
        <f t="shared" si="3"/>
        <v>CC-INT_E</v>
      </c>
      <c r="R78" s="142">
        <f>+LOOKUP(Q78,'[2]Doc Set'!E:E,'[2]Doc Set'!H:H)</f>
        <v>43542</v>
      </c>
      <c r="S78" s="143" t="s">
        <v>200</v>
      </c>
    </row>
    <row r="79" spans="1:19" x14ac:dyDescent="0.3">
      <c r="A79" s="55" t="s">
        <v>40</v>
      </c>
      <c r="B79" s="55" t="s">
        <v>190</v>
      </c>
      <c r="C79" s="55" t="s">
        <v>191</v>
      </c>
      <c r="D79" s="138" t="s">
        <v>192</v>
      </c>
      <c r="E79" s="55" t="s">
        <v>193</v>
      </c>
      <c r="F79" s="55" t="s">
        <v>194</v>
      </c>
      <c r="G79" s="55" t="s">
        <v>430</v>
      </c>
      <c r="H79" s="55" t="s">
        <v>431</v>
      </c>
      <c r="I79" s="139" t="s">
        <v>51</v>
      </c>
      <c r="J79" s="140" t="s">
        <v>432</v>
      </c>
      <c r="K79" s="55">
        <v>20038918</v>
      </c>
      <c r="L79" s="55" t="s">
        <v>198</v>
      </c>
      <c r="M79" s="141" t="str">
        <f t="shared" si="2"/>
        <v>CC-INT_E</v>
      </c>
      <c r="N79" s="142" t="str">
        <f>LOOKUP(M79,'[2]Doc Set'!E:E,'[2]Doc Set'!F:F)</f>
        <v>_</v>
      </c>
      <c r="O79" s="141" t="s">
        <v>306</v>
      </c>
      <c r="P79" s="142">
        <f>+LOOKUP(O79,'[2]Doc Set'!E:E,'[2]Doc Set'!G:G)</f>
        <v>43489</v>
      </c>
      <c r="Q79" s="55" t="str">
        <f t="shared" si="3"/>
        <v>CC-INT_E</v>
      </c>
      <c r="R79" s="142">
        <f>+LOOKUP(Q79,'[2]Doc Set'!E:E,'[2]Doc Set'!H:H)</f>
        <v>43542</v>
      </c>
      <c r="S79" s="143" t="s">
        <v>200</v>
      </c>
    </row>
    <row r="80" spans="1:19" x14ac:dyDescent="0.3">
      <c r="A80" s="55" t="s">
        <v>40</v>
      </c>
      <c r="B80" s="55" t="s">
        <v>190</v>
      </c>
      <c r="C80" s="55" t="s">
        <v>191</v>
      </c>
      <c r="D80" s="138" t="s">
        <v>192</v>
      </c>
      <c r="E80" s="55" t="s">
        <v>193</v>
      </c>
      <c r="F80" s="55" t="s">
        <v>194</v>
      </c>
      <c r="G80" s="55" t="s">
        <v>433</v>
      </c>
      <c r="H80" s="55" t="s">
        <v>434</v>
      </c>
      <c r="I80" s="139" t="s">
        <v>51</v>
      </c>
      <c r="J80" s="140" t="s">
        <v>435</v>
      </c>
      <c r="K80" s="55">
        <v>20038918</v>
      </c>
      <c r="L80" s="55" t="s">
        <v>198</v>
      </c>
      <c r="M80" s="141" t="str">
        <f t="shared" si="2"/>
        <v>CC-INT_E</v>
      </c>
      <c r="N80" s="142" t="str">
        <f>LOOKUP(M80,'[2]Doc Set'!E:E,'[2]Doc Set'!F:F)</f>
        <v>_</v>
      </c>
      <c r="O80" s="141" t="s">
        <v>306</v>
      </c>
      <c r="P80" s="142">
        <f>+LOOKUP(O80,'[2]Doc Set'!E:E,'[2]Doc Set'!G:G)</f>
        <v>43489</v>
      </c>
      <c r="Q80" s="55" t="str">
        <f t="shared" si="3"/>
        <v>CC-INT_E</v>
      </c>
      <c r="R80" s="142">
        <f>+LOOKUP(Q80,'[2]Doc Set'!E:E,'[2]Doc Set'!H:H)</f>
        <v>43542</v>
      </c>
      <c r="S80" s="143" t="s">
        <v>200</v>
      </c>
    </row>
    <row r="81" spans="1:19" x14ac:dyDescent="0.3">
      <c r="A81" s="55" t="s">
        <v>40</v>
      </c>
      <c r="B81" s="55" t="s">
        <v>190</v>
      </c>
      <c r="C81" s="55" t="s">
        <v>191</v>
      </c>
      <c r="D81" s="138" t="s">
        <v>192</v>
      </c>
      <c r="E81" s="55" t="s">
        <v>193</v>
      </c>
      <c r="F81" s="55" t="s">
        <v>194</v>
      </c>
      <c r="G81" s="55" t="s">
        <v>436</v>
      </c>
      <c r="H81" s="55" t="s">
        <v>437</v>
      </c>
      <c r="I81" s="139" t="s">
        <v>51</v>
      </c>
      <c r="J81" s="140" t="s">
        <v>438</v>
      </c>
      <c r="K81" s="55">
        <v>20038918</v>
      </c>
      <c r="L81" s="55" t="s">
        <v>198</v>
      </c>
      <c r="M81" s="141" t="str">
        <f t="shared" si="2"/>
        <v>CC-INT_E</v>
      </c>
      <c r="N81" s="142" t="str">
        <f>LOOKUP(M81,'[2]Doc Set'!E:E,'[2]Doc Set'!F:F)</f>
        <v>_</v>
      </c>
      <c r="O81" s="141" t="s">
        <v>306</v>
      </c>
      <c r="P81" s="142">
        <f>+LOOKUP(O81,'[2]Doc Set'!E:E,'[2]Doc Set'!G:G)</f>
        <v>43489</v>
      </c>
      <c r="Q81" s="55" t="str">
        <f t="shared" si="3"/>
        <v>CC-INT_E</v>
      </c>
      <c r="R81" s="142">
        <f>+LOOKUP(Q81,'[2]Doc Set'!E:E,'[2]Doc Set'!H:H)</f>
        <v>43542</v>
      </c>
      <c r="S81" s="143" t="s">
        <v>200</v>
      </c>
    </row>
    <row r="82" spans="1:19" x14ac:dyDescent="0.3">
      <c r="A82" s="55" t="s">
        <v>40</v>
      </c>
      <c r="B82" s="55" t="s">
        <v>190</v>
      </c>
      <c r="C82" s="55" t="s">
        <v>191</v>
      </c>
      <c r="D82" s="138" t="s">
        <v>192</v>
      </c>
      <c r="E82" s="55" t="s">
        <v>193</v>
      </c>
      <c r="F82" s="55" t="s">
        <v>194</v>
      </c>
      <c r="G82" s="55" t="s">
        <v>439</v>
      </c>
      <c r="H82" s="55" t="s">
        <v>440</v>
      </c>
      <c r="I82" s="139" t="s">
        <v>51</v>
      </c>
      <c r="J82" s="140" t="s">
        <v>441</v>
      </c>
      <c r="K82" s="55">
        <v>20038918</v>
      </c>
      <c r="L82" s="55" t="s">
        <v>198</v>
      </c>
      <c r="M82" s="141" t="str">
        <f t="shared" si="2"/>
        <v>CC-INT_E</v>
      </c>
      <c r="N82" s="142" t="str">
        <f>LOOKUP(M82,'[2]Doc Set'!E:E,'[2]Doc Set'!F:F)</f>
        <v>_</v>
      </c>
      <c r="O82" s="141" t="s">
        <v>306</v>
      </c>
      <c r="P82" s="142">
        <f>+LOOKUP(O82,'[2]Doc Set'!E:E,'[2]Doc Set'!G:G)</f>
        <v>43489</v>
      </c>
      <c r="Q82" s="55" t="str">
        <f t="shared" si="3"/>
        <v>CC-INT_E</v>
      </c>
      <c r="R82" s="142">
        <f>+LOOKUP(Q82,'[2]Doc Set'!E:E,'[2]Doc Set'!H:H)</f>
        <v>43542</v>
      </c>
      <c r="S82" s="143" t="s">
        <v>200</v>
      </c>
    </row>
    <row r="83" spans="1:19" x14ac:dyDescent="0.3">
      <c r="A83" s="55" t="s">
        <v>40</v>
      </c>
      <c r="B83" s="55" t="s">
        <v>190</v>
      </c>
      <c r="C83" s="55" t="s">
        <v>191</v>
      </c>
      <c r="D83" s="138" t="s">
        <v>192</v>
      </c>
      <c r="E83" s="55" t="s">
        <v>193</v>
      </c>
      <c r="F83" s="55" t="s">
        <v>194</v>
      </c>
      <c r="G83" s="55" t="s">
        <v>442</v>
      </c>
      <c r="H83" s="55" t="s">
        <v>443</v>
      </c>
      <c r="I83" s="139" t="s">
        <v>51</v>
      </c>
      <c r="J83" s="140" t="s">
        <v>444</v>
      </c>
      <c r="K83" s="55">
        <v>20038918</v>
      </c>
      <c r="L83" s="55" t="s">
        <v>198</v>
      </c>
      <c r="M83" s="141" t="str">
        <f t="shared" si="2"/>
        <v>CC-INT_E</v>
      </c>
      <c r="N83" s="142" t="str">
        <f>LOOKUP(M83,'[2]Doc Set'!E:E,'[2]Doc Set'!F:F)</f>
        <v>_</v>
      </c>
      <c r="O83" s="141" t="s">
        <v>306</v>
      </c>
      <c r="P83" s="142">
        <f>+LOOKUP(O83,'[2]Doc Set'!E:E,'[2]Doc Set'!G:G)</f>
        <v>43489</v>
      </c>
      <c r="Q83" s="55" t="str">
        <f t="shared" si="3"/>
        <v>CC-INT_E</v>
      </c>
      <c r="R83" s="142">
        <f>+LOOKUP(Q83,'[2]Doc Set'!E:E,'[2]Doc Set'!H:H)</f>
        <v>43542</v>
      </c>
      <c r="S83" s="143" t="s">
        <v>200</v>
      </c>
    </row>
    <row r="84" spans="1:19" x14ac:dyDescent="0.3">
      <c r="A84" s="55" t="s">
        <v>40</v>
      </c>
      <c r="B84" s="55" t="s">
        <v>190</v>
      </c>
      <c r="C84" s="55" t="s">
        <v>191</v>
      </c>
      <c r="D84" s="138" t="s">
        <v>192</v>
      </c>
      <c r="E84" s="55" t="s">
        <v>193</v>
      </c>
      <c r="F84" s="55" t="s">
        <v>194</v>
      </c>
      <c r="G84" s="55" t="s">
        <v>445</v>
      </c>
      <c r="H84" s="55" t="s">
        <v>446</v>
      </c>
      <c r="I84" s="139" t="s">
        <v>51</v>
      </c>
      <c r="J84" s="140" t="s">
        <v>447</v>
      </c>
      <c r="K84" s="55">
        <v>20038918</v>
      </c>
      <c r="L84" s="55" t="s">
        <v>198</v>
      </c>
      <c r="M84" s="141" t="str">
        <f t="shared" si="2"/>
        <v>CC-INT_E</v>
      </c>
      <c r="N84" s="142" t="str">
        <f>LOOKUP(M84,'[2]Doc Set'!E:E,'[2]Doc Set'!F:F)</f>
        <v>_</v>
      </c>
      <c r="O84" s="141" t="s">
        <v>306</v>
      </c>
      <c r="P84" s="142">
        <f>+LOOKUP(O84,'[2]Doc Set'!E:E,'[2]Doc Set'!G:G)</f>
        <v>43489</v>
      </c>
      <c r="Q84" s="55" t="str">
        <f t="shared" si="3"/>
        <v>CC-INT_E</v>
      </c>
      <c r="R84" s="142">
        <f>+LOOKUP(Q84,'[2]Doc Set'!E:E,'[2]Doc Set'!H:H)</f>
        <v>43542</v>
      </c>
      <c r="S84" s="143" t="s">
        <v>200</v>
      </c>
    </row>
    <row r="85" spans="1:19" ht="28.8" x14ac:dyDescent="0.3">
      <c r="A85" s="55" t="s">
        <v>40</v>
      </c>
      <c r="B85" s="55" t="s">
        <v>190</v>
      </c>
      <c r="C85" s="55" t="s">
        <v>191</v>
      </c>
      <c r="D85" s="138" t="s">
        <v>192</v>
      </c>
      <c r="E85" s="55" t="s">
        <v>193</v>
      </c>
      <c r="F85" s="55" t="s">
        <v>194</v>
      </c>
      <c r="G85" s="55" t="s">
        <v>448</v>
      </c>
      <c r="H85" s="55" t="s">
        <v>449</v>
      </c>
      <c r="I85" s="139" t="s">
        <v>51</v>
      </c>
      <c r="J85" s="140" t="s">
        <v>450</v>
      </c>
      <c r="K85" s="55">
        <v>20038918</v>
      </c>
      <c r="L85" s="55" t="s">
        <v>198</v>
      </c>
      <c r="M85" s="141" t="str">
        <f t="shared" si="2"/>
        <v>CC-INT_E</v>
      </c>
      <c r="N85" s="142" t="str">
        <f>LOOKUP(M85,'[2]Doc Set'!E:E,'[2]Doc Set'!F:F)</f>
        <v>_</v>
      </c>
      <c r="O85" s="141" t="s">
        <v>306</v>
      </c>
      <c r="P85" s="142">
        <f>+LOOKUP(O85,'[2]Doc Set'!E:E,'[2]Doc Set'!G:G)</f>
        <v>43489</v>
      </c>
      <c r="Q85" s="55" t="str">
        <f t="shared" si="3"/>
        <v>CC-INT_E</v>
      </c>
      <c r="R85" s="142">
        <f>+LOOKUP(Q85,'[2]Doc Set'!E:E,'[2]Doc Set'!H:H)</f>
        <v>43542</v>
      </c>
      <c r="S85" s="143" t="s">
        <v>200</v>
      </c>
    </row>
    <row r="86" spans="1:19" x14ac:dyDescent="0.3">
      <c r="A86" s="55" t="s">
        <v>40</v>
      </c>
      <c r="B86" s="55" t="s">
        <v>190</v>
      </c>
      <c r="C86" s="55" t="s">
        <v>191</v>
      </c>
      <c r="D86" s="138" t="s">
        <v>192</v>
      </c>
      <c r="E86" s="55" t="s">
        <v>193</v>
      </c>
      <c r="F86" s="55" t="s">
        <v>451</v>
      </c>
      <c r="G86" s="55" t="s">
        <v>452</v>
      </c>
      <c r="H86" s="55" t="s">
        <v>453</v>
      </c>
      <c r="I86" s="139" t="s">
        <v>134</v>
      </c>
      <c r="J86" s="140" t="s">
        <v>454</v>
      </c>
      <c r="K86" s="55">
        <v>20038918</v>
      </c>
      <c r="L86" s="55" t="s">
        <v>198</v>
      </c>
      <c r="M86" s="141" t="str">
        <f t="shared" si="2"/>
        <v>CC-INT_D</v>
      </c>
      <c r="N86" s="142" t="str">
        <f>LOOKUP(M86,'[2]Doc Set'!E:E,'[2]Doc Set'!F:F)</f>
        <v>_</v>
      </c>
      <c r="O86" s="141" t="s">
        <v>199</v>
      </c>
      <c r="P86" s="142">
        <f>+LOOKUP(O86,'[2]Doc Set'!E:E,'[2]Doc Set'!G:G)</f>
        <v>43437</v>
      </c>
      <c r="Q86" s="55" t="str">
        <f t="shared" si="3"/>
        <v>CC-INT_D</v>
      </c>
      <c r="R86" s="142">
        <f>+LOOKUP(Q86,'[2]Doc Set'!E:E,'[2]Doc Set'!H:H)</f>
        <v>43514</v>
      </c>
      <c r="S86" s="143" t="s">
        <v>200</v>
      </c>
    </row>
    <row r="87" spans="1:19" x14ac:dyDescent="0.3">
      <c r="A87" s="55" t="s">
        <v>40</v>
      </c>
      <c r="B87" s="55" t="s">
        <v>190</v>
      </c>
      <c r="C87" s="55" t="s">
        <v>191</v>
      </c>
      <c r="D87" s="138" t="s">
        <v>192</v>
      </c>
      <c r="E87" s="55" t="s">
        <v>193</v>
      </c>
      <c r="F87" s="55" t="s">
        <v>451</v>
      </c>
      <c r="G87" s="55" t="s">
        <v>455</v>
      </c>
      <c r="H87" s="55" t="s">
        <v>456</v>
      </c>
      <c r="I87" s="139" t="s">
        <v>134</v>
      </c>
      <c r="J87" s="140" t="s">
        <v>457</v>
      </c>
      <c r="K87" s="55">
        <v>20038918</v>
      </c>
      <c r="L87" s="55" t="s">
        <v>198</v>
      </c>
      <c r="M87" s="141" t="str">
        <f t="shared" si="2"/>
        <v>CC-INT_D</v>
      </c>
      <c r="N87" s="142" t="str">
        <f>LOOKUP(M87,'[2]Doc Set'!E:E,'[2]Doc Set'!F:F)</f>
        <v>_</v>
      </c>
      <c r="O87" s="141" t="s">
        <v>199</v>
      </c>
      <c r="P87" s="142">
        <f>+LOOKUP(O87,'[2]Doc Set'!E:E,'[2]Doc Set'!G:G)</f>
        <v>43437</v>
      </c>
      <c r="Q87" s="55" t="str">
        <f t="shared" si="3"/>
        <v>CC-INT_D</v>
      </c>
      <c r="R87" s="142">
        <f>+LOOKUP(Q87,'[2]Doc Set'!E:E,'[2]Doc Set'!H:H)</f>
        <v>43514</v>
      </c>
      <c r="S87" s="143" t="s">
        <v>200</v>
      </c>
    </row>
    <row r="88" spans="1:19" x14ac:dyDescent="0.3">
      <c r="A88" s="55" t="s">
        <v>40</v>
      </c>
      <c r="B88" s="55" t="s">
        <v>190</v>
      </c>
      <c r="C88" s="55" t="s">
        <v>191</v>
      </c>
      <c r="D88" s="138" t="s">
        <v>192</v>
      </c>
      <c r="E88" s="55" t="s">
        <v>193</v>
      </c>
      <c r="F88" s="55" t="s">
        <v>451</v>
      </c>
      <c r="G88" s="55" t="s">
        <v>458</v>
      </c>
      <c r="H88" s="55" t="s">
        <v>459</v>
      </c>
      <c r="I88" s="139" t="s">
        <v>134</v>
      </c>
      <c r="J88" s="140" t="s">
        <v>460</v>
      </c>
      <c r="K88" s="55">
        <v>20038918</v>
      </c>
      <c r="L88" s="55" t="s">
        <v>198</v>
      </c>
      <c r="M88" s="141" t="str">
        <f t="shared" si="2"/>
        <v>CC-INT_D</v>
      </c>
      <c r="N88" s="142" t="str">
        <f>LOOKUP(M88,'[2]Doc Set'!E:E,'[2]Doc Set'!F:F)</f>
        <v>_</v>
      </c>
      <c r="O88" s="141" t="s">
        <v>199</v>
      </c>
      <c r="P88" s="142">
        <f>+LOOKUP(O88,'[2]Doc Set'!E:E,'[2]Doc Set'!G:G)</f>
        <v>43437</v>
      </c>
      <c r="Q88" s="55" t="str">
        <f t="shared" si="3"/>
        <v>CC-INT_D</v>
      </c>
      <c r="R88" s="142">
        <f>+LOOKUP(Q88,'[2]Doc Set'!E:E,'[2]Doc Set'!H:H)</f>
        <v>43514</v>
      </c>
      <c r="S88" s="143" t="s">
        <v>200</v>
      </c>
    </row>
    <row r="89" spans="1:19" x14ac:dyDescent="0.3">
      <c r="A89" s="55" t="s">
        <v>40</v>
      </c>
      <c r="B89" s="55" t="s">
        <v>190</v>
      </c>
      <c r="C89" s="55" t="s">
        <v>191</v>
      </c>
      <c r="D89" s="138" t="s">
        <v>192</v>
      </c>
      <c r="E89" s="55" t="s">
        <v>193</v>
      </c>
      <c r="F89" s="55" t="s">
        <v>451</v>
      </c>
      <c r="G89" s="55" t="s">
        <v>461</v>
      </c>
      <c r="H89" s="55" t="s">
        <v>462</v>
      </c>
      <c r="I89" s="139" t="s">
        <v>134</v>
      </c>
      <c r="J89" s="140" t="s">
        <v>463</v>
      </c>
      <c r="K89" s="55">
        <v>20038918</v>
      </c>
      <c r="L89" s="55" t="s">
        <v>198</v>
      </c>
      <c r="M89" s="141" t="str">
        <f t="shared" si="2"/>
        <v>CC-INT_D</v>
      </c>
      <c r="N89" s="142" t="str">
        <f>LOOKUP(M89,'[2]Doc Set'!E:E,'[2]Doc Set'!F:F)</f>
        <v>_</v>
      </c>
      <c r="O89" s="141" t="s">
        <v>199</v>
      </c>
      <c r="P89" s="142">
        <f>+LOOKUP(O89,'[2]Doc Set'!E:E,'[2]Doc Set'!G:G)</f>
        <v>43437</v>
      </c>
      <c r="Q89" s="55" t="str">
        <f t="shared" si="3"/>
        <v>CC-INT_D</v>
      </c>
      <c r="R89" s="142">
        <f>+LOOKUP(Q89,'[2]Doc Set'!E:E,'[2]Doc Set'!H:H)</f>
        <v>43514</v>
      </c>
      <c r="S89" s="143" t="s">
        <v>200</v>
      </c>
    </row>
    <row r="90" spans="1:19" x14ac:dyDescent="0.3">
      <c r="A90" s="55" t="s">
        <v>40</v>
      </c>
      <c r="B90" s="55" t="s">
        <v>190</v>
      </c>
      <c r="C90" s="55" t="s">
        <v>191</v>
      </c>
      <c r="D90" s="138" t="s">
        <v>192</v>
      </c>
      <c r="E90" s="55" t="s">
        <v>193</v>
      </c>
      <c r="F90" s="55" t="s">
        <v>451</v>
      </c>
      <c r="G90" s="55" t="s">
        <v>464</v>
      </c>
      <c r="H90" s="55" t="s">
        <v>465</v>
      </c>
      <c r="I90" s="139" t="s">
        <v>134</v>
      </c>
      <c r="J90" s="140" t="s">
        <v>466</v>
      </c>
      <c r="K90" s="55">
        <v>20038918</v>
      </c>
      <c r="L90" s="55" t="s">
        <v>198</v>
      </c>
      <c r="M90" s="141" t="str">
        <f t="shared" si="2"/>
        <v>CC-INT_D</v>
      </c>
      <c r="N90" s="142" t="str">
        <f>LOOKUP(M90,'[2]Doc Set'!E:E,'[2]Doc Set'!F:F)</f>
        <v>_</v>
      </c>
      <c r="O90" s="141" t="s">
        <v>199</v>
      </c>
      <c r="P90" s="142">
        <f>+LOOKUP(O90,'[2]Doc Set'!E:E,'[2]Doc Set'!G:G)</f>
        <v>43437</v>
      </c>
      <c r="Q90" s="55" t="str">
        <f t="shared" si="3"/>
        <v>CC-INT_D</v>
      </c>
      <c r="R90" s="142">
        <f>+LOOKUP(Q90,'[2]Doc Set'!E:E,'[2]Doc Set'!H:H)</f>
        <v>43514</v>
      </c>
      <c r="S90" s="143" t="s">
        <v>200</v>
      </c>
    </row>
    <row r="91" spans="1:19" x14ac:dyDescent="0.3">
      <c r="A91" s="55" t="s">
        <v>40</v>
      </c>
      <c r="B91" s="55" t="s">
        <v>190</v>
      </c>
      <c r="C91" s="55" t="s">
        <v>191</v>
      </c>
      <c r="D91" s="138" t="s">
        <v>192</v>
      </c>
      <c r="E91" s="55" t="s">
        <v>193</v>
      </c>
      <c r="F91" s="55" t="s">
        <v>451</v>
      </c>
      <c r="G91" s="55" t="s">
        <v>467</v>
      </c>
      <c r="H91" s="55" t="s">
        <v>468</v>
      </c>
      <c r="I91" s="139" t="s">
        <v>134</v>
      </c>
      <c r="J91" s="140" t="s">
        <v>469</v>
      </c>
      <c r="K91" s="55">
        <v>20038918</v>
      </c>
      <c r="L91" s="55" t="s">
        <v>198</v>
      </c>
      <c r="M91" s="141" t="str">
        <f t="shared" si="2"/>
        <v>CC-INT_E</v>
      </c>
      <c r="N91" s="142" t="str">
        <f>LOOKUP(M91,'[2]Doc Set'!E:E,'[2]Doc Set'!F:F)</f>
        <v>_</v>
      </c>
      <c r="O91" s="141" t="s">
        <v>306</v>
      </c>
      <c r="P91" s="142">
        <f>+LOOKUP(O91,'[2]Doc Set'!E:E,'[2]Doc Set'!G:G)</f>
        <v>43489</v>
      </c>
      <c r="Q91" s="55" t="str">
        <f t="shared" si="3"/>
        <v>CC-INT_E</v>
      </c>
      <c r="R91" s="142">
        <f>+LOOKUP(Q91,'[2]Doc Set'!E:E,'[2]Doc Set'!H:H)</f>
        <v>43542</v>
      </c>
      <c r="S91" s="143" t="s">
        <v>200</v>
      </c>
    </row>
    <row r="92" spans="1:19" x14ac:dyDescent="0.3">
      <c r="A92" s="55" t="s">
        <v>40</v>
      </c>
      <c r="B92" s="55" t="s">
        <v>190</v>
      </c>
      <c r="C92" s="55" t="s">
        <v>191</v>
      </c>
      <c r="D92" s="138" t="s">
        <v>192</v>
      </c>
      <c r="E92" s="55" t="s">
        <v>193</v>
      </c>
      <c r="F92" s="55" t="s">
        <v>451</v>
      </c>
      <c r="G92" s="55" t="s">
        <v>470</v>
      </c>
      <c r="H92" s="55" t="s">
        <v>471</v>
      </c>
      <c r="I92" s="139" t="s">
        <v>134</v>
      </c>
      <c r="J92" s="140" t="s">
        <v>472</v>
      </c>
      <c r="K92" s="55">
        <v>20038918</v>
      </c>
      <c r="L92" s="55" t="s">
        <v>198</v>
      </c>
      <c r="M92" s="141" t="str">
        <f t="shared" si="2"/>
        <v>CC-INT_E</v>
      </c>
      <c r="N92" s="142" t="str">
        <f>LOOKUP(M92,'[2]Doc Set'!E:E,'[2]Doc Set'!F:F)</f>
        <v>_</v>
      </c>
      <c r="O92" s="141" t="s">
        <v>306</v>
      </c>
      <c r="P92" s="142">
        <f>+LOOKUP(O92,'[2]Doc Set'!E:E,'[2]Doc Set'!G:G)</f>
        <v>43489</v>
      </c>
      <c r="Q92" s="55" t="str">
        <f t="shared" si="3"/>
        <v>CC-INT_E</v>
      </c>
      <c r="R92" s="142">
        <f>+LOOKUP(Q92,'[2]Doc Set'!E:E,'[2]Doc Set'!H:H)</f>
        <v>43542</v>
      </c>
      <c r="S92" s="143" t="s">
        <v>200</v>
      </c>
    </row>
    <row r="93" spans="1:19" x14ac:dyDescent="0.3">
      <c r="A93" s="55" t="s">
        <v>40</v>
      </c>
      <c r="B93" s="55" t="s">
        <v>190</v>
      </c>
      <c r="C93" s="55" t="s">
        <v>191</v>
      </c>
      <c r="D93" s="138" t="s">
        <v>192</v>
      </c>
      <c r="E93" s="55" t="s">
        <v>193</v>
      </c>
      <c r="F93" s="55" t="s">
        <v>451</v>
      </c>
      <c r="G93" s="55" t="s">
        <v>473</v>
      </c>
      <c r="H93" s="55" t="s">
        <v>474</v>
      </c>
      <c r="I93" s="139" t="s">
        <v>134</v>
      </c>
      <c r="J93" s="140" t="s">
        <v>475</v>
      </c>
      <c r="K93" s="55">
        <v>20038918</v>
      </c>
      <c r="L93" s="55" t="s">
        <v>198</v>
      </c>
      <c r="M93" s="141" t="str">
        <f t="shared" si="2"/>
        <v>CC-INT_E</v>
      </c>
      <c r="N93" s="142" t="str">
        <f>LOOKUP(M93,'[2]Doc Set'!E:E,'[2]Doc Set'!F:F)</f>
        <v>_</v>
      </c>
      <c r="O93" s="141" t="s">
        <v>306</v>
      </c>
      <c r="P93" s="142">
        <f>+LOOKUP(O93,'[2]Doc Set'!E:E,'[2]Doc Set'!G:G)</f>
        <v>43489</v>
      </c>
      <c r="Q93" s="55" t="str">
        <f t="shared" si="3"/>
        <v>CC-INT_E</v>
      </c>
      <c r="R93" s="142">
        <f>+LOOKUP(Q93,'[2]Doc Set'!E:E,'[2]Doc Set'!H:H)</f>
        <v>43542</v>
      </c>
      <c r="S93" s="143" t="s">
        <v>200</v>
      </c>
    </row>
    <row r="94" spans="1:19" x14ac:dyDescent="0.3">
      <c r="A94" s="55" t="s">
        <v>40</v>
      </c>
      <c r="B94" s="55" t="s">
        <v>190</v>
      </c>
      <c r="C94" s="55" t="s">
        <v>191</v>
      </c>
      <c r="D94" s="138" t="s">
        <v>192</v>
      </c>
      <c r="E94" s="55" t="s">
        <v>193</v>
      </c>
      <c r="F94" s="55" t="s">
        <v>451</v>
      </c>
      <c r="G94" s="55" t="s">
        <v>476</v>
      </c>
      <c r="H94" s="55" t="s">
        <v>477</v>
      </c>
      <c r="I94" s="139" t="s">
        <v>134</v>
      </c>
      <c r="J94" s="140" t="s">
        <v>478</v>
      </c>
      <c r="K94" s="55">
        <v>20038918</v>
      </c>
      <c r="L94" s="55" t="s">
        <v>198</v>
      </c>
      <c r="M94" s="141" t="str">
        <f t="shared" si="2"/>
        <v>CC-INT_E</v>
      </c>
      <c r="N94" s="142" t="str">
        <f>LOOKUP(M94,'[2]Doc Set'!E:E,'[2]Doc Set'!F:F)</f>
        <v>_</v>
      </c>
      <c r="O94" s="141" t="s">
        <v>306</v>
      </c>
      <c r="P94" s="142">
        <f>+LOOKUP(O94,'[2]Doc Set'!E:E,'[2]Doc Set'!G:G)</f>
        <v>43489</v>
      </c>
      <c r="Q94" s="55" t="str">
        <f t="shared" si="3"/>
        <v>CC-INT_E</v>
      </c>
      <c r="R94" s="142">
        <f>+LOOKUP(Q94,'[2]Doc Set'!E:E,'[2]Doc Set'!H:H)</f>
        <v>43542</v>
      </c>
      <c r="S94" s="143" t="s">
        <v>200</v>
      </c>
    </row>
    <row r="95" spans="1:19" x14ac:dyDescent="0.3">
      <c r="A95" s="55" t="s">
        <v>40</v>
      </c>
      <c r="B95" s="55" t="s">
        <v>190</v>
      </c>
      <c r="C95" s="55" t="s">
        <v>191</v>
      </c>
      <c r="D95" s="138" t="s">
        <v>192</v>
      </c>
      <c r="E95" s="55" t="s">
        <v>193</v>
      </c>
      <c r="F95" s="55" t="s">
        <v>451</v>
      </c>
      <c r="G95" s="55" t="s">
        <v>479</v>
      </c>
      <c r="H95" s="55" t="s">
        <v>480</v>
      </c>
      <c r="I95" s="139" t="s">
        <v>134</v>
      </c>
      <c r="J95" s="140" t="s">
        <v>481</v>
      </c>
      <c r="K95" s="55">
        <v>20038918</v>
      </c>
      <c r="L95" s="55" t="s">
        <v>198</v>
      </c>
      <c r="M95" s="141" t="str">
        <f t="shared" si="2"/>
        <v>CC-INT_E</v>
      </c>
      <c r="N95" s="142" t="str">
        <f>LOOKUP(M95,'[2]Doc Set'!E:E,'[2]Doc Set'!F:F)</f>
        <v>_</v>
      </c>
      <c r="O95" s="141" t="s">
        <v>306</v>
      </c>
      <c r="P95" s="142">
        <f>+LOOKUP(O95,'[2]Doc Set'!E:E,'[2]Doc Set'!G:G)</f>
        <v>43489</v>
      </c>
      <c r="Q95" s="55" t="str">
        <f t="shared" si="3"/>
        <v>CC-INT_E</v>
      </c>
      <c r="R95" s="142">
        <f>+LOOKUP(Q95,'[2]Doc Set'!E:E,'[2]Doc Set'!H:H)</f>
        <v>43542</v>
      </c>
      <c r="S95" s="143" t="s">
        <v>200</v>
      </c>
    </row>
    <row r="96" spans="1:19" x14ac:dyDescent="0.3">
      <c r="A96" s="55" t="s">
        <v>40</v>
      </c>
      <c r="B96" s="55" t="s">
        <v>190</v>
      </c>
      <c r="C96" s="55" t="s">
        <v>191</v>
      </c>
      <c r="D96" s="138" t="s">
        <v>192</v>
      </c>
      <c r="E96" s="55" t="s">
        <v>193</v>
      </c>
      <c r="F96" s="55" t="s">
        <v>451</v>
      </c>
      <c r="G96" s="55" t="s">
        <v>482</v>
      </c>
      <c r="H96" s="55" t="s">
        <v>483</v>
      </c>
      <c r="I96" s="139" t="s">
        <v>134</v>
      </c>
      <c r="J96" s="140" t="s">
        <v>484</v>
      </c>
      <c r="K96" s="55">
        <v>20038918</v>
      </c>
      <c r="L96" s="55" t="s">
        <v>198</v>
      </c>
      <c r="M96" s="141" t="str">
        <f t="shared" si="2"/>
        <v>CC-INT_E</v>
      </c>
      <c r="N96" s="142" t="str">
        <f>LOOKUP(M96,'[2]Doc Set'!E:E,'[2]Doc Set'!F:F)</f>
        <v>_</v>
      </c>
      <c r="O96" s="141" t="s">
        <v>306</v>
      </c>
      <c r="P96" s="142">
        <f>+LOOKUP(O96,'[2]Doc Set'!E:E,'[2]Doc Set'!G:G)</f>
        <v>43489</v>
      </c>
      <c r="Q96" s="55" t="str">
        <f t="shared" si="3"/>
        <v>CC-INT_E</v>
      </c>
      <c r="R96" s="142">
        <f>+LOOKUP(Q96,'[2]Doc Set'!E:E,'[2]Doc Set'!H:H)</f>
        <v>43542</v>
      </c>
      <c r="S96" s="143" t="s">
        <v>200</v>
      </c>
    </row>
    <row r="97" spans="1:19" x14ac:dyDescent="0.3">
      <c r="A97" s="55" t="s">
        <v>40</v>
      </c>
      <c r="B97" s="55" t="s">
        <v>190</v>
      </c>
      <c r="C97" s="55" t="s">
        <v>191</v>
      </c>
      <c r="D97" s="138" t="s">
        <v>192</v>
      </c>
      <c r="E97" s="55" t="s">
        <v>193</v>
      </c>
      <c r="F97" s="55" t="s">
        <v>194</v>
      </c>
      <c r="G97" s="55" t="s">
        <v>485</v>
      </c>
      <c r="H97" s="55" t="s">
        <v>486</v>
      </c>
      <c r="I97" s="139" t="s">
        <v>51</v>
      </c>
      <c r="J97" s="140" t="s">
        <v>487</v>
      </c>
      <c r="K97" s="55">
        <v>20038918</v>
      </c>
      <c r="L97" s="55" t="s">
        <v>198</v>
      </c>
      <c r="M97" s="141" t="str">
        <f t="shared" si="2"/>
        <v>CC-INT_D</v>
      </c>
      <c r="N97" s="142" t="str">
        <f>LOOKUP(M97,'[2]Doc Set'!E:E,'[2]Doc Set'!F:F)</f>
        <v>_</v>
      </c>
      <c r="O97" s="141" t="s">
        <v>199</v>
      </c>
      <c r="P97" s="142">
        <f>+LOOKUP(O97,'[2]Doc Set'!E:E,'[2]Doc Set'!G:G)</f>
        <v>43437</v>
      </c>
      <c r="Q97" s="55" t="str">
        <f t="shared" si="3"/>
        <v>CC-INT_D</v>
      </c>
      <c r="R97" s="142">
        <f>+LOOKUP(Q97,'[2]Doc Set'!E:E,'[2]Doc Set'!H:H)</f>
        <v>43514</v>
      </c>
      <c r="S97" s="143" t="s">
        <v>200</v>
      </c>
    </row>
    <row r="98" spans="1:19" x14ac:dyDescent="0.3">
      <c r="A98" s="55" t="s">
        <v>40</v>
      </c>
      <c r="B98" s="55" t="s">
        <v>190</v>
      </c>
      <c r="C98" s="55" t="s">
        <v>191</v>
      </c>
      <c r="D98" s="138" t="s">
        <v>192</v>
      </c>
      <c r="E98" s="55" t="s">
        <v>193</v>
      </c>
      <c r="F98" s="55" t="s">
        <v>194</v>
      </c>
      <c r="G98" s="55" t="s">
        <v>488</v>
      </c>
      <c r="H98" s="55" t="s">
        <v>489</v>
      </c>
      <c r="I98" s="139" t="s">
        <v>51</v>
      </c>
      <c r="J98" s="140" t="s">
        <v>490</v>
      </c>
      <c r="K98" s="55">
        <v>20038918</v>
      </c>
      <c r="L98" s="55" t="s">
        <v>198</v>
      </c>
      <c r="M98" s="141" t="str">
        <f t="shared" si="2"/>
        <v>CC-INT_D</v>
      </c>
      <c r="N98" s="142" t="str">
        <f>LOOKUP(M98,'[2]Doc Set'!E:E,'[2]Doc Set'!F:F)</f>
        <v>_</v>
      </c>
      <c r="O98" s="141" t="s">
        <v>199</v>
      </c>
      <c r="P98" s="142">
        <f>+LOOKUP(O98,'[2]Doc Set'!E:E,'[2]Doc Set'!G:G)</f>
        <v>43437</v>
      </c>
      <c r="Q98" s="55" t="str">
        <f t="shared" si="3"/>
        <v>CC-INT_D</v>
      </c>
      <c r="R98" s="142">
        <f>+LOOKUP(Q98,'[2]Doc Set'!E:E,'[2]Doc Set'!H:H)</f>
        <v>43514</v>
      </c>
      <c r="S98" s="143" t="s">
        <v>200</v>
      </c>
    </row>
    <row r="99" spans="1:19" x14ac:dyDescent="0.3">
      <c r="A99" s="55" t="s">
        <v>40</v>
      </c>
      <c r="B99" s="55" t="s">
        <v>190</v>
      </c>
      <c r="C99" s="55" t="s">
        <v>191</v>
      </c>
      <c r="D99" s="138" t="s">
        <v>192</v>
      </c>
      <c r="E99" s="55" t="s">
        <v>193</v>
      </c>
      <c r="F99" s="55" t="s">
        <v>194</v>
      </c>
      <c r="G99" s="55" t="s">
        <v>491</v>
      </c>
      <c r="H99" s="55" t="s">
        <v>492</v>
      </c>
      <c r="I99" s="139" t="s">
        <v>51</v>
      </c>
      <c r="J99" s="140" t="s">
        <v>493</v>
      </c>
      <c r="K99" s="55">
        <v>20038918</v>
      </c>
      <c r="L99" s="55" t="s">
        <v>198</v>
      </c>
      <c r="M99" s="141" t="str">
        <f t="shared" si="2"/>
        <v>CC-INT_D</v>
      </c>
      <c r="N99" s="142" t="str">
        <f>LOOKUP(M99,'[2]Doc Set'!E:E,'[2]Doc Set'!F:F)</f>
        <v>_</v>
      </c>
      <c r="O99" s="141" t="s">
        <v>199</v>
      </c>
      <c r="P99" s="142">
        <f>+LOOKUP(O99,'[2]Doc Set'!E:E,'[2]Doc Set'!G:G)</f>
        <v>43437</v>
      </c>
      <c r="Q99" s="55" t="str">
        <f t="shared" si="3"/>
        <v>CC-INT_D</v>
      </c>
      <c r="R99" s="142">
        <f>+LOOKUP(Q99,'[2]Doc Set'!E:E,'[2]Doc Set'!H:H)</f>
        <v>43514</v>
      </c>
      <c r="S99" s="143" t="s">
        <v>200</v>
      </c>
    </row>
    <row r="100" spans="1:19" x14ac:dyDescent="0.3">
      <c r="A100" s="55" t="s">
        <v>40</v>
      </c>
      <c r="B100" s="55" t="s">
        <v>190</v>
      </c>
      <c r="C100" s="55" t="s">
        <v>191</v>
      </c>
      <c r="D100" s="138" t="s">
        <v>192</v>
      </c>
      <c r="E100" s="55" t="s">
        <v>193</v>
      </c>
      <c r="F100" s="55" t="s">
        <v>194</v>
      </c>
      <c r="G100" s="55" t="s">
        <v>494</v>
      </c>
      <c r="H100" s="55" t="s">
        <v>495</v>
      </c>
      <c r="I100" s="139" t="s">
        <v>51</v>
      </c>
      <c r="J100" s="140" t="s">
        <v>496</v>
      </c>
      <c r="K100" s="55">
        <v>20038918</v>
      </c>
      <c r="L100" s="55" t="s">
        <v>198</v>
      </c>
      <c r="M100" s="141" t="str">
        <f t="shared" si="2"/>
        <v>CC-INT_D</v>
      </c>
      <c r="N100" s="142" t="str">
        <f>LOOKUP(M100,'[2]Doc Set'!E:E,'[2]Doc Set'!F:F)</f>
        <v>_</v>
      </c>
      <c r="O100" s="141" t="s">
        <v>199</v>
      </c>
      <c r="P100" s="142">
        <f>+LOOKUP(O100,'[2]Doc Set'!E:E,'[2]Doc Set'!G:G)</f>
        <v>43437</v>
      </c>
      <c r="Q100" s="55" t="str">
        <f t="shared" si="3"/>
        <v>CC-INT_D</v>
      </c>
      <c r="R100" s="142">
        <f>+LOOKUP(Q100,'[2]Doc Set'!E:E,'[2]Doc Set'!H:H)</f>
        <v>43514</v>
      </c>
      <c r="S100" s="143" t="s">
        <v>200</v>
      </c>
    </row>
    <row r="101" spans="1:19" x14ac:dyDescent="0.3">
      <c r="A101" s="55" t="s">
        <v>40</v>
      </c>
      <c r="B101" s="55" t="s">
        <v>190</v>
      </c>
      <c r="C101" s="55" t="s">
        <v>191</v>
      </c>
      <c r="D101" s="138" t="s">
        <v>192</v>
      </c>
      <c r="E101" s="55" t="s">
        <v>193</v>
      </c>
      <c r="F101" s="55" t="s">
        <v>194</v>
      </c>
      <c r="G101" s="55" t="s">
        <v>497</v>
      </c>
      <c r="H101" s="55" t="s">
        <v>498</v>
      </c>
      <c r="I101" s="139" t="s">
        <v>51</v>
      </c>
      <c r="J101" s="140" t="s">
        <v>499</v>
      </c>
      <c r="K101" s="55">
        <v>20038918</v>
      </c>
      <c r="L101" s="55" t="s">
        <v>198</v>
      </c>
      <c r="M101" s="141" t="str">
        <f t="shared" si="2"/>
        <v>CC-INT_D</v>
      </c>
      <c r="N101" s="142" t="str">
        <f>LOOKUP(M101,'[2]Doc Set'!E:E,'[2]Doc Set'!F:F)</f>
        <v>_</v>
      </c>
      <c r="O101" s="141" t="s">
        <v>199</v>
      </c>
      <c r="P101" s="142">
        <f>+LOOKUP(O101,'[2]Doc Set'!E:E,'[2]Doc Set'!G:G)</f>
        <v>43437</v>
      </c>
      <c r="Q101" s="55" t="str">
        <f t="shared" si="3"/>
        <v>CC-INT_D</v>
      </c>
      <c r="R101" s="142">
        <f>+LOOKUP(Q101,'[2]Doc Set'!E:E,'[2]Doc Set'!H:H)</f>
        <v>43514</v>
      </c>
      <c r="S101" s="143" t="s">
        <v>200</v>
      </c>
    </row>
    <row r="102" spans="1:19" x14ac:dyDescent="0.3">
      <c r="A102" s="55" t="s">
        <v>40</v>
      </c>
      <c r="B102" s="55" t="s">
        <v>190</v>
      </c>
      <c r="C102" s="55" t="s">
        <v>191</v>
      </c>
      <c r="D102" s="138" t="s">
        <v>192</v>
      </c>
      <c r="E102" s="55" t="s">
        <v>193</v>
      </c>
      <c r="F102" s="55" t="s">
        <v>194</v>
      </c>
      <c r="G102" s="55" t="s">
        <v>500</v>
      </c>
      <c r="H102" s="55" t="s">
        <v>501</v>
      </c>
      <c r="I102" s="139" t="s">
        <v>51</v>
      </c>
      <c r="J102" s="140" t="s">
        <v>502</v>
      </c>
      <c r="K102" s="55">
        <v>20038918</v>
      </c>
      <c r="L102" s="55" t="s">
        <v>198</v>
      </c>
      <c r="M102" s="141" t="str">
        <f t="shared" si="2"/>
        <v>CC-INT_E</v>
      </c>
      <c r="N102" s="142" t="str">
        <f>LOOKUP(M102,'[2]Doc Set'!E:E,'[2]Doc Set'!F:F)</f>
        <v>_</v>
      </c>
      <c r="O102" s="141" t="s">
        <v>306</v>
      </c>
      <c r="P102" s="142">
        <f>+LOOKUP(O102,'[2]Doc Set'!E:E,'[2]Doc Set'!G:G)</f>
        <v>43489</v>
      </c>
      <c r="Q102" s="55" t="str">
        <f t="shared" si="3"/>
        <v>CC-INT_E</v>
      </c>
      <c r="R102" s="142">
        <f>+LOOKUP(Q102,'[2]Doc Set'!E:E,'[2]Doc Set'!H:H)</f>
        <v>43542</v>
      </c>
      <c r="S102" s="143" t="s">
        <v>200</v>
      </c>
    </row>
    <row r="103" spans="1:19" x14ac:dyDescent="0.3">
      <c r="A103" s="55" t="s">
        <v>40</v>
      </c>
      <c r="B103" s="55" t="s">
        <v>190</v>
      </c>
      <c r="C103" s="55" t="s">
        <v>191</v>
      </c>
      <c r="D103" s="138" t="s">
        <v>192</v>
      </c>
      <c r="E103" s="55" t="s">
        <v>193</v>
      </c>
      <c r="F103" s="55" t="s">
        <v>194</v>
      </c>
      <c r="G103" s="55" t="s">
        <v>503</v>
      </c>
      <c r="H103" s="55" t="s">
        <v>504</v>
      </c>
      <c r="I103" s="139" t="s">
        <v>51</v>
      </c>
      <c r="J103" s="140" t="s">
        <v>505</v>
      </c>
      <c r="K103" s="55">
        <v>20038918</v>
      </c>
      <c r="L103" s="55" t="s">
        <v>198</v>
      </c>
      <c r="M103" s="141" t="str">
        <f t="shared" si="2"/>
        <v>CC-INT_E</v>
      </c>
      <c r="N103" s="142" t="str">
        <f>LOOKUP(M103,'[2]Doc Set'!E:E,'[2]Doc Set'!F:F)</f>
        <v>_</v>
      </c>
      <c r="O103" s="141" t="s">
        <v>306</v>
      </c>
      <c r="P103" s="142">
        <f>+LOOKUP(O103,'[2]Doc Set'!E:E,'[2]Doc Set'!G:G)</f>
        <v>43489</v>
      </c>
      <c r="Q103" s="55" t="str">
        <f t="shared" si="3"/>
        <v>CC-INT_E</v>
      </c>
      <c r="R103" s="142">
        <f>+LOOKUP(Q103,'[2]Doc Set'!E:E,'[2]Doc Set'!H:H)</f>
        <v>43542</v>
      </c>
      <c r="S103" s="143" t="s">
        <v>200</v>
      </c>
    </row>
    <row r="104" spans="1:19" x14ac:dyDescent="0.3">
      <c r="A104" s="55" t="s">
        <v>40</v>
      </c>
      <c r="B104" s="55" t="s">
        <v>190</v>
      </c>
      <c r="C104" s="55" t="s">
        <v>191</v>
      </c>
      <c r="D104" s="138" t="s">
        <v>192</v>
      </c>
      <c r="E104" s="55" t="s">
        <v>193</v>
      </c>
      <c r="F104" s="55" t="s">
        <v>194</v>
      </c>
      <c r="G104" s="55" t="s">
        <v>506</v>
      </c>
      <c r="H104" s="55" t="s">
        <v>507</v>
      </c>
      <c r="I104" s="139" t="s">
        <v>51</v>
      </c>
      <c r="J104" s="140" t="s">
        <v>508</v>
      </c>
      <c r="K104" s="55">
        <v>20038918</v>
      </c>
      <c r="L104" s="55" t="s">
        <v>198</v>
      </c>
      <c r="M104" s="141" t="str">
        <f t="shared" si="2"/>
        <v>CC-INT_E</v>
      </c>
      <c r="N104" s="142" t="str">
        <f>LOOKUP(M104,'[2]Doc Set'!E:E,'[2]Doc Set'!F:F)</f>
        <v>_</v>
      </c>
      <c r="O104" s="141" t="s">
        <v>306</v>
      </c>
      <c r="P104" s="142">
        <f>+LOOKUP(O104,'[2]Doc Set'!E:E,'[2]Doc Set'!G:G)</f>
        <v>43489</v>
      </c>
      <c r="Q104" s="55" t="str">
        <f t="shared" si="3"/>
        <v>CC-INT_E</v>
      </c>
      <c r="R104" s="142">
        <f>+LOOKUP(Q104,'[2]Doc Set'!E:E,'[2]Doc Set'!H:H)</f>
        <v>43542</v>
      </c>
      <c r="S104" s="143" t="s">
        <v>200</v>
      </c>
    </row>
    <row r="105" spans="1:19" x14ac:dyDescent="0.3">
      <c r="A105" s="55" t="s">
        <v>40</v>
      </c>
      <c r="B105" s="55" t="s">
        <v>190</v>
      </c>
      <c r="C105" s="55" t="s">
        <v>191</v>
      </c>
      <c r="D105" s="138" t="s">
        <v>192</v>
      </c>
      <c r="E105" s="55" t="s">
        <v>193</v>
      </c>
      <c r="F105" s="55" t="s">
        <v>194</v>
      </c>
      <c r="G105" s="55" t="s">
        <v>509</v>
      </c>
      <c r="H105" s="55" t="s">
        <v>510</v>
      </c>
      <c r="I105" s="139" t="s">
        <v>51</v>
      </c>
      <c r="J105" s="140" t="s">
        <v>511</v>
      </c>
      <c r="K105" s="55">
        <v>20038918</v>
      </c>
      <c r="L105" s="55" t="s">
        <v>198</v>
      </c>
      <c r="M105" s="141" t="str">
        <f t="shared" si="2"/>
        <v>CC-INT_E</v>
      </c>
      <c r="N105" s="142" t="str">
        <f>LOOKUP(M105,'[2]Doc Set'!E:E,'[2]Doc Set'!F:F)</f>
        <v>_</v>
      </c>
      <c r="O105" s="141" t="s">
        <v>306</v>
      </c>
      <c r="P105" s="142">
        <f>+LOOKUP(O105,'[2]Doc Set'!E:E,'[2]Doc Set'!G:G)</f>
        <v>43489</v>
      </c>
      <c r="Q105" s="55" t="str">
        <f t="shared" si="3"/>
        <v>CC-INT_E</v>
      </c>
      <c r="R105" s="142">
        <f>+LOOKUP(Q105,'[2]Doc Set'!E:E,'[2]Doc Set'!H:H)</f>
        <v>43542</v>
      </c>
      <c r="S105" s="143" t="s">
        <v>200</v>
      </c>
    </row>
    <row r="106" spans="1:19" x14ac:dyDescent="0.3">
      <c r="A106" s="55" t="s">
        <v>40</v>
      </c>
      <c r="B106" s="55" t="s">
        <v>190</v>
      </c>
      <c r="C106" s="55" t="s">
        <v>191</v>
      </c>
      <c r="D106" s="138" t="s">
        <v>192</v>
      </c>
      <c r="E106" s="55" t="s">
        <v>193</v>
      </c>
      <c r="F106" s="55" t="s">
        <v>194</v>
      </c>
      <c r="G106" s="55" t="s">
        <v>512</v>
      </c>
      <c r="H106" s="55" t="s">
        <v>513</v>
      </c>
      <c r="I106" s="139" t="s">
        <v>51</v>
      </c>
      <c r="J106" s="140" t="s">
        <v>514</v>
      </c>
      <c r="K106" s="55">
        <v>20038918</v>
      </c>
      <c r="L106" s="55" t="s">
        <v>198</v>
      </c>
      <c r="M106" s="141" t="str">
        <f t="shared" si="2"/>
        <v>CC-INT_E</v>
      </c>
      <c r="N106" s="142" t="str">
        <f>LOOKUP(M106,'[2]Doc Set'!E:E,'[2]Doc Set'!F:F)</f>
        <v>_</v>
      </c>
      <c r="O106" s="141" t="s">
        <v>306</v>
      </c>
      <c r="P106" s="142">
        <f>+LOOKUP(O106,'[2]Doc Set'!E:E,'[2]Doc Set'!G:G)</f>
        <v>43489</v>
      </c>
      <c r="Q106" s="55" t="str">
        <f t="shared" si="3"/>
        <v>CC-INT_E</v>
      </c>
      <c r="R106" s="142">
        <f>+LOOKUP(Q106,'[2]Doc Set'!E:E,'[2]Doc Set'!H:H)</f>
        <v>43542</v>
      </c>
      <c r="S106" s="143" t="s">
        <v>200</v>
      </c>
    </row>
    <row r="107" spans="1:19" x14ac:dyDescent="0.3">
      <c r="A107" s="55" t="s">
        <v>40</v>
      </c>
      <c r="B107" s="55" t="s">
        <v>190</v>
      </c>
      <c r="C107" s="55" t="s">
        <v>191</v>
      </c>
      <c r="D107" s="138" t="s">
        <v>192</v>
      </c>
      <c r="E107" s="55" t="s">
        <v>193</v>
      </c>
      <c r="F107" s="55" t="s">
        <v>194</v>
      </c>
      <c r="G107" s="55" t="s">
        <v>515</v>
      </c>
      <c r="H107" s="55" t="s">
        <v>516</v>
      </c>
      <c r="I107" s="139" t="s">
        <v>51</v>
      </c>
      <c r="J107" s="140" t="s">
        <v>517</v>
      </c>
      <c r="K107" s="55">
        <v>20038918</v>
      </c>
      <c r="L107" s="55" t="s">
        <v>198</v>
      </c>
      <c r="M107" s="141" t="str">
        <f t="shared" si="2"/>
        <v>CC-INT_E</v>
      </c>
      <c r="N107" s="142" t="str">
        <f>LOOKUP(M107,'[2]Doc Set'!E:E,'[2]Doc Set'!F:F)</f>
        <v>_</v>
      </c>
      <c r="O107" s="141" t="s">
        <v>306</v>
      </c>
      <c r="P107" s="142">
        <f>+LOOKUP(O107,'[2]Doc Set'!E:E,'[2]Doc Set'!G:G)</f>
        <v>43489</v>
      </c>
      <c r="Q107" s="55" t="str">
        <f t="shared" si="3"/>
        <v>CC-INT_E</v>
      </c>
      <c r="R107" s="142">
        <f>+LOOKUP(Q107,'[2]Doc Set'!E:E,'[2]Doc Set'!H:H)</f>
        <v>43542</v>
      </c>
      <c r="S107" s="143" t="s">
        <v>200</v>
      </c>
    </row>
    <row r="108" spans="1:19" x14ac:dyDescent="0.3">
      <c r="A108" s="55" t="s">
        <v>40</v>
      </c>
      <c r="B108" s="55" t="s">
        <v>190</v>
      </c>
      <c r="C108" s="55" t="s">
        <v>191</v>
      </c>
      <c r="D108" s="138" t="s">
        <v>192</v>
      </c>
      <c r="E108" s="55" t="s">
        <v>193</v>
      </c>
      <c r="F108" s="55" t="s">
        <v>194</v>
      </c>
      <c r="G108" s="55" t="s">
        <v>518</v>
      </c>
      <c r="H108" s="55" t="s">
        <v>519</v>
      </c>
      <c r="I108" s="139" t="s">
        <v>51</v>
      </c>
      <c r="J108" s="140" t="s">
        <v>520</v>
      </c>
      <c r="K108" s="55">
        <v>20038918</v>
      </c>
      <c r="L108" s="55" t="s">
        <v>198</v>
      </c>
      <c r="M108" s="141" t="str">
        <f t="shared" si="2"/>
        <v>CC-INT_E</v>
      </c>
      <c r="N108" s="142" t="str">
        <f>LOOKUP(M108,'[2]Doc Set'!E:E,'[2]Doc Set'!F:F)</f>
        <v>_</v>
      </c>
      <c r="O108" s="141" t="s">
        <v>306</v>
      </c>
      <c r="P108" s="142">
        <f>+LOOKUP(O108,'[2]Doc Set'!E:E,'[2]Doc Set'!G:G)</f>
        <v>43489</v>
      </c>
      <c r="Q108" s="55" t="str">
        <f t="shared" si="3"/>
        <v>CC-INT_E</v>
      </c>
      <c r="R108" s="142">
        <f>+LOOKUP(Q108,'[2]Doc Set'!E:E,'[2]Doc Set'!H:H)</f>
        <v>43542</v>
      </c>
      <c r="S108" s="143" t="s">
        <v>200</v>
      </c>
    </row>
    <row r="109" spans="1:19" x14ac:dyDescent="0.3">
      <c r="A109" s="55" t="s">
        <v>40</v>
      </c>
      <c r="B109" s="55" t="s">
        <v>190</v>
      </c>
      <c r="C109" s="55" t="s">
        <v>191</v>
      </c>
      <c r="D109" s="138" t="s">
        <v>192</v>
      </c>
      <c r="E109" s="55" t="s">
        <v>193</v>
      </c>
      <c r="F109" s="55" t="s">
        <v>521</v>
      </c>
      <c r="G109" s="55" t="s">
        <v>522</v>
      </c>
      <c r="H109" s="55" t="s">
        <v>523</v>
      </c>
      <c r="I109" s="139" t="s">
        <v>134</v>
      </c>
      <c r="J109" s="140" t="s">
        <v>524</v>
      </c>
      <c r="K109" s="55">
        <v>20038918</v>
      </c>
      <c r="L109" s="55" t="s">
        <v>198</v>
      </c>
      <c r="M109" s="141" t="str">
        <f t="shared" si="2"/>
        <v>CC-INT_D</v>
      </c>
      <c r="N109" s="142" t="str">
        <f>LOOKUP(M109,'[2]Doc Set'!E:E,'[2]Doc Set'!F:F)</f>
        <v>_</v>
      </c>
      <c r="O109" s="141" t="s">
        <v>199</v>
      </c>
      <c r="P109" s="142">
        <f>+LOOKUP(O109,'[2]Doc Set'!E:E,'[2]Doc Set'!G:G)</f>
        <v>43437</v>
      </c>
      <c r="Q109" s="55" t="str">
        <f t="shared" si="3"/>
        <v>CC-INT_D</v>
      </c>
      <c r="R109" s="142">
        <f>+LOOKUP(Q109,'[2]Doc Set'!E:E,'[2]Doc Set'!H:H)</f>
        <v>43514</v>
      </c>
      <c r="S109" s="143" t="s">
        <v>200</v>
      </c>
    </row>
    <row r="110" spans="1:19" x14ac:dyDescent="0.3">
      <c r="A110" s="55" t="s">
        <v>40</v>
      </c>
      <c r="B110" s="55" t="s">
        <v>190</v>
      </c>
      <c r="C110" s="55" t="s">
        <v>191</v>
      </c>
      <c r="D110" s="138" t="s">
        <v>192</v>
      </c>
      <c r="E110" s="55" t="s">
        <v>193</v>
      </c>
      <c r="F110" s="55" t="s">
        <v>521</v>
      </c>
      <c r="G110" s="55" t="s">
        <v>525</v>
      </c>
      <c r="H110" s="55" t="s">
        <v>526</v>
      </c>
      <c r="I110" s="139" t="s">
        <v>134</v>
      </c>
      <c r="J110" s="140" t="s">
        <v>527</v>
      </c>
      <c r="K110" s="55">
        <v>20038918</v>
      </c>
      <c r="L110" s="55" t="s">
        <v>198</v>
      </c>
      <c r="M110" s="141" t="str">
        <f t="shared" si="2"/>
        <v>CC-INT_D</v>
      </c>
      <c r="N110" s="142" t="str">
        <f>LOOKUP(M110,'[2]Doc Set'!E:E,'[2]Doc Set'!F:F)</f>
        <v>_</v>
      </c>
      <c r="O110" s="141" t="s">
        <v>199</v>
      </c>
      <c r="P110" s="142">
        <f>+LOOKUP(O110,'[2]Doc Set'!E:E,'[2]Doc Set'!G:G)</f>
        <v>43437</v>
      </c>
      <c r="Q110" s="55" t="str">
        <f t="shared" si="3"/>
        <v>CC-INT_D</v>
      </c>
      <c r="R110" s="142">
        <f>+LOOKUP(Q110,'[2]Doc Set'!E:E,'[2]Doc Set'!H:H)</f>
        <v>43514</v>
      </c>
      <c r="S110" s="143" t="s">
        <v>200</v>
      </c>
    </row>
    <row r="111" spans="1:19" ht="28.8" x14ac:dyDescent="0.3">
      <c r="A111" s="55" t="s">
        <v>40</v>
      </c>
      <c r="B111" s="55" t="s">
        <v>190</v>
      </c>
      <c r="C111" s="55" t="s">
        <v>191</v>
      </c>
      <c r="D111" s="138" t="s">
        <v>192</v>
      </c>
      <c r="E111" s="55" t="s">
        <v>193</v>
      </c>
      <c r="F111" s="55" t="s">
        <v>521</v>
      </c>
      <c r="G111" s="55" t="s">
        <v>528</v>
      </c>
      <c r="H111" s="55" t="s">
        <v>529</v>
      </c>
      <c r="I111" s="139" t="s">
        <v>134</v>
      </c>
      <c r="J111" s="140" t="s">
        <v>530</v>
      </c>
      <c r="K111" s="55">
        <v>20038918</v>
      </c>
      <c r="L111" s="55" t="s">
        <v>198</v>
      </c>
      <c r="M111" s="141" t="str">
        <f t="shared" si="2"/>
        <v>CC-INT_D</v>
      </c>
      <c r="N111" s="142" t="str">
        <f>LOOKUP(M111,'[2]Doc Set'!E:E,'[2]Doc Set'!F:F)</f>
        <v>_</v>
      </c>
      <c r="O111" s="141" t="s">
        <v>199</v>
      </c>
      <c r="P111" s="142">
        <f>+LOOKUP(O111,'[2]Doc Set'!E:E,'[2]Doc Set'!G:G)</f>
        <v>43437</v>
      </c>
      <c r="Q111" s="55" t="str">
        <f t="shared" si="3"/>
        <v>CC-INT_D</v>
      </c>
      <c r="R111" s="142">
        <f>+LOOKUP(Q111,'[2]Doc Set'!E:E,'[2]Doc Set'!H:H)</f>
        <v>43514</v>
      </c>
      <c r="S111" s="143" t="s">
        <v>200</v>
      </c>
    </row>
    <row r="112" spans="1:19" x14ac:dyDescent="0.3">
      <c r="A112" s="55" t="s">
        <v>40</v>
      </c>
      <c r="B112" s="55" t="s">
        <v>190</v>
      </c>
      <c r="C112" s="55" t="s">
        <v>191</v>
      </c>
      <c r="D112" s="138" t="s">
        <v>192</v>
      </c>
      <c r="E112" s="55" t="s">
        <v>193</v>
      </c>
      <c r="F112" s="55" t="s">
        <v>521</v>
      </c>
      <c r="G112" s="55" t="s">
        <v>531</v>
      </c>
      <c r="H112" s="55" t="s">
        <v>532</v>
      </c>
      <c r="I112" s="139" t="s">
        <v>51</v>
      </c>
      <c r="J112" s="140" t="s">
        <v>533</v>
      </c>
      <c r="K112" s="55">
        <v>20038918</v>
      </c>
      <c r="L112" s="55" t="s">
        <v>198</v>
      </c>
      <c r="M112" s="141" t="str">
        <f t="shared" si="2"/>
        <v>CC-INT_E</v>
      </c>
      <c r="N112" s="142" t="str">
        <f>LOOKUP(M112,'[2]Doc Set'!E:E,'[2]Doc Set'!F:F)</f>
        <v>_</v>
      </c>
      <c r="O112" s="141" t="s">
        <v>306</v>
      </c>
      <c r="P112" s="142">
        <f>+LOOKUP(O112,'[2]Doc Set'!E:E,'[2]Doc Set'!G:G)</f>
        <v>43489</v>
      </c>
      <c r="Q112" s="55" t="str">
        <f t="shared" si="3"/>
        <v>CC-INT_E</v>
      </c>
      <c r="R112" s="142">
        <f>+LOOKUP(Q112,'[2]Doc Set'!E:E,'[2]Doc Set'!H:H)</f>
        <v>43542</v>
      </c>
      <c r="S112" s="143" t="s">
        <v>200</v>
      </c>
    </row>
    <row r="113" spans="1:19" ht="28.8" x14ac:dyDescent="0.3">
      <c r="A113" s="55" t="s">
        <v>40</v>
      </c>
      <c r="B113" s="55" t="s">
        <v>190</v>
      </c>
      <c r="C113" s="55" t="s">
        <v>191</v>
      </c>
      <c r="D113" s="138" t="s">
        <v>192</v>
      </c>
      <c r="E113" s="55" t="s">
        <v>193</v>
      </c>
      <c r="F113" s="55" t="s">
        <v>521</v>
      </c>
      <c r="G113" s="55" t="s">
        <v>534</v>
      </c>
      <c r="H113" s="55" t="s">
        <v>535</v>
      </c>
      <c r="I113" s="139" t="s">
        <v>51</v>
      </c>
      <c r="J113" s="140" t="s">
        <v>536</v>
      </c>
      <c r="K113" s="55">
        <v>20038918</v>
      </c>
      <c r="L113" s="55" t="s">
        <v>198</v>
      </c>
      <c r="M113" s="141" t="str">
        <f t="shared" si="2"/>
        <v>CC-INT_E</v>
      </c>
      <c r="N113" s="142" t="str">
        <f>LOOKUP(M113,'[2]Doc Set'!E:E,'[2]Doc Set'!F:F)</f>
        <v>_</v>
      </c>
      <c r="O113" s="141" t="s">
        <v>306</v>
      </c>
      <c r="P113" s="142">
        <f>+LOOKUP(O113,'[2]Doc Set'!E:E,'[2]Doc Set'!G:G)</f>
        <v>43489</v>
      </c>
      <c r="Q113" s="55" t="str">
        <f t="shared" si="3"/>
        <v>CC-INT_E</v>
      </c>
      <c r="R113" s="142">
        <f>+LOOKUP(Q113,'[2]Doc Set'!E:E,'[2]Doc Set'!H:H)</f>
        <v>43542</v>
      </c>
      <c r="S113" s="143" t="s">
        <v>200</v>
      </c>
    </row>
    <row r="114" spans="1:19" ht="28.8" x14ac:dyDescent="0.3">
      <c r="A114" s="55" t="s">
        <v>40</v>
      </c>
      <c r="B114" s="55" t="s">
        <v>190</v>
      </c>
      <c r="C114" s="55" t="s">
        <v>191</v>
      </c>
      <c r="D114" s="138" t="s">
        <v>192</v>
      </c>
      <c r="E114" s="55" t="s">
        <v>193</v>
      </c>
      <c r="F114" s="55" t="s">
        <v>521</v>
      </c>
      <c r="G114" s="55" t="s">
        <v>537</v>
      </c>
      <c r="H114" s="55" t="s">
        <v>538</v>
      </c>
      <c r="I114" s="139" t="s">
        <v>51</v>
      </c>
      <c r="J114" s="140" t="s">
        <v>539</v>
      </c>
      <c r="K114" s="55">
        <v>20038918</v>
      </c>
      <c r="L114" s="55" t="s">
        <v>198</v>
      </c>
      <c r="M114" s="141" t="str">
        <f t="shared" si="2"/>
        <v>CC-INT_E</v>
      </c>
      <c r="N114" s="142" t="str">
        <f>LOOKUP(M114,'[2]Doc Set'!E:E,'[2]Doc Set'!F:F)</f>
        <v>_</v>
      </c>
      <c r="O114" s="141" t="s">
        <v>306</v>
      </c>
      <c r="P114" s="142">
        <f>+LOOKUP(O114,'[2]Doc Set'!E:E,'[2]Doc Set'!G:G)</f>
        <v>43489</v>
      </c>
      <c r="Q114" s="55" t="str">
        <f t="shared" si="3"/>
        <v>CC-INT_E</v>
      </c>
      <c r="R114" s="142">
        <f>+LOOKUP(Q114,'[2]Doc Set'!E:E,'[2]Doc Set'!H:H)</f>
        <v>43542</v>
      </c>
      <c r="S114" s="143" t="s">
        <v>200</v>
      </c>
    </row>
    <row r="115" spans="1:19" ht="28.8" x14ac:dyDescent="0.3">
      <c r="A115" s="55" t="s">
        <v>40</v>
      </c>
      <c r="B115" s="55" t="s">
        <v>190</v>
      </c>
      <c r="C115" s="55" t="s">
        <v>191</v>
      </c>
      <c r="D115" s="138" t="s">
        <v>192</v>
      </c>
      <c r="E115" s="55" t="s">
        <v>193</v>
      </c>
      <c r="F115" s="55" t="s">
        <v>521</v>
      </c>
      <c r="G115" s="55" t="s">
        <v>540</v>
      </c>
      <c r="H115" s="55" t="s">
        <v>541</v>
      </c>
      <c r="I115" s="139" t="s">
        <v>51</v>
      </c>
      <c r="J115" s="140" t="s">
        <v>542</v>
      </c>
      <c r="K115" s="55">
        <v>20038918</v>
      </c>
      <c r="L115" s="55" t="s">
        <v>198</v>
      </c>
      <c r="M115" s="141" t="str">
        <f t="shared" si="2"/>
        <v>CC-INT_E</v>
      </c>
      <c r="N115" s="142" t="str">
        <f>LOOKUP(M115,'[2]Doc Set'!E:E,'[2]Doc Set'!F:F)</f>
        <v>_</v>
      </c>
      <c r="O115" s="141" t="s">
        <v>306</v>
      </c>
      <c r="P115" s="142">
        <f>+LOOKUP(O115,'[2]Doc Set'!E:E,'[2]Doc Set'!G:G)</f>
        <v>43489</v>
      </c>
      <c r="Q115" s="55" t="str">
        <f t="shared" si="3"/>
        <v>CC-INT_E</v>
      </c>
      <c r="R115" s="142">
        <f>+LOOKUP(Q115,'[2]Doc Set'!E:E,'[2]Doc Set'!H:H)</f>
        <v>43542</v>
      </c>
      <c r="S115" s="143" t="s">
        <v>200</v>
      </c>
    </row>
    <row r="116" spans="1:19" ht="28.8" x14ac:dyDescent="0.3">
      <c r="A116" s="55" t="s">
        <v>40</v>
      </c>
      <c r="B116" s="55" t="s">
        <v>190</v>
      </c>
      <c r="C116" s="55" t="s">
        <v>191</v>
      </c>
      <c r="D116" s="138" t="s">
        <v>192</v>
      </c>
      <c r="E116" s="55" t="s">
        <v>193</v>
      </c>
      <c r="F116" s="55" t="s">
        <v>521</v>
      </c>
      <c r="G116" s="55" t="s">
        <v>543</v>
      </c>
      <c r="H116" s="55" t="s">
        <v>544</v>
      </c>
      <c r="I116" s="139" t="s">
        <v>51</v>
      </c>
      <c r="J116" s="140" t="s">
        <v>545</v>
      </c>
      <c r="K116" s="55">
        <v>20038918</v>
      </c>
      <c r="L116" s="55" t="s">
        <v>198</v>
      </c>
      <c r="M116" s="141" t="str">
        <f t="shared" si="2"/>
        <v>CC-INT_E</v>
      </c>
      <c r="N116" s="142" t="str">
        <f>LOOKUP(M116,'[2]Doc Set'!E:E,'[2]Doc Set'!F:F)</f>
        <v>_</v>
      </c>
      <c r="O116" s="141" t="s">
        <v>306</v>
      </c>
      <c r="P116" s="142">
        <f>+LOOKUP(O116,'[2]Doc Set'!E:E,'[2]Doc Set'!G:G)</f>
        <v>43489</v>
      </c>
      <c r="Q116" s="55" t="str">
        <f t="shared" si="3"/>
        <v>CC-INT_E</v>
      </c>
      <c r="R116" s="142">
        <f>+LOOKUP(Q116,'[2]Doc Set'!E:E,'[2]Doc Set'!H:H)</f>
        <v>43542</v>
      </c>
      <c r="S116" s="143" t="s">
        <v>200</v>
      </c>
    </row>
    <row r="117" spans="1:19" ht="28.8" x14ac:dyDescent="0.3">
      <c r="A117" s="55" t="s">
        <v>40</v>
      </c>
      <c r="B117" s="55" t="s">
        <v>190</v>
      </c>
      <c r="C117" s="55" t="s">
        <v>191</v>
      </c>
      <c r="D117" s="138" t="s">
        <v>192</v>
      </c>
      <c r="E117" s="55" t="s">
        <v>193</v>
      </c>
      <c r="F117" s="55" t="s">
        <v>521</v>
      </c>
      <c r="G117" s="55" t="s">
        <v>546</v>
      </c>
      <c r="H117" s="55" t="s">
        <v>547</v>
      </c>
      <c r="I117" s="139" t="s">
        <v>51</v>
      </c>
      <c r="J117" s="140" t="s">
        <v>548</v>
      </c>
      <c r="K117" s="55">
        <v>20038918</v>
      </c>
      <c r="L117" s="55" t="s">
        <v>198</v>
      </c>
      <c r="M117" s="141" t="str">
        <f t="shared" si="2"/>
        <v>CC-INT_E</v>
      </c>
      <c r="N117" s="142" t="str">
        <f>LOOKUP(M117,'[2]Doc Set'!E:E,'[2]Doc Set'!F:F)</f>
        <v>_</v>
      </c>
      <c r="O117" s="141" t="s">
        <v>306</v>
      </c>
      <c r="P117" s="142">
        <f>+LOOKUP(O117,'[2]Doc Set'!E:E,'[2]Doc Set'!G:G)</f>
        <v>43489</v>
      </c>
      <c r="Q117" s="55" t="str">
        <f t="shared" si="3"/>
        <v>CC-INT_E</v>
      </c>
      <c r="R117" s="142">
        <f>+LOOKUP(Q117,'[2]Doc Set'!E:E,'[2]Doc Set'!H:H)</f>
        <v>43542</v>
      </c>
      <c r="S117" s="143" t="s">
        <v>200</v>
      </c>
    </row>
    <row r="118" spans="1:19" ht="28.8" x14ac:dyDescent="0.3">
      <c r="A118" s="55" t="s">
        <v>40</v>
      </c>
      <c r="B118" s="55" t="s">
        <v>190</v>
      </c>
      <c r="C118" s="55" t="s">
        <v>191</v>
      </c>
      <c r="D118" s="138" t="s">
        <v>192</v>
      </c>
      <c r="E118" s="55" t="s">
        <v>193</v>
      </c>
      <c r="F118" s="55" t="s">
        <v>521</v>
      </c>
      <c r="G118" s="55" t="s">
        <v>549</v>
      </c>
      <c r="H118" s="55" t="s">
        <v>550</v>
      </c>
      <c r="I118" s="139" t="s">
        <v>51</v>
      </c>
      <c r="J118" s="140" t="s">
        <v>551</v>
      </c>
      <c r="K118" s="55">
        <v>20038918</v>
      </c>
      <c r="L118" s="55" t="s">
        <v>198</v>
      </c>
      <c r="M118" s="141" t="str">
        <f t="shared" si="2"/>
        <v>CC-INT_E</v>
      </c>
      <c r="N118" s="142" t="str">
        <f>LOOKUP(M118,'[2]Doc Set'!E:E,'[2]Doc Set'!F:F)</f>
        <v>_</v>
      </c>
      <c r="O118" s="141" t="s">
        <v>306</v>
      </c>
      <c r="P118" s="142">
        <f>+LOOKUP(O118,'[2]Doc Set'!E:E,'[2]Doc Set'!G:G)</f>
        <v>43489</v>
      </c>
      <c r="Q118" s="55" t="str">
        <f t="shared" si="3"/>
        <v>CC-INT_E</v>
      </c>
      <c r="R118" s="142">
        <f>+LOOKUP(Q118,'[2]Doc Set'!E:E,'[2]Doc Set'!H:H)</f>
        <v>43542</v>
      </c>
      <c r="S118" s="143" t="s">
        <v>200</v>
      </c>
    </row>
    <row r="119" spans="1:19" ht="28.8" x14ac:dyDescent="0.3">
      <c r="A119" s="55" t="s">
        <v>40</v>
      </c>
      <c r="B119" s="55" t="s">
        <v>190</v>
      </c>
      <c r="C119" s="55" t="s">
        <v>191</v>
      </c>
      <c r="D119" s="138" t="s">
        <v>192</v>
      </c>
      <c r="E119" s="55" t="s">
        <v>193</v>
      </c>
      <c r="F119" s="55" t="s">
        <v>521</v>
      </c>
      <c r="G119" s="55" t="s">
        <v>552</v>
      </c>
      <c r="H119" s="55" t="s">
        <v>553</v>
      </c>
      <c r="I119" s="139" t="s">
        <v>51</v>
      </c>
      <c r="J119" s="140" t="s">
        <v>554</v>
      </c>
      <c r="K119" s="55">
        <v>20038918</v>
      </c>
      <c r="L119" s="55" t="s">
        <v>198</v>
      </c>
      <c r="M119" s="141" t="str">
        <f t="shared" si="2"/>
        <v>CC-INT_E</v>
      </c>
      <c r="N119" s="142" t="str">
        <f>LOOKUP(M119,'[2]Doc Set'!E:E,'[2]Doc Set'!F:F)</f>
        <v>_</v>
      </c>
      <c r="O119" s="141" t="s">
        <v>306</v>
      </c>
      <c r="P119" s="142">
        <f>+LOOKUP(O119,'[2]Doc Set'!E:E,'[2]Doc Set'!G:G)</f>
        <v>43489</v>
      </c>
      <c r="Q119" s="55" t="str">
        <f t="shared" si="3"/>
        <v>CC-INT_E</v>
      </c>
      <c r="R119" s="142">
        <f>+LOOKUP(Q119,'[2]Doc Set'!E:E,'[2]Doc Set'!H:H)</f>
        <v>43542</v>
      </c>
      <c r="S119" s="143" t="s">
        <v>200</v>
      </c>
    </row>
    <row r="120" spans="1:19" s="153" customFormat="1" ht="28.8" x14ac:dyDescent="0.3">
      <c r="A120" s="144" t="s">
        <v>40</v>
      </c>
      <c r="B120" s="144" t="s">
        <v>190</v>
      </c>
      <c r="C120" s="144" t="s">
        <v>191</v>
      </c>
      <c r="D120" s="145" t="s">
        <v>192</v>
      </c>
      <c r="E120" s="144" t="s">
        <v>193</v>
      </c>
      <c r="F120" s="144" t="s">
        <v>555</v>
      </c>
      <c r="G120" s="144" t="s">
        <v>53</v>
      </c>
      <c r="H120" s="144" t="s">
        <v>556</v>
      </c>
      <c r="I120" s="146" t="s">
        <v>51</v>
      </c>
      <c r="J120" s="147" t="s">
        <v>557</v>
      </c>
      <c r="K120" s="144">
        <v>20038918</v>
      </c>
      <c r="L120" s="148" t="s">
        <v>558</v>
      </c>
      <c r="M120" s="149" t="s">
        <v>559</v>
      </c>
      <c r="N120" s="150">
        <f>LOOKUP(M120,'[2]Doc Set'!E:E,'[2]Doc Set'!F:F)</f>
        <v>43185</v>
      </c>
      <c r="O120" s="151" t="s">
        <v>560</v>
      </c>
      <c r="P120" s="150">
        <f>+LOOKUP(O120,'[2]Doc Set'!E:E,'[2]Doc Set'!G:G)</f>
        <v>43278</v>
      </c>
      <c r="Q120" s="144" t="str">
        <f>+O120</f>
        <v>CC-SS_B</v>
      </c>
      <c r="R120" s="150">
        <f>+LOOKUP(Q120,'[2]Doc Set'!E:E,'[2]Doc Set'!H:H)</f>
        <v>43308</v>
      </c>
      <c r="S120" s="152" t="s">
        <v>200</v>
      </c>
    </row>
    <row r="121" spans="1:19" s="153" customFormat="1" ht="28.8" x14ac:dyDescent="0.3">
      <c r="A121" s="144" t="s">
        <v>40</v>
      </c>
      <c r="B121" s="144" t="s">
        <v>190</v>
      </c>
      <c r="C121" s="144" t="s">
        <v>191</v>
      </c>
      <c r="D121" s="145" t="s">
        <v>192</v>
      </c>
      <c r="E121" s="144" t="s">
        <v>193</v>
      </c>
      <c r="F121" s="144" t="s">
        <v>555</v>
      </c>
      <c r="G121" s="144" t="s">
        <v>561</v>
      </c>
      <c r="H121" s="144" t="s">
        <v>562</v>
      </c>
      <c r="I121" s="146" t="s">
        <v>51</v>
      </c>
      <c r="J121" s="147" t="s">
        <v>563</v>
      </c>
      <c r="K121" s="144">
        <v>20038918</v>
      </c>
      <c r="L121" s="148" t="s">
        <v>558</v>
      </c>
      <c r="M121" s="151" t="str">
        <f t="shared" ref="M121:M127" si="4">+O121</f>
        <v>CC-SS_B</v>
      </c>
      <c r="N121" s="150" t="str">
        <f>LOOKUP(M121,'[2]Doc Set'!E:E,'[2]Doc Set'!F:F)</f>
        <v>_</v>
      </c>
      <c r="O121" s="151" t="s">
        <v>560</v>
      </c>
      <c r="P121" s="150">
        <f>+LOOKUP(O121,'[2]Doc Set'!E:E,'[2]Doc Set'!G:G)</f>
        <v>43278</v>
      </c>
      <c r="Q121" s="144" t="str">
        <f t="shared" ref="Q121:Q169" si="5">+O121</f>
        <v>CC-SS_B</v>
      </c>
      <c r="R121" s="150">
        <f>+LOOKUP(Q121,'[2]Doc Set'!E:E,'[2]Doc Set'!H:H)</f>
        <v>43308</v>
      </c>
      <c r="S121" s="152" t="s">
        <v>200</v>
      </c>
    </row>
    <row r="122" spans="1:19" s="153" customFormat="1" x14ac:dyDescent="0.3">
      <c r="A122" s="144" t="s">
        <v>40</v>
      </c>
      <c r="B122" s="144" t="s">
        <v>190</v>
      </c>
      <c r="C122" s="144" t="s">
        <v>191</v>
      </c>
      <c r="D122" s="145" t="s">
        <v>192</v>
      </c>
      <c r="E122" s="144" t="s">
        <v>193</v>
      </c>
      <c r="F122" s="144" t="s">
        <v>555</v>
      </c>
      <c r="G122" s="144" t="s">
        <v>564</v>
      </c>
      <c r="H122" s="144" t="s">
        <v>565</v>
      </c>
      <c r="I122" s="146" t="s">
        <v>51</v>
      </c>
      <c r="J122" s="147" t="s">
        <v>566</v>
      </c>
      <c r="K122" s="144">
        <v>20038918</v>
      </c>
      <c r="L122" s="148" t="s">
        <v>558</v>
      </c>
      <c r="M122" s="151" t="str">
        <f t="shared" si="4"/>
        <v>CC-SS_B</v>
      </c>
      <c r="N122" s="150" t="str">
        <f>LOOKUP(M122,'[2]Doc Set'!E:E,'[2]Doc Set'!F:F)</f>
        <v>_</v>
      </c>
      <c r="O122" s="151" t="s">
        <v>560</v>
      </c>
      <c r="P122" s="150">
        <f>+LOOKUP(O122,'[2]Doc Set'!E:E,'[2]Doc Set'!G:G)</f>
        <v>43278</v>
      </c>
      <c r="Q122" s="144" t="str">
        <f t="shared" si="5"/>
        <v>CC-SS_B</v>
      </c>
      <c r="R122" s="150">
        <f>+LOOKUP(Q122,'[2]Doc Set'!E:E,'[2]Doc Set'!H:H)</f>
        <v>43308</v>
      </c>
      <c r="S122" s="152" t="s">
        <v>200</v>
      </c>
    </row>
    <row r="123" spans="1:19" s="153" customFormat="1" ht="28.8" x14ac:dyDescent="0.3">
      <c r="A123" s="144" t="s">
        <v>40</v>
      </c>
      <c r="B123" s="144" t="s">
        <v>190</v>
      </c>
      <c r="C123" s="144" t="s">
        <v>191</v>
      </c>
      <c r="D123" s="145" t="s">
        <v>192</v>
      </c>
      <c r="E123" s="144" t="s">
        <v>193</v>
      </c>
      <c r="F123" s="144" t="s">
        <v>555</v>
      </c>
      <c r="G123" s="144" t="s">
        <v>567</v>
      </c>
      <c r="H123" s="144" t="s">
        <v>568</v>
      </c>
      <c r="I123" s="146" t="s">
        <v>51</v>
      </c>
      <c r="J123" s="147" t="s">
        <v>569</v>
      </c>
      <c r="K123" s="144">
        <v>20038918</v>
      </c>
      <c r="L123" s="148" t="s">
        <v>558</v>
      </c>
      <c r="M123" s="151" t="str">
        <f t="shared" si="4"/>
        <v>CC-SS_B</v>
      </c>
      <c r="N123" s="150" t="str">
        <f>LOOKUP(M123,'[2]Doc Set'!E:E,'[2]Doc Set'!F:F)</f>
        <v>_</v>
      </c>
      <c r="O123" s="151" t="s">
        <v>560</v>
      </c>
      <c r="P123" s="150">
        <f>+LOOKUP(O123,'[2]Doc Set'!E:E,'[2]Doc Set'!G:G)</f>
        <v>43278</v>
      </c>
      <c r="Q123" s="144" t="str">
        <f t="shared" si="5"/>
        <v>CC-SS_B</v>
      </c>
      <c r="R123" s="150">
        <f>+LOOKUP(Q123,'[2]Doc Set'!E:E,'[2]Doc Set'!H:H)</f>
        <v>43308</v>
      </c>
      <c r="S123" s="152" t="s">
        <v>200</v>
      </c>
    </row>
    <row r="124" spans="1:19" s="153" customFormat="1" x14ac:dyDescent="0.3">
      <c r="A124" s="144" t="s">
        <v>40</v>
      </c>
      <c r="B124" s="144" t="s">
        <v>190</v>
      </c>
      <c r="C124" s="144" t="s">
        <v>191</v>
      </c>
      <c r="D124" s="145" t="s">
        <v>192</v>
      </c>
      <c r="E124" s="144" t="s">
        <v>193</v>
      </c>
      <c r="F124" s="144" t="s">
        <v>555</v>
      </c>
      <c r="G124" s="144" t="s">
        <v>570</v>
      </c>
      <c r="H124" s="144" t="s">
        <v>571</v>
      </c>
      <c r="I124" s="146" t="s">
        <v>51</v>
      </c>
      <c r="J124" s="147" t="s">
        <v>572</v>
      </c>
      <c r="K124" s="144">
        <v>20038918</v>
      </c>
      <c r="L124" s="148" t="s">
        <v>558</v>
      </c>
      <c r="M124" s="151" t="str">
        <f t="shared" si="4"/>
        <v>CC-SS_B</v>
      </c>
      <c r="N124" s="150" t="str">
        <f>LOOKUP(M124,'[2]Doc Set'!E:E,'[2]Doc Set'!F:F)</f>
        <v>_</v>
      </c>
      <c r="O124" s="151" t="s">
        <v>560</v>
      </c>
      <c r="P124" s="150">
        <f>+LOOKUP(O124,'[2]Doc Set'!E:E,'[2]Doc Set'!G:G)</f>
        <v>43278</v>
      </c>
      <c r="Q124" s="144" t="str">
        <f t="shared" si="5"/>
        <v>CC-SS_B</v>
      </c>
      <c r="R124" s="150">
        <f>+LOOKUP(Q124,'[2]Doc Set'!E:E,'[2]Doc Set'!H:H)</f>
        <v>43308</v>
      </c>
      <c r="S124" s="152" t="s">
        <v>200</v>
      </c>
    </row>
    <row r="125" spans="1:19" s="153" customFormat="1" ht="28.8" x14ac:dyDescent="0.3">
      <c r="A125" s="144" t="s">
        <v>40</v>
      </c>
      <c r="B125" s="144" t="s">
        <v>190</v>
      </c>
      <c r="C125" s="144" t="s">
        <v>191</v>
      </c>
      <c r="D125" s="145" t="s">
        <v>192</v>
      </c>
      <c r="E125" s="144" t="s">
        <v>193</v>
      </c>
      <c r="F125" s="144" t="s">
        <v>555</v>
      </c>
      <c r="G125" s="144" t="s">
        <v>573</v>
      </c>
      <c r="H125" s="144" t="s">
        <v>574</v>
      </c>
      <c r="I125" s="146" t="s">
        <v>51</v>
      </c>
      <c r="J125" s="147" t="s">
        <v>575</v>
      </c>
      <c r="K125" s="144">
        <v>20038918</v>
      </c>
      <c r="L125" s="148" t="s">
        <v>558</v>
      </c>
      <c r="M125" s="151" t="str">
        <f t="shared" si="4"/>
        <v>CC-SS_B</v>
      </c>
      <c r="N125" s="150" t="str">
        <f>LOOKUP(M125,'[2]Doc Set'!E:E,'[2]Doc Set'!F:F)</f>
        <v>_</v>
      </c>
      <c r="O125" s="151" t="s">
        <v>560</v>
      </c>
      <c r="P125" s="150">
        <f>+LOOKUP(O125,'[2]Doc Set'!E:E,'[2]Doc Set'!G:G)</f>
        <v>43278</v>
      </c>
      <c r="Q125" s="144" t="str">
        <f t="shared" si="5"/>
        <v>CC-SS_B</v>
      </c>
      <c r="R125" s="150">
        <f>+LOOKUP(Q125,'[2]Doc Set'!E:E,'[2]Doc Set'!H:H)</f>
        <v>43308</v>
      </c>
      <c r="S125" s="152" t="s">
        <v>200</v>
      </c>
    </row>
    <row r="126" spans="1:19" s="153" customFormat="1" ht="28.8" x14ac:dyDescent="0.3">
      <c r="A126" s="144" t="s">
        <v>40</v>
      </c>
      <c r="B126" s="144" t="s">
        <v>190</v>
      </c>
      <c r="C126" s="144" t="s">
        <v>191</v>
      </c>
      <c r="D126" s="145" t="s">
        <v>192</v>
      </c>
      <c r="E126" s="144" t="s">
        <v>193</v>
      </c>
      <c r="F126" s="144" t="s">
        <v>555</v>
      </c>
      <c r="G126" s="144" t="s">
        <v>576</v>
      </c>
      <c r="H126" s="144" t="s">
        <v>577</v>
      </c>
      <c r="I126" s="146" t="s">
        <v>51</v>
      </c>
      <c r="J126" s="147" t="s">
        <v>578</v>
      </c>
      <c r="K126" s="144">
        <v>20038918</v>
      </c>
      <c r="L126" s="148" t="s">
        <v>558</v>
      </c>
      <c r="M126" s="151" t="str">
        <f t="shared" si="4"/>
        <v>CC-SS_B</v>
      </c>
      <c r="N126" s="150" t="str">
        <f>LOOKUP(M126,'[2]Doc Set'!E:E,'[2]Doc Set'!F:F)</f>
        <v>_</v>
      </c>
      <c r="O126" s="151" t="s">
        <v>560</v>
      </c>
      <c r="P126" s="150">
        <f>+LOOKUP(O126,'[2]Doc Set'!E:E,'[2]Doc Set'!G:G)</f>
        <v>43278</v>
      </c>
      <c r="Q126" s="144" t="str">
        <f t="shared" si="5"/>
        <v>CC-SS_B</v>
      </c>
      <c r="R126" s="150">
        <f>+LOOKUP(Q126,'[2]Doc Set'!E:E,'[2]Doc Set'!H:H)</f>
        <v>43308</v>
      </c>
      <c r="S126" s="152" t="s">
        <v>200</v>
      </c>
    </row>
    <row r="127" spans="1:19" s="153" customFormat="1" ht="28.8" x14ac:dyDescent="0.3">
      <c r="A127" s="144" t="s">
        <v>40</v>
      </c>
      <c r="B127" s="144" t="s">
        <v>190</v>
      </c>
      <c r="C127" s="144" t="s">
        <v>191</v>
      </c>
      <c r="D127" s="145" t="s">
        <v>192</v>
      </c>
      <c r="E127" s="144" t="s">
        <v>193</v>
      </c>
      <c r="F127" s="144" t="s">
        <v>555</v>
      </c>
      <c r="G127" s="144" t="s">
        <v>579</v>
      </c>
      <c r="H127" s="144" t="s">
        <v>580</v>
      </c>
      <c r="I127" s="146" t="s">
        <v>51</v>
      </c>
      <c r="J127" s="147" t="s">
        <v>581</v>
      </c>
      <c r="K127" s="144">
        <v>20038918</v>
      </c>
      <c r="L127" s="148" t="s">
        <v>558</v>
      </c>
      <c r="M127" s="151" t="str">
        <f t="shared" si="4"/>
        <v>CC-SS_B</v>
      </c>
      <c r="N127" s="150" t="str">
        <f>LOOKUP(M127,'[2]Doc Set'!E:E,'[2]Doc Set'!F:F)</f>
        <v>_</v>
      </c>
      <c r="O127" s="151" t="s">
        <v>560</v>
      </c>
      <c r="P127" s="150">
        <f>+LOOKUP(O127,'[2]Doc Set'!E:E,'[2]Doc Set'!G:G)</f>
        <v>43278</v>
      </c>
      <c r="Q127" s="144" t="str">
        <f t="shared" si="5"/>
        <v>CC-SS_B</v>
      </c>
      <c r="R127" s="150">
        <f>+LOOKUP(Q127,'[2]Doc Set'!E:E,'[2]Doc Set'!H:H)</f>
        <v>43308</v>
      </c>
      <c r="S127" s="152" t="s">
        <v>200</v>
      </c>
    </row>
    <row r="128" spans="1:19" s="153" customFormat="1" ht="28.8" x14ac:dyDescent="0.3">
      <c r="A128" s="144" t="s">
        <v>40</v>
      </c>
      <c r="B128" s="144" t="s">
        <v>190</v>
      </c>
      <c r="C128" s="144" t="s">
        <v>191</v>
      </c>
      <c r="D128" s="145" t="s">
        <v>192</v>
      </c>
      <c r="E128" s="144" t="s">
        <v>193</v>
      </c>
      <c r="F128" s="144" t="s">
        <v>555</v>
      </c>
      <c r="G128" s="144" t="s">
        <v>582</v>
      </c>
      <c r="H128" s="144" t="s">
        <v>583</v>
      </c>
      <c r="I128" s="146" t="s">
        <v>51</v>
      </c>
      <c r="J128" s="147" t="s">
        <v>584</v>
      </c>
      <c r="K128" s="144">
        <v>20038918</v>
      </c>
      <c r="L128" s="148" t="s">
        <v>558</v>
      </c>
      <c r="M128" s="149" t="s">
        <v>559</v>
      </c>
      <c r="N128" s="150">
        <f>LOOKUP(M128,'[2]Doc Set'!E:E,'[2]Doc Set'!F:F)</f>
        <v>43185</v>
      </c>
      <c r="O128" s="151" t="s">
        <v>560</v>
      </c>
      <c r="P128" s="150">
        <f>+LOOKUP(O128,'[2]Doc Set'!E:E,'[2]Doc Set'!G:G)</f>
        <v>43278</v>
      </c>
      <c r="Q128" s="144" t="str">
        <f t="shared" si="5"/>
        <v>CC-SS_B</v>
      </c>
      <c r="R128" s="150">
        <f>+LOOKUP(Q128,'[2]Doc Set'!E:E,'[2]Doc Set'!H:H)</f>
        <v>43308</v>
      </c>
      <c r="S128" s="152" t="s">
        <v>200</v>
      </c>
    </row>
    <row r="129" spans="1:19" s="153" customFormat="1" ht="28.8" x14ac:dyDescent="0.3">
      <c r="A129" s="144" t="s">
        <v>40</v>
      </c>
      <c r="B129" s="144" t="s">
        <v>190</v>
      </c>
      <c r="C129" s="144" t="s">
        <v>191</v>
      </c>
      <c r="D129" s="145" t="s">
        <v>192</v>
      </c>
      <c r="E129" s="144" t="s">
        <v>193</v>
      </c>
      <c r="F129" s="144" t="s">
        <v>555</v>
      </c>
      <c r="G129" s="144" t="s">
        <v>585</v>
      </c>
      <c r="H129" s="144" t="s">
        <v>586</v>
      </c>
      <c r="I129" s="146" t="s">
        <v>51</v>
      </c>
      <c r="J129" s="147" t="s">
        <v>587</v>
      </c>
      <c r="K129" s="144">
        <v>20038918</v>
      </c>
      <c r="L129" s="148" t="s">
        <v>558</v>
      </c>
      <c r="M129" s="149" t="s">
        <v>559</v>
      </c>
      <c r="N129" s="150">
        <f>LOOKUP(M129,'[2]Doc Set'!E:E,'[2]Doc Set'!F:F)</f>
        <v>43185</v>
      </c>
      <c r="O129" s="151" t="s">
        <v>560</v>
      </c>
      <c r="P129" s="150">
        <f>+LOOKUP(O129,'[2]Doc Set'!E:E,'[2]Doc Set'!G:G)</f>
        <v>43278</v>
      </c>
      <c r="Q129" s="144" t="str">
        <f t="shared" si="5"/>
        <v>CC-SS_B</v>
      </c>
      <c r="R129" s="150">
        <f>+LOOKUP(Q129,'[2]Doc Set'!E:E,'[2]Doc Set'!H:H)</f>
        <v>43308</v>
      </c>
      <c r="S129" s="152" t="s">
        <v>200</v>
      </c>
    </row>
    <row r="130" spans="1:19" s="153" customFormat="1" ht="28.8" x14ac:dyDescent="0.3">
      <c r="A130" s="144" t="s">
        <v>40</v>
      </c>
      <c r="B130" s="144" t="s">
        <v>190</v>
      </c>
      <c r="C130" s="144" t="s">
        <v>191</v>
      </c>
      <c r="D130" s="145" t="s">
        <v>192</v>
      </c>
      <c r="E130" s="144" t="s">
        <v>193</v>
      </c>
      <c r="F130" s="144" t="s">
        <v>555</v>
      </c>
      <c r="G130" s="144" t="s">
        <v>588</v>
      </c>
      <c r="H130" s="144" t="s">
        <v>589</v>
      </c>
      <c r="I130" s="146" t="s">
        <v>51</v>
      </c>
      <c r="J130" s="147" t="s">
        <v>590</v>
      </c>
      <c r="K130" s="144">
        <v>20038918</v>
      </c>
      <c r="L130" s="148" t="s">
        <v>558</v>
      </c>
      <c r="M130" s="149" t="s">
        <v>559</v>
      </c>
      <c r="N130" s="150">
        <f>LOOKUP(M130,'[2]Doc Set'!E:E,'[2]Doc Set'!F:F)</f>
        <v>43185</v>
      </c>
      <c r="O130" s="151" t="s">
        <v>560</v>
      </c>
      <c r="P130" s="150">
        <f>+LOOKUP(O130,'[2]Doc Set'!E:E,'[2]Doc Set'!G:G)</f>
        <v>43278</v>
      </c>
      <c r="Q130" s="144" t="str">
        <f t="shared" si="5"/>
        <v>CC-SS_B</v>
      </c>
      <c r="R130" s="150">
        <f>+LOOKUP(Q130,'[2]Doc Set'!E:E,'[2]Doc Set'!H:H)</f>
        <v>43308</v>
      </c>
      <c r="S130" s="152" t="s">
        <v>200</v>
      </c>
    </row>
    <row r="131" spans="1:19" s="153" customFormat="1" ht="28.8" x14ac:dyDescent="0.3">
      <c r="A131" s="144" t="s">
        <v>40</v>
      </c>
      <c r="B131" s="144" t="s">
        <v>190</v>
      </c>
      <c r="C131" s="144" t="s">
        <v>191</v>
      </c>
      <c r="D131" s="145" t="s">
        <v>192</v>
      </c>
      <c r="E131" s="144" t="s">
        <v>193</v>
      </c>
      <c r="F131" s="144" t="s">
        <v>555</v>
      </c>
      <c r="G131" s="144" t="s">
        <v>591</v>
      </c>
      <c r="H131" s="144" t="s">
        <v>592</v>
      </c>
      <c r="I131" s="146" t="s">
        <v>51</v>
      </c>
      <c r="J131" s="147" t="s">
        <v>593</v>
      </c>
      <c r="K131" s="144">
        <v>20038918</v>
      </c>
      <c r="L131" s="148" t="s">
        <v>558</v>
      </c>
      <c r="M131" s="149" t="s">
        <v>559</v>
      </c>
      <c r="N131" s="150">
        <f>LOOKUP(M131,'[2]Doc Set'!E:E,'[2]Doc Set'!F:F)</f>
        <v>43185</v>
      </c>
      <c r="O131" s="151" t="s">
        <v>560</v>
      </c>
      <c r="P131" s="150">
        <f>+LOOKUP(O131,'[2]Doc Set'!E:E,'[2]Doc Set'!G:G)</f>
        <v>43278</v>
      </c>
      <c r="Q131" s="144" t="str">
        <f t="shared" si="5"/>
        <v>CC-SS_B</v>
      </c>
      <c r="R131" s="150">
        <f>+LOOKUP(Q131,'[2]Doc Set'!E:E,'[2]Doc Set'!H:H)</f>
        <v>43308</v>
      </c>
      <c r="S131" s="152" t="s">
        <v>200</v>
      </c>
    </row>
    <row r="132" spans="1:19" s="153" customFormat="1" ht="28.8" x14ac:dyDescent="0.3">
      <c r="A132" s="144" t="s">
        <v>40</v>
      </c>
      <c r="B132" s="144" t="s">
        <v>190</v>
      </c>
      <c r="C132" s="144" t="s">
        <v>191</v>
      </c>
      <c r="D132" s="145" t="s">
        <v>192</v>
      </c>
      <c r="E132" s="144" t="s">
        <v>193</v>
      </c>
      <c r="F132" s="144" t="s">
        <v>555</v>
      </c>
      <c r="G132" s="144" t="s">
        <v>594</v>
      </c>
      <c r="H132" s="144" t="s">
        <v>595</v>
      </c>
      <c r="I132" s="146" t="s">
        <v>51</v>
      </c>
      <c r="J132" s="147" t="s">
        <v>596</v>
      </c>
      <c r="K132" s="144">
        <v>20038918</v>
      </c>
      <c r="L132" s="148" t="s">
        <v>558</v>
      </c>
      <c r="M132" s="151" t="str">
        <f>+O132</f>
        <v>CC-SS_B</v>
      </c>
      <c r="N132" s="150" t="str">
        <f>LOOKUP(M132,'[2]Doc Set'!E:E,'[2]Doc Set'!F:F)</f>
        <v>_</v>
      </c>
      <c r="O132" s="151" t="s">
        <v>560</v>
      </c>
      <c r="P132" s="150">
        <f>+LOOKUP(O132,'[2]Doc Set'!E:E,'[2]Doc Set'!G:G)</f>
        <v>43278</v>
      </c>
      <c r="Q132" s="144" t="str">
        <f t="shared" si="5"/>
        <v>CC-SS_B</v>
      </c>
      <c r="R132" s="150">
        <f>+LOOKUP(Q132,'[2]Doc Set'!E:E,'[2]Doc Set'!H:H)</f>
        <v>43308</v>
      </c>
      <c r="S132" s="152" t="s">
        <v>200</v>
      </c>
    </row>
    <row r="133" spans="1:19" s="153" customFormat="1" ht="28.8" x14ac:dyDescent="0.3">
      <c r="A133" s="144" t="s">
        <v>40</v>
      </c>
      <c r="B133" s="144" t="s">
        <v>190</v>
      </c>
      <c r="C133" s="144" t="s">
        <v>191</v>
      </c>
      <c r="D133" s="145" t="s">
        <v>192</v>
      </c>
      <c r="E133" s="144" t="s">
        <v>193</v>
      </c>
      <c r="F133" s="144" t="s">
        <v>555</v>
      </c>
      <c r="G133" s="144" t="s">
        <v>597</v>
      </c>
      <c r="H133" s="144" t="s">
        <v>598</v>
      </c>
      <c r="I133" s="146" t="s">
        <v>51</v>
      </c>
      <c r="J133" s="147" t="s">
        <v>599</v>
      </c>
      <c r="K133" s="144">
        <v>20038918</v>
      </c>
      <c r="L133" s="148" t="s">
        <v>558</v>
      </c>
      <c r="M133" s="149" t="s">
        <v>559</v>
      </c>
      <c r="N133" s="150">
        <f>LOOKUP(M133,'[2]Doc Set'!E:E,'[2]Doc Set'!F:F)</f>
        <v>43185</v>
      </c>
      <c r="O133" s="151" t="s">
        <v>560</v>
      </c>
      <c r="P133" s="150">
        <f>+LOOKUP(O133,'[2]Doc Set'!E:E,'[2]Doc Set'!G:G)</f>
        <v>43278</v>
      </c>
      <c r="Q133" s="144" t="str">
        <f t="shared" si="5"/>
        <v>CC-SS_B</v>
      </c>
      <c r="R133" s="150">
        <f>+LOOKUP(Q133,'[2]Doc Set'!E:E,'[2]Doc Set'!H:H)</f>
        <v>43308</v>
      </c>
      <c r="S133" s="152" t="s">
        <v>200</v>
      </c>
    </row>
    <row r="134" spans="1:19" s="153" customFormat="1" ht="28.8" x14ac:dyDescent="0.3">
      <c r="A134" s="144" t="s">
        <v>40</v>
      </c>
      <c r="B134" s="144" t="s">
        <v>190</v>
      </c>
      <c r="C134" s="144" t="s">
        <v>191</v>
      </c>
      <c r="D134" s="145" t="s">
        <v>192</v>
      </c>
      <c r="E134" s="144" t="s">
        <v>193</v>
      </c>
      <c r="F134" s="144" t="s">
        <v>555</v>
      </c>
      <c r="G134" s="144" t="s">
        <v>600</v>
      </c>
      <c r="H134" s="144" t="s">
        <v>601</v>
      </c>
      <c r="I134" s="146" t="s">
        <v>51</v>
      </c>
      <c r="J134" s="147" t="s">
        <v>602</v>
      </c>
      <c r="K134" s="144">
        <v>20038918</v>
      </c>
      <c r="L134" s="148" t="s">
        <v>558</v>
      </c>
      <c r="M134" s="151" t="str">
        <f>+O134</f>
        <v>CC-SS_B</v>
      </c>
      <c r="N134" s="150" t="str">
        <f>LOOKUP(M134,'[2]Doc Set'!E:E,'[2]Doc Set'!F:F)</f>
        <v>_</v>
      </c>
      <c r="O134" s="151" t="s">
        <v>560</v>
      </c>
      <c r="P134" s="150">
        <f>+LOOKUP(O134,'[2]Doc Set'!E:E,'[2]Doc Set'!G:G)</f>
        <v>43278</v>
      </c>
      <c r="Q134" s="144" t="str">
        <f t="shared" si="5"/>
        <v>CC-SS_B</v>
      </c>
      <c r="R134" s="150">
        <f>+LOOKUP(Q134,'[2]Doc Set'!E:E,'[2]Doc Set'!H:H)</f>
        <v>43308</v>
      </c>
      <c r="S134" s="152" t="s">
        <v>200</v>
      </c>
    </row>
    <row r="135" spans="1:19" s="153" customFormat="1" ht="28.8" x14ac:dyDescent="0.3">
      <c r="A135" s="144" t="s">
        <v>40</v>
      </c>
      <c r="B135" s="144" t="s">
        <v>190</v>
      </c>
      <c r="C135" s="144" t="s">
        <v>191</v>
      </c>
      <c r="D135" s="145" t="s">
        <v>192</v>
      </c>
      <c r="E135" s="144" t="s">
        <v>193</v>
      </c>
      <c r="F135" s="144" t="s">
        <v>555</v>
      </c>
      <c r="G135" s="144" t="s">
        <v>603</v>
      </c>
      <c r="H135" s="144" t="s">
        <v>604</v>
      </c>
      <c r="I135" s="146" t="s">
        <v>51</v>
      </c>
      <c r="J135" s="147" t="s">
        <v>605</v>
      </c>
      <c r="K135" s="144">
        <v>20038918</v>
      </c>
      <c r="L135" s="148" t="s">
        <v>558</v>
      </c>
      <c r="M135" s="149" t="s">
        <v>559</v>
      </c>
      <c r="N135" s="150">
        <f>LOOKUP(M135,'[2]Doc Set'!E:E,'[2]Doc Set'!F:F)</f>
        <v>43185</v>
      </c>
      <c r="O135" s="151" t="s">
        <v>560</v>
      </c>
      <c r="P135" s="150">
        <f>+LOOKUP(O135,'[2]Doc Set'!E:E,'[2]Doc Set'!G:G)</f>
        <v>43278</v>
      </c>
      <c r="Q135" s="144" t="str">
        <f t="shared" si="5"/>
        <v>CC-SS_B</v>
      </c>
      <c r="R135" s="150">
        <f>+LOOKUP(Q135,'[2]Doc Set'!E:E,'[2]Doc Set'!H:H)</f>
        <v>43308</v>
      </c>
      <c r="S135" s="152" t="s">
        <v>200</v>
      </c>
    </row>
    <row r="136" spans="1:19" s="153" customFormat="1" ht="28.8" x14ac:dyDescent="0.3">
      <c r="A136" s="144" t="s">
        <v>40</v>
      </c>
      <c r="B136" s="144" t="s">
        <v>190</v>
      </c>
      <c r="C136" s="144" t="s">
        <v>191</v>
      </c>
      <c r="D136" s="145" t="s">
        <v>192</v>
      </c>
      <c r="E136" s="144" t="s">
        <v>193</v>
      </c>
      <c r="F136" s="144" t="s">
        <v>555</v>
      </c>
      <c r="G136" s="144" t="s">
        <v>606</v>
      </c>
      <c r="H136" s="144" t="s">
        <v>607</v>
      </c>
      <c r="I136" s="146" t="s">
        <v>51</v>
      </c>
      <c r="J136" s="147" t="s">
        <v>608</v>
      </c>
      <c r="K136" s="144">
        <v>20038918</v>
      </c>
      <c r="L136" s="148" t="s">
        <v>558</v>
      </c>
      <c r="M136" s="151" t="str">
        <f t="shared" ref="M136:M169" si="6">+O136</f>
        <v>CC-SS_B</v>
      </c>
      <c r="N136" s="150" t="str">
        <f>LOOKUP(M136,'[2]Doc Set'!E:E,'[2]Doc Set'!F:F)</f>
        <v>_</v>
      </c>
      <c r="O136" s="151" t="s">
        <v>560</v>
      </c>
      <c r="P136" s="150">
        <f>+LOOKUP(O136,'[2]Doc Set'!E:E,'[2]Doc Set'!G:G)</f>
        <v>43278</v>
      </c>
      <c r="Q136" s="144" t="str">
        <f t="shared" si="5"/>
        <v>CC-SS_B</v>
      </c>
      <c r="R136" s="150">
        <f>+LOOKUP(Q136,'[2]Doc Set'!E:E,'[2]Doc Set'!H:H)</f>
        <v>43308</v>
      </c>
      <c r="S136" s="152" t="s">
        <v>200</v>
      </c>
    </row>
    <row r="137" spans="1:19" s="153" customFormat="1" x14ac:dyDescent="0.3">
      <c r="A137" s="144" t="s">
        <v>40</v>
      </c>
      <c r="B137" s="144" t="s">
        <v>190</v>
      </c>
      <c r="C137" s="144" t="s">
        <v>191</v>
      </c>
      <c r="D137" s="145" t="s">
        <v>192</v>
      </c>
      <c r="E137" s="144" t="s">
        <v>193</v>
      </c>
      <c r="F137" s="144" t="s">
        <v>609</v>
      </c>
      <c r="G137" s="144" t="s">
        <v>610</v>
      </c>
      <c r="H137" s="144" t="s">
        <v>611</v>
      </c>
      <c r="I137" s="146" t="s">
        <v>51</v>
      </c>
      <c r="J137" s="147" t="s">
        <v>612</v>
      </c>
      <c r="K137" s="144">
        <v>20038918</v>
      </c>
      <c r="L137" s="144" t="s">
        <v>198</v>
      </c>
      <c r="M137" s="151" t="str">
        <f t="shared" si="6"/>
        <v>CC-SS_B</v>
      </c>
      <c r="N137" s="150" t="str">
        <f>LOOKUP(M137,'[2]Doc Set'!E:E,'[2]Doc Set'!F:F)</f>
        <v>_</v>
      </c>
      <c r="O137" s="151" t="s">
        <v>560</v>
      </c>
      <c r="P137" s="150">
        <f>+LOOKUP(O137,'[2]Doc Set'!E:E,'[2]Doc Set'!G:G)</f>
        <v>43278</v>
      </c>
      <c r="Q137" s="144" t="str">
        <f t="shared" si="5"/>
        <v>CC-SS_B</v>
      </c>
      <c r="R137" s="150">
        <f>+LOOKUP(Q137,'[2]Doc Set'!E:E,'[2]Doc Set'!H:H)</f>
        <v>43308</v>
      </c>
      <c r="S137" s="152" t="s">
        <v>200</v>
      </c>
    </row>
    <row r="138" spans="1:19" s="153" customFormat="1" x14ac:dyDescent="0.3">
      <c r="A138" s="144" t="s">
        <v>40</v>
      </c>
      <c r="B138" s="144" t="s">
        <v>190</v>
      </c>
      <c r="C138" s="144" t="s">
        <v>191</v>
      </c>
      <c r="D138" s="145" t="s">
        <v>192</v>
      </c>
      <c r="E138" s="144" t="s">
        <v>193</v>
      </c>
      <c r="F138" s="144" t="s">
        <v>613</v>
      </c>
      <c r="G138" s="144" t="s">
        <v>614</v>
      </c>
      <c r="H138" s="144" t="s">
        <v>615</v>
      </c>
      <c r="I138" s="146" t="s">
        <v>51</v>
      </c>
      <c r="J138" s="147" t="s">
        <v>616</v>
      </c>
      <c r="K138" s="144">
        <v>20038918</v>
      </c>
      <c r="L138" s="144" t="s">
        <v>198</v>
      </c>
      <c r="M138" s="151" t="str">
        <f t="shared" si="6"/>
        <v>CC-SS_B</v>
      </c>
      <c r="N138" s="150" t="str">
        <f>LOOKUP(M138,'[2]Doc Set'!E:E,'[2]Doc Set'!F:F)</f>
        <v>_</v>
      </c>
      <c r="O138" s="151" t="s">
        <v>560</v>
      </c>
      <c r="P138" s="150">
        <f>+LOOKUP(O138,'[2]Doc Set'!E:E,'[2]Doc Set'!G:G)</f>
        <v>43278</v>
      </c>
      <c r="Q138" s="144" t="str">
        <f t="shared" si="5"/>
        <v>CC-SS_B</v>
      </c>
      <c r="R138" s="150">
        <f>+LOOKUP(Q138,'[2]Doc Set'!E:E,'[2]Doc Set'!H:H)</f>
        <v>43308</v>
      </c>
      <c r="S138" s="152" t="s">
        <v>200</v>
      </c>
    </row>
    <row r="139" spans="1:19" s="153" customFormat="1" x14ac:dyDescent="0.3">
      <c r="A139" s="144" t="s">
        <v>40</v>
      </c>
      <c r="B139" s="144" t="s">
        <v>190</v>
      </c>
      <c r="C139" s="144" t="s">
        <v>191</v>
      </c>
      <c r="D139" s="145" t="s">
        <v>192</v>
      </c>
      <c r="E139" s="144" t="s">
        <v>193</v>
      </c>
      <c r="F139" s="144" t="s">
        <v>609</v>
      </c>
      <c r="G139" s="144" t="s">
        <v>617</v>
      </c>
      <c r="H139" s="144" t="s">
        <v>618</v>
      </c>
      <c r="I139" s="146" t="s">
        <v>51</v>
      </c>
      <c r="J139" s="147" t="s">
        <v>619</v>
      </c>
      <c r="K139" s="144">
        <v>20038918</v>
      </c>
      <c r="L139" s="144" t="s">
        <v>198</v>
      </c>
      <c r="M139" s="151" t="str">
        <f t="shared" si="6"/>
        <v>CC-SS_B</v>
      </c>
      <c r="N139" s="150" t="str">
        <f>LOOKUP(M139,'[2]Doc Set'!E:E,'[2]Doc Set'!F:F)</f>
        <v>_</v>
      </c>
      <c r="O139" s="151" t="s">
        <v>560</v>
      </c>
      <c r="P139" s="150">
        <f>+LOOKUP(O139,'[2]Doc Set'!E:E,'[2]Doc Set'!G:G)</f>
        <v>43278</v>
      </c>
      <c r="Q139" s="144" t="str">
        <f t="shared" si="5"/>
        <v>CC-SS_B</v>
      </c>
      <c r="R139" s="150">
        <f>+LOOKUP(Q139,'[2]Doc Set'!E:E,'[2]Doc Set'!H:H)</f>
        <v>43308</v>
      </c>
      <c r="S139" s="152" t="s">
        <v>200</v>
      </c>
    </row>
    <row r="140" spans="1:19" s="153" customFormat="1" x14ac:dyDescent="0.3">
      <c r="A140" s="144" t="s">
        <v>40</v>
      </c>
      <c r="B140" s="144" t="s">
        <v>190</v>
      </c>
      <c r="C140" s="144" t="s">
        <v>191</v>
      </c>
      <c r="D140" s="145" t="s">
        <v>192</v>
      </c>
      <c r="E140" s="144" t="s">
        <v>193</v>
      </c>
      <c r="F140" s="144" t="s">
        <v>609</v>
      </c>
      <c r="G140" s="144" t="s">
        <v>620</v>
      </c>
      <c r="H140" s="144" t="s">
        <v>621</v>
      </c>
      <c r="I140" s="146" t="s">
        <v>51</v>
      </c>
      <c r="J140" s="147" t="s">
        <v>622</v>
      </c>
      <c r="K140" s="144">
        <v>20038918</v>
      </c>
      <c r="L140" s="144" t="s">
        <v>198</v>
      </c>
      <c r="M140" s="151" t="str">
        <f t="shared" si="6"/>
        <v>CC-SS_B</v>
      </c>
      <c r="N140" s="150" t="str">
        <f>LOOKUP(M140,'[2]Doc Set'!E:E,'[2]Doc Set'!F:F)</f>
        <v>_</v>
      </c>
      <c r="O140" s="151" t="s">
        <v>560</v>
      </c>
      <c r="P140" s="150">
        <f>+LOOKUP(O140,'[2]Doc Set'!E:E,'[2]Doc Set'!G:G)</f>
        <v>43278</v>
      </c>
      <c r="Q140" s="144" t="str">
        <f t="shared" si="5"/>
        <v>CC-SS_B</v>
      </c>
      <c r="R140" s="150">
        <f>+LOOKUP(Q140,'[2]Doc Set'!E:E,'[2]Doc Set'!H:H)</f>
        <v>43308</v>
      </c>
      <c r="S140" s="152" t="s">
        <v>200</v>
      </c>
    </row>
    <row r="141" spans="1:19" s="153" customFormat="1" x14ac:dyDescent="0.3">
      <c r="A141" s="144" t="s">
        <v>40</v>
      </c>
      <c r="B141" s="144" t="s">
        <v>190</v>
      </c>
      <c r="C141" s="144" t="s">
        <v>191</v>
      </c>
      <c r="D141" s="145" t="s">
        <v>192</v>
      </c>
      <c r="E141" s="144" t="s">
        <v>193</v>
      </c>
      <c r="F141" s="144" t="s">
        <v>609</v>
      </c>
      <c r="G141" s="144" t="s">
        <v>623</v>
      </c>
      <c r="H141" s="144" t="s">
        <v>624</v>
      </c>
      <c r="I141" s="146" t="s">
        <v>51</v>
      </c>
      <c r="J141" s="147" t="s">
        <v>625</v>
      </c>
      <c r="K141" s="144">
        <v>20038918</v>
      </c>
      <c r="L141" s="144" t="s">
        <v>198</v>
      </c>
      <c r="M141" s="151" t="str">
        <f t="shared" si="6"/>
        <v>CC-SS_B</v>
      </c>
      <c r="N141" s="150" t="str">
        <f>LOOKUP(M141,'[2]Doc Set'!E:E,'[2]Doc Set'!F:F)</f>
        <v>_</v>
      </c>
      <c r="O141" s="151" t="s">
        <v>560</v>
      </c>
      <c r="P141" s="150">
        <f>+LOOKUP(O141,'[2]Doc Set'!E:E,'[2]Doc Set'!G:G)</f>
        <v>43278</v>
      </c>
      <c r="Q141" s="144" t="str">
        <f t="shared" si="5"/>
        <v>CC-SS_B</v>
      </c>
      <c r="R141" s="150">
        <f>+LOOKUP(Q141,'[2]Doc Set'!E:E,'[2]Doc Set'!H:H)</f>
        <v>43308</v>
      </c>
      <c r="S141" s="152" t="s">
        <v>200</v>
      </c>
    </row>
    <row r="142" spans="1:19" s="153" customFormat="1" x14ac:dyDescent="0.3">
      <c r="A142" s="144" t="s">
        <v>40</v>
      </c>
      <c r="B142" s="144" t="s">
        <v>190</v>
      </c>
      <c r="C142" s="144" t="s">
        <v>191</v>
      </c>
      <c r="D142" s="145" t="s">
        <v>192</v>
      </c>
      <c r="E142" s="144" t="s">
        <v>193</v>
      </c>
      <c r="F142" s="144" t="s">
        <v>609</v>
      </c>
      <c r="G142" s="144" t="s">
        <v>626</v>
      </c>
      <c r="H142" s="144" t="s">
        <v>627</v>
      </c>
      <c r="I142" s="146" t="s">
        <v>51</v>
      </c>
      <c r="J142" s="147" t="s">
        <v>628</v>
      </c>
      <c r="K142" s="144">
        <v>20038918</v>
      </c>
      <c r="L142" s="144" t="s">
        <v>198</v>
      </c>
      <c r="M142" s="151" t="str">
        <f t="shared" si="6"/>
        <v>CC-SS_B</v>
      </c>
      <c r="N142" s="150" t="str">
        <f>LOOKUP(M142,'[2]Doc Set'!E:E,'[2]Doc Set'!F:F)</f>
        <v>_</v>
      </c>
      <c r="O142" s="151" t="s">
        <v>560</v>
      </c>
      <c r="P142" s="150">
        <f>+LOOKUP(O142,'[2]Doc Set'!E:E,'[2]Doc Set'!G:G)</f>
        <v>43278</v>
      </c>
      <c r="Q142" s="144" t="str">
        <f t="shared" si="5"/>
        <v>CC-SS_B</v>
      </c>
      <c r="R142" s="150">
        <f>+LOOKUP(Q142,'[2]Doc Set'!E:E,'[2]Doc Set'!H:H)</f>
        <v>43308</v>
      </c>
      <c r="S142" s="152" t="s">
        <v>200</v>
      </c>
    </row>
    <row r="143" spans="1:19" s="153" customFormat="1" x14ac:dyDescent="0.3">
      <c r="A143" s="144" t="s">
        <v>40</v>
      </c>
      <c r="B143" s="144" t="s">
        <v>190</v>
      </c>
      <c r="C143" s="144" t="s">
        <v>191</v>
      </c>
      <c r="D143" s="145" t="s">
        <v>192</v>
      </c>
      <c r="E143" s="144" t="s">
        <v>193</v>
      </c>
      <c r="F143" s="144" t="s">
        <v>609</v>
      </c>
      <c r="G143" s="144" t="s">
        <v>629</v>
      </c>
      <c r="H143" s="144" t="s">
        <v>630</v>
      </c>
      <c r="I143" s="146" t="s">
        <v>51</v>
      </c>
      <c r="J143" s="147" t="s">
        <v>631</v>
      </c>
      <c r="K143" s="144">
        <v>20038918</v>
      </c>
      <c r="L143" s="144" t="s">
        <v>198</v>
      </c>
      <c r="M143" s="151" t="str">
        <f t="shared" si="6"/>
        <v>CC-SS_B</v>
      </c>
      <c r="N143" s="150" t="str">
        <f>LOOKUP(M143,'[2]Doc Set'!E:E,'[2]Doc Set'!F:F)</f>
        <v>_</v>
      </c>
      <c r="O143" s="151" t="s">
        <v>560</v>
      </c>
      <c r="P143" s="150">
        <f>+LOOKUP(O143,'[2]Doc Set'!E:E,'[2]Doc Set'!G:G)</f>
        <v>43278</v>
      </c>
      <c r="Q143" s="144" t="str">
        <f t="shared" si="5"/>
        <v>CC-SS_B</v>
      </c>
      <c r="R143" s="150">
        <f>+LOOKUP(Q143,'[2]Doc Set'!E:E,'[2]Doc Set'!H:H)</f>
        <v>43308</v>
      </c>
      <c r="S143" s="152" t="s">
        <v>200</v>
      </c>
    </row>
    <row r="144" spans="1:19" s="153" customFormat="1" x14ac:dyDescent="0.3">
      <c r="A144" s="144" t="s">
        <v>40</v>
      </c>
      <c r="B144" s="144" t="s">
        <v>190</v>
      </c>
      <c r="C144" s="144" t="s">
        <v>191</v>
      </c>
      <c r="D144" s="145" t="s">
        <v>192</v>
      </c>
      <c r="E144" s="144" t="s">
        <v>193</v>
      </c>
      <c r="F144" s="144" t="s">
        <v>609</v>
      </c>
      <c r="G144" s="144" t="s">
        <v>632</v>
      </c>
      <c r="H144" s="144" t="s">
        <v>633</v>
      </c>
      <c r="I144" s="146" t="s">
        <v>51</v>
      </c>
      <c r="J144" s="147" t="s">
        <v>634</v>
      </c>
      <c r="K144" s="144">
        <v>20038918</v>
      </c>
      <c r="L144" s="144" t="s">
        <v>198</v>
      </c>
      <c r="M144" s="151" t="str">
        <f t="shared" si="6"/>
        <v>CC-SS_B</v>
      </c>
      <c r="N144" s="150" t="str">
        <f>LOOKUP(M144,'[2]Doc Set'!E:E,'[2]Doc Set'!F:F)</f>
        <v>_</v>
      </c>
      <c r="O144" s="151" t="s">
        <v>560</v>
      </c>
      <c r="P144" s="150">
        <f>+LOOKUP(O144,'[2]Doc Set'!E:E,'[2]Doc Set'!G:G)</f>
        <v>43278</v>
      </c>
      <c r="Q144" s="144" t="str">
        <f t="shared" si="5"/>
        <v>CC-SS_B</v>
      </c>
      <c r="R144" s="150">
        <f>+LOOKUP(Q144,'[2]Doc Set'!E:E,'[2]Doc Set'!H:H)</f>
        <v>43308</v>
      </c>
      <c r="S144" s="152" t="s">
        <v>200</v>
      </c>
    </row>
    <row r="145" spans="1:19" s="153" customFormat="1" x14ac:dyDescent="0.3">
      <c r="A145" s="144" t="s">
        <v>40</v>
      </c>
      <c r="B145" s="144" t="s">
        <v>190</v>
      </c>
      <c r="C145" s="144" t="s">
        <v>191</v>
      </c>
      <c r="D145" s="145" t="s">
        <v>192</v>
      </c>
      <c r="E145" s="144" t="s">
        <v>193</v>
      </c>
      <c r="F145" s="144" t="s">
        <v>609</v>
      </c>
      <c r="G145" s="144" t="s">
        <v>635</v>
      </c>
      <c r="H145" s="144" t="s">
        <v>636</v>
      </c>
      <c r="I145" s="146" t="s">
        <v>51</v>
      </c>
      <c r="J145" s="147" t="s">
        <v>637</v>
      </c>
      <c r="K145" s="144">
        <v>20038918</v>
      </c>
      <c r="L145" s="144" t="s">
        <v>198</v>
      </c>
      <c r="M145" s="151" t="str">
        <f t="shared" si="6"/>
        <v>CC-SS_B</v>
      </c>
      <c r="N145" s="150" t="str">
        <f>LOOKUP(M145,'[2]Doc Set'!E:E,'[2]Doc Set'!F:F)</f>
        <v>_</v>
      </c>
      <c r="O145" s="151" t="s">
        <v>560</v>
      </c>
      <c r="P145" s="150">
        <f>+LOOKUP(O145,'[2]Doc Set'!E:E,'[2]Doc Set'!G:G)</f>
        <v>43278</v>
      </c>
      <c r="Q145" s="144" t="str">
        <f t="shared" si="5"/>
        <v>CC-SS_B</v>
      </c>
      <c r="R145" s="150">
        <f>+LOOKUP(Q145,'[2]Doc Set'!E:E,'[2]Doc Set'!H:H)</f>
        <v>43308</v>
      </c>
      <c r="S145" s="152" t="s">
        <v>200</v>
      </c>
    </row>
    <row r="146" spans="1:19" s="153" customFormat="1" x14ac:dyDescent="0.3">
      <c r="A146" s="144" t="s">
        <v>40</v>
      </c>
      <c r="B146" s="144" t="s">
        <v>190</v>
      </c>
      <c r="C146" s="144" t="s">
        <v>191</v>
      </c>
      <c r="D146" s="145" t="s">
        <v>192</v>
      </c>
      <c r="E146" s="144" t="s">
        <v>193</v>
      </c>
      <c r="F146" s="144" t="s">
        <v>609</v>
      </c>
      <c r="G146" s="144" t="s">
        <v>638</v>
      </c>
      <c r="H146" s="144" t="s">
        <v>639</v>
      </c>
      <c r="I146" s="146" t="s">
        <v>51</v>
      </c>
      <c r="J146" s="147" t="s">
        <v>640</v>
      </c>
      <c r="K146" s="144">
        <v>20038918</v>
      </c>
      <c r="L146" s="144" t="s">
        <v>198</v>
      </c>
      <c r="M146" s="151" t="str">
        <f t="shared" si="6"/>
        <v>CC-SS_B</v>
      </c>
      <c r="N146" s="150" t="str">
        <f>LOOKUP(M146,'[2]Doc Set'!E:E,'[2]Doc Set'!F:F)</f>
        <v>_</v>
      </c>
      <c r="O146" s="151" t="s">
        <v>560</v>
      </c>
      <c r="P146" s="150">
        <f>+LOOKUP(O146,'[2]Doc Set'!E:E,'[2]Doc Set'!G:G)</f>
        <v>43278</v>
      </c>
      <c r="Q146" s="144" t="str">
        <f t="shared" si="5"/>
        <v>CC-SS_B</v>
      </c>
      <c r="R146" s="150">
        <f>+LOOKUP(Q146,'[2]Doc Set'!E:E,'[2]Doc Set'!H:H)</f>
        <v>43308</v>
      </c>
      <c r="S146" s="152" t="s">
        <v>200</v>
      </c>
    </row>
    <row r="147" spans="1:19" s="153" customFormat="1" x14ac:dyDescent="0.3">
      <c r="A147" s="144" t="s">
        <v>40</v>
      </c>
      <c r="B147" s="144" t="s">
        <v>190</v>
      </c>
      <c r="C147" s="144" t="s">
        <v>191</v>
      </c>
      <c r="D147" s="145" t="s">
        <v>192</v>
      </c>
      <c r="E147" s="144" t="s">
        <v>193</v>
      </c>
      <c r="F147" s="144" t="s">
        <v>609</v>
      </c>
      <c r="G147" s="144" t="s">
        <v>641</v>
      </c>
      <c r="H147" s="144" t="s">
        <v>642</v>
      </c>
      <c r="I147" s="146" t="s">
        <v>51</v>
      </c>
      <c r="J147" s="147" t="s">
        <v>643</v>
      </c>
      <c r="K147" s="144">
        <v>20038918</v>
      </c>
      <c r="L147" s="144" t="s">
        <v>198</v>
      </c>
      <c r="M147" s="151" t="str">
        <f t="shared" si="6"/>
        <v>CC-SS_B</v>
      </c>
      <c r="N147" s="150" t="str">
        <f>LOOKUP(M147,'[2]Doc Set'!E:E,'[2]Doc Set'!F:F)</f>
        <v>_</v>
      </c>
      <c r="O147" s="151" t="s">
        <v>560</v>
      </c>
      <c r="P147" s="150">
        <f>+LOOKUP(O147,'[2]Doc Set'!E:E,'[2]Doc Set'!G:G)</f>
        <v>43278</v>
      </c>
      <c r="Q147" s="144" t="str">
        <f t="shared" si="5"/>
        <v>CC-SS_B</v>
      </c>
      <c r="R147" s="150">
        <f>+LOOKUP(Q147,'[2]Doc Set'!E:E,'[2]Doc Set'!H:H)</f>
        <v>43308</v>
      </c>
      <c r="S147" s="152" t="s">
        <v>200</v>
      </c>
    </row>
    <row r="148" spans="1:19" s="153" customFormat="1" x14ac:dyDescent="0.3">
      <c r="A148" s="144" t="s">
        <v>40</v>
      </c>
      <c r="B148" s="144" t="s">
        <v>190</v>
      </c>
      <c r="C148" s="144" t="s">
        <v>191</v>
      </c>
      <c r="D148" s="145" t="s">
        <v>192</v>
      </c>
      <c r="E148" s="144" t="s">
        <v>193</v>
      </c>
      <c r="F148" s="144" t="s">
        <v>609</v>
      </c>
      <c r="G148" s="144" t="s">
        <v>644</v>
      </c>
      <c r="H148" s="144" t="s">
        <v>645</v>
      </c>
      <c r="I148" s="146" t="s">
        <v>51</v>
      </c>
      <c r="J148" s="147" t="s">
        <v>646</v>
      </c>
      <c r="K148" s="144">
        <v>20038918</v>
      </c>
      <c r="L148" s="144" t="s">
        <v>198</v>
      </c>
      <c r="M148" s="151" t="str">
        <f t="shared" si="6"/>
        <v>CC-SS_C</v>
      </c>
      <c r="N148" s="150" t="str">
        <f>LOOKUP(M148,'[2]Doc Set'!E:E,'[2]Doc Set'!F:F)</f>
        <v>_</v>
      </c>
      <c r="O148" s="151" t="s">
        <v>647</v>
      </c>
      <c r="P148" s="150">
        <f>+LOOKUP(O148,'[2]Doc Set'!E:E,'[2]Doc Set'!G:G)</f>
        <v>43343</v>
      </c>
      <c r="Q148" s="144" t="str">
        <f t="shared" si="5"/>
        <v>CC-SS_C</v>
      </c>
      <c r="R148" s="150">
        <f>+LOOKUP(Q148,'[2]Doc Set'!E:E,'[2]Doc Set'!H:H)</f>
        <v>43371</v>
      </c>
      <c r="S148" s="152" t="s">
        <v>200</v>
      </c>
    </row>
    <row r="149" spans="1:19" s="153" customFormat="1" x14ac:dyDescent="0.3">
      <c r="A149" s="144" t="s">
        <v>40</v>
      </c>
      <c r="B149" s="144" t="s">
        <v>190</v>
      </c>
      <c r="C149" s="144" t="s">
        <v>191</v>
      </c>
      <c r="D149" s="145" t="s">
        <v>192</v>
      </c>
      <c r="E149" s="144" t="s">
        <v>193</v>
      </c>
      <c r="F149" s="144" t="s">
        <v>609</v>
      </c>
      <c r="G149" s="144" t="s">
        <v>648</v>
      </c>
      <c r="H149" s="144" t="s">
        <v>649</v>
      </c>
      <c r="I149" s="146" t="s">
        <v>51</v>
      </c>
      <c r="J149" s="147" t="s">
        <v>650</v>
      </c>
      <c r="K149" s="144">
        <v>20038918</v>
      </c>
      <c r="L149" s="144" t="s">
        <v>198</v>
      </c>
      <c r="M149" s="151" t="str">
        <f t="shared" si="6"/>
        <v>CC-SS_C</v>
      </c>
      <c r="N149" s="150" t="str">
        <f>LOOKUP(M149,'[2]Doc Set'!E:E,'[2]Doc Set'!F:F)</f>
        <v>_</v>
      </c>
      <c r="O149" s="151" t="s">
        <v>647</v>
      </c>
      <c r="P149" s="150">
        <f>+LOOKUP(O149,'[2]Doc Set'!E:E,'[2]Doc Set'!G:G)</f>
        <v>43343</v>
      </c>
      <c r="Q149" s="144" t="str">
        <f t="shared" si="5"/>
        <v>CC-SS_C</v>
      </c>
      <c r="R149" s="150">
        <f>+LOOKUP(Q149,'[2]Doc Set'!E:E,'[2]Doc Set'!H:H)</f>
        <v>43371</v>
      </c>
      <c r="S149" s="152" t="s">
        <v>200</v>
      </c>
    </row>
    <row r="150" spans="1:19" s="153" customFormat="1" x14ac:dyDescent="0.3">
      <c r="A150" s="144" t="s">
        <v>40</v>
      </c>
      <c r="B150" s="144" t="s">
        <v>190</v>
      </c>
      <c r="C150" s="144" t="s">
        <v>191</v>
      </c>
      <c r="D150" s="145" t="s">
        <v>192</v>
      </c>
      <c r="E150" s="144" t="s">
        <v>193</v>
      </c>
      <c r="F150" s="144" t="s">
        <v>609</v>
      </c>
      <c r="G150" s="144" t="s">
        <v>651</v>
      </c>
      <c r="H150" s="144" t="s">
        <v>652</v>
      </c>
      <c r="I150" s="146" t="s">
        <v>51</v>
      </c>
      <c r="J150" s="147" t="s">
        <v>653</v>
      </c>
      <c r="K150" s="144">
        <v>20038918</v>
      </c>
      <c r="L150" s="144" t="s">
        <v>198</v>
      </c>
      <c r="M150" s="151" t="str">
        <f t="shared" si="6"/>
        <v>CC-SS_C</v>
      </c>
      <c r="N150" s="150" t="str">
        <f>LOOKUP(M150,'[2]Doc Set'!E:E,'[2]Doc Set'!F:F)</f>
        <v>_</v>
      </c>
      <c r="O150" s="151" t="s">
        <v>647</v>
      </c>
      <c r="P150" s="150">
        <f>+LOOKUP(O150,'[2]Doc Set'!E:E,'[2]Doc Set'!G:G)</f>
        <v>43343</v>
      </c>
      <c r="Q150" s="144" t="str">
        <f t="shared" si="5"/>
        <v>CC-SS_C</v>
      </c>
      <c r="R150" s="150">
        <f>+LOOKUP(Q150,'[2]Doc Set'!E:E,'[2]Doc Set'!H:H)</f>
        <v>43371</v>
      </c>
      <c r="S150" s="152" t="s">
        <v>200</v>
      </c>
    </row>
    <row r="151" spans="1:19" s="153" customFormat="1" x14ac:dyDescent="0.3">
      <c r="A151" s="144" t="s">
        <v>40</v>
      </c>
      <c r="B151" s="144" t="s">
        <v>190</v>
      </c>
      <c r="C151" s="144" t="s">
        <v>191</v>
      </c>
      <c r="D151" s="145" t="s">
        <v>192</v>
      </c>
      <c r="E151" s="144" t="s">
        <v>193</v>
      </c>
      <c r="F151" s="144" t="s">
        <v>609</v>
      </c>
      <c r="G151" s="144" t="s">
        <v>654</v>
      </c>
      <c r="H151" s="144" t="s">
        <v>655</v>
      </c>
      <c r="I151" s="146" t="s">
        <v>51</v>
      </c>
      <c r="J151" s="147" t="s">
        <v>656</v>
      </c>
      <c r="K151" s="144">
        <v>20038918</v>
      </c>
      <c r="L151" s="144" t="s">
        <v>198</v>
      </c>
      <c r="M151" s="151" t="str">
        <f t="shared" si="6"/>
        <v>CC-SS_C</v>
      </c>
      <c r="N151" s="150" t="str">
        <f>LOOKUP(M151,'[2]Doc Set'!E:E,'[2]Doc Set'!F:F)</f>
        <v>_</v>
      </c>
      <c r="O151" s="151" t="s">
        <v>647</v>
      </c>
      <c r="P151" s="150">
        <f>+LOOKUP(O151,'[2]Doc Set'!E:E,'[2]Doc Set'!G:G)</f>
        <v>43343</v>
      </c>
      <c r="Q151" s="144" t="str">
        <f t="shared" si="5"/>
        <v>CC-SS_C</v>
      </c>
      <c r="R151" s="150">
        <f>+LOOKUP(Q151,'[2]Doc Set'!E:E,'[2]Doc Set'!H:H)</f>
        <v>43371</v>
      </c>
      <c r="S151" s="152" t="s">
        <v>200</v>
      </c>
    </row>
    <row r="152" spans="1:19" s="153" customFormat="1" x14ac:dyDescent="0.3">
      <c r="A152" s="144" t="s">
        <v>40</v>
      </c>
      <c r="B152" s="144" t="s">
        <v>190</v>
      </c>
      <c r="C152" s="144" t="s">
        <v>191</v>
      </c>
      <c r="D152" s="145" t="s">
        <v>192</v>
      </c>
      <c r="E152" s="144" t="s">
        <v>193</v>
      </c>
      <c r="F152" s="144" t="s">
        <v>609</v>
      </c>
      <c r="G152" s="144" t="s">
        <v>657</v>
      </c>
      <c r="H152" s="144" t="s">
        <v>658</v>
      </c>
      <c r="I152" s="146" t="s">
        <v>51</v>
      </c>
      <c r="J152" s="147" t="s">
        <v>659</v>
      </c>
      <c r="K152" s="144">
        <v>20038918</v>
      </c>
      <c r="L152" s="144" t="s">
        <v>198</v>
      </c>
      <c r="M152" s="151" t="str">
        <f t="shared" si="6"/>
        <v>CC-SS_C</v>
      </c>
      <c r="N152" s="150" t="str">
        <f>LOOKUP(M152,'[2]Doc Set'!E:E,'[2]Doc Set'!F:F)</f>
        <v>_</v>
      </c>
      <c r="O152" s="151" t="s">
        <v>647</v>
      </c>
      <c r="P152" s="150">
        <f>+LOOKUP(O152,'[2]Doc Set'!E:E,'[2]Doc Set'!G:G)</f>
        <v>43343</v>
      </c>
      <c r="Q152" s="144" t="str">
        <f t="shared" si="5"/>
        <v>CC-SS_C</v>
      </c>
      <c r="R152" s="150">
        <f>+LOOKUP(Q152,'[2]Doc Set'!E:E,'[2]Doc Set'!H:H)</f>
        <v>43371</v>
      </c>
      <c r="S152" s="152" t="s">
        <v>200</v>
      </c>
    </row>
    <row r="153" spans="1:19" s="153" customFormat="1" x14ac:dyDescent="0.3">
      <c r="A153" s="144" t="s">
        <v>40</v>
      </c>
      <c r="B153" s="144" t="s">
        <v>190</v>
      </c>
      <c r="C153" s="144" t="s">
        <v>191</v>
      </c>
      <c r="D153" s="145" t="s">
        <v>192</v>
      </c>
      <c r="E153" s="144" t="s">
        <v>193</v>
      </c>
      <c r="F153" s="144" t="s">
        <v>609</v>
      </c>
      <c r="G153" s="144" t="s">
        <v>660</v>
      </c>
      <c r="H153" s="144" t="s">
        <v>661</v>
      </c>
      <c r="I153" s="146" t="s">
        <v>51</v>
      </c>
      <c r="J153" s="147" t="s">
        <v>662</v>
      </c>
      <c r="K153" s="144">
        <v>20038918</v>
      </c>
      <c r="L153" s="144" t="s">
        <v>198</v>
      </c>
      <c r="M153" s="151" t="str">
        <f t="shared" si="6"/>
        <v>CC-SS_C</v>
      </c>
      <c r="N153" s="150" t="str">
        <f>LOOKUP(M153,'[2]Doc Set'!E:E,'[2]Doc Set'!F:F)</f>
        <v>_</v>
      </c>
      <c r="O153" s="151" t="s">
        <v>647</v>
      </c>
      <c r="P153" s="150">
        <f>+LOOKUP(O153,'[2]Doc Set'!E:E,'[2]Doc Set'!G:G)</f>
        <v>43343</v>
      </c>
      <c r="Q153" s="144" t="str">
        <f t="shared" si="5"/>
        <v>CC-SS_C</v>
      </c>
      <c r="R153" s="150">
        <f>+LOOKUP(Q153,'[2]Doc Set'!E:E,'[2]Doc Set'!H:H)</f>
        <v>43371</v>
      </c>
      <c r="S153" s="152" t="s">
        <v>200</v>
      </c>
    </row>
    <row r="154" spans="1:19" x14ac:dyDescent="0.3">
      <c r="A154" s="55" t="s">
        <v>40</v>
      </c>
      <c r="B154" s="55" t="s">
        <v>190</v>
      </c>
      <c r="C154" s="55" t="s">
        <v>191</v>
      </c>
      <c r="D154" s="138" t="s">
        <v>192</v>
      </c>
      <c r="E154" s="55" t="s">
        <v>193</v>
      </c>
      <c r="F154" s="55" t="s">
        <v>663</v>
      </c>
      <c r="G154" s="55" t="s">
        <v>664</v>
      </c>
      <c r="H154" s="55" t="s">
        <v>665</v>
      </c>
      <c r="I154" s="154" t="s">
        <v>134</v>
      </c>
      <c r="J154" s="140" t="s">
        <v>666</v>
      </c>
      <c r="K154" s="55">
        <v>20038918</v>
      </c>
      <c r="L154" s="55" t="s">
        <v>198</v>
      </c>
      <c r="M154" s="141" t="str">
        <f t="shared" si="6"/>
        <v>CC-INT_D</v>
      </c>
      <c r="N154" s="142" t="str">
        <f>LOOKUP(M154,'[2]Doc Set'!E:E,'[2]Doc Set'!F:F)</f>
        <v>_</v>
      </c>
      <c r="O154" s="141" t="s">
        <v>199</v>
      </c>
      <c r="P154" s="142">
        <f>+LOOKUP(O154,'[2]Doc Set'!E:E,'[2]Doc Set'!G:G)</f>
        <v>43437</v>
      </c>
      <c r="Q154" s="55" t="str">
        <f t="shared" si="5"/>
        <v>CC-INT_D</v>
      </c>
      <c r="R154" s="142">
        <f>+LOOKUP(Q154,'[2]Doc Set'!E:E,'[2]Doc Set'!H:H)</f>
        <v>43514</v>
      </c>
      <c r="S154" s="143" t="s">
        <v>200</v>
      </c>
    </row>
    <row r="155" spans="1:19" x14ac:dyDescent="0.3">
      <c r="A155" s="55" t="s">
        <v>40</v>
      </c>
      <c r="B155" s="55" t="s">
        <v>190</v>
      </c>
      <c r="C155" s="55" t="s">
        <v>191</v>
      </c>
      <c r="D155" s="138" t="s">
        <v>192</v>
      </c>
      <c r="E155" s="55" t="s">
        <v>193</v>
      </c>
      <c r="F155" s="55" t="s">
        <v>663</v>
      </c>
      <c r="G155" s="55" t="s">
        <v>667</v>
      </c>
      <c r="H155" s="55" t="s">
        <v>668</v>
      </c>
      <c r="I155" s="154" t="s">
        <v>134</v>
      </c>
      <c r="J155" s="140" t="s">
        <v>669</v>
      </c>
      <c r="K155" s="55">
        <v>20038918</v>
      </c>
      <c r="L155" s="55" t="s">
        <v>198</v>
      </c>
      <c r="M155" s="141" t="str">
        <f t="shared" si="6"/>
        <v>CC-INT_D</v>
      </c>
      <c r="N155" s="142" t="str">
        <f>LOOKUP(M155,'[2]Doc Set'!E:E,'[2]Doc Set'!F:F)</f>
        <v>_</v>
      </c>
      <c r="O155" s="141" t="s">
        <v>199</v>
      </c>
      <c r="P155" s="142">
        <f>+LOOKUP(O155,'[2]Doc Set'!E:E,'[2]Doc Set'!G:G)</f>
        <v>43437</v>
      </c>
      <c r="Q155" s="55" t="str">
        <f t="shared" si="5"/>
        <v>CC-INT_D</v>
      </c>
      <c r="R155" s="142">
        <f>+LOOKUP(Q155,'[2]Doc Set'!E:E,'[2]Doc Set'!H:H)</f>
        <v>43514</v>
      </c>
      <c r="S155" s="143" t="s">
        <v>200</v>
      </c>
    </row>
    <row r="156" spans="1:19" x14ac:dyDescent="0.3">
      <c r="A156" s="55" t="s">
        <v>40</v>
      </c>
      <c r="B156" s="55" t="s">
        <v>190</v>
      </c>
      <c r="C156" s="55" t="s">
        <v>191</v>
      </c>
      <c r="D156" s="138" t="s">
        <v>192</v>
      </c>
      <c r="E156" s="55" t="s">
        <v>193</v>
      </c>
      <c r="F156" s="55" t="s">
        <v>663</v>
      </c>
      <c r="G156" s="55" t="s">
        <v>670</v>
      </c>
      <c r="H156" s="55" t="s">
        <v>671</v>
      </c>
      <c r="I156" s="154" t="s">
        <v>134</v>
      </c>
      <c r="J156" s="140" t="s">
        <v>672</v>
      </c>
      <c r="K156" s="55">
        <v>20038918</v>
      </c>
      <c r="L156" s="55" t="s">
        <v>198</v>
      </c>
      <c r="M156" s="141" t="str">
        <f t="shared" si="6"/>
        <v>CC-INT_D</v>
      </c>
      <c r="N156" s="142" t="str">
        <f>LOOKUP(M156,'[2]Doc Set'!E:E,'[2]Doc Set'!F:F)</f>
        <v>_</v>
      </c>
      <c r="O156" s="141" t="s">
        <v>199</v>
      </c>
      <c r="P156" s="142">
        <f>+LOOKUP(O156,'[2]Doc Set'!E:E,'[2]Doc Set'!G:G)</f>
        <v>43437</v>
      </c>
      <c r="Q156" s="55" t="str">
        <f t="shared" si="5"/>
        <v>CC-INT_D</v>
      </c>
      <c r="R156" s="142">
        <f>+LOOKUP(Q156,'[2]Doc Set'!E:E,'[2]Doc Set'!H:H)</f>
        <v>43514</v>
      </c>
      <c r="S156" s="143" t="s">
        <v>200</v>
      </c>
    </row>
    <row r="157" spans="1:19" x14ac:dyDescent="0.3">
      <c r="A157" s="55" t="s">
        <v>40</v>
      </c>
      <c r="B157" s="55" t="s">
        <v>190</v>
      </c>
      <c r="C157" s="55" t="s">
        <v>191</v>
      </c>
      <c r="D157" s="138" t="s">
        <v>192</v>
      </c>
      <c r="E157" s="55" t="s">
        <v>193</v>
      </c>
      <c r="F157" s="55" t="s">
        <v>663</v>
      </c>
      <c r="G157" s="55" t="s">
        <v>673</v>
      </c>
      <c r="H157" s="55" t="s">
        <v>674</v>
      </c>
      <c r="I157" s="154" t="s">
        <v>134</v>
      </c>
      <c r="J157" s="140" t="s">
        <v>675</v>
      </c>
      <c r="K157" s="55">
        <v>20038918</v>
      </c>
      <c r="L157" s="55" t="s">
        <v>198</v>
      </c>
      <c r="M157" s="141" t="str">
        <f t="shared" si="6"/>
        <v>CC-INT_D</v>
      </c>
      <c r="N157" s="142" t="str">
        <f>LOOKUP(M157,'[2]Doc Set'!E:E,'[2]Doc Set'!F:F)</f>
        <v>_</v>
      </c>
      <c r="O157" s="141" t="s">
        <v>199</v>
      </c>
      <c r="P157" s="142">
        <f>+LOOKUP(O157,'[2]Doc Set'!E:E,'[2]Doc Set'!G:G)</f>
        <v>43437</v>
      </c>
      <c r="Q157" s="55" t="str">
        <f t="shared" si="5"/>
        <v>CC-INT_D</v>
      </c>
      <c r="R157" s="142">
        <f>+LOOKUP(Q157,'[2]Doc Set'!E:E,'[2]Doc Set'!H:H)</f>
        <v>43514</v>
      </c>
      <c r="S157" s="143" t="s">
        <v>200</v>
      </c>
    </row>
    <row r="158" spans="1:19" x14ac:dyDescent="0.3">
      <c r="A158" s="55" t="s">
        <v>40</v>
      </c>
      <c r="B158" s="55" t="s">
        <v>190</v>
      </c>
      <c r="C158" s="55" t="s">
        <v>191</v>
      </c>
      <c r="D158" s="138" t="s">
        <v>192</v>
      </c>
      <c r="E158" s="55" t="s">
        <v>193</v>
      </c>
      <c r="F158" s="55" t="s">
        <v>663</v>
      </c>
      <c r="G158" s="55" t="s">
        <v>676</v>
      </c>
      <c r="H158" s="55" t="s">
        <v>677</v>
      </c>
      <c r="I158" s="154" t="s">
        <v>134</v>
      </c>
      <c r="J158" s="140" t="s">
        <v>678</v>
      </c>
      <c r="K158" s="55">
        <v>20038918</v>
      </c>
      <c r="L158" s="55" t="s">
        <v>198</v>
      </c>
      <c r="M158" s="141" t="str">
        <f t="shared" si="6"/>
        <v>CC-INT_D</v>
      </c>
      <c r="N158" s="142" t="str">
        <f>LOOKUP(M158,'[2]Doc Set'!E:E,'[2]Doc Set'!F:F)</f>
        <v>_</v>
      </c>
      <c r="O158" s="141" t="s">
        <v>199</v>
      </c>
      <c r="P158" s="142">
        <f>+LOOKUP(O158,'[2]Doc Set'!E:E,'[2]Doc Set'!G:G)</f>
        <v>43437</v>
      </c>
      <c r="Q158" s="55" t="str">
        <f t="shared" si="5"/>
        <v>CC-INT_D</v>
      </c>
      <c r="R158" s="142">
        <f>+LOOKUP(Q158,'[2]Doc Set'!E:E,'[2]Doc Set'!H:H)</f>
        <v>43514</v>
      </c>
      <c r="S158" s="143" t="s">
        <v>200</v>
      </c>
    </row>
    <row r="159" spans="1:19" x14ac:dyDescent="0.3">
      <c r="A159" s="55" t="s">
        <v>40</v>
      </c>
      <c r="B159" s="55" t="s">
        <v>190</v>
      </c>
      <c r="C159" s="55" t="s">
        <v>191</v>
      </c>
      <c r="D159" s="138" t="s">
        <v>192</v>
      </c>
      <c r="E159" s="55" t="s">
        <v>193</v>
      </c>
      <c r="F159" s="55" t="s">
        <v>663</v>
      </c>
      <c r="G159" s="55" t="s">
        <v>679</v>
      </c>
      <c r="H159" s="55" t="s">
        <v>680</v>
      </c>
      <c r="I159" s="154" t="s">
        <v>134</v>
      </c>
      <c r="J159" s="140" t="s">
        <v>681</v>
      </c>
      <c r="K159" s="55">
        <v>20038918</v>
      </c>
      <c r="L159" s="55" t="s">
        <v>198</v>
      </c>
      <c r="M159" s="141" t="str">
        <f t="shared" si="6"/>
        <v>CC-INT_E</v>
      </c>
      <c r="N159" s="142" t="str">
        <f>LOOKUP(M159,'[2]Doc Set'!E:E,'[2]Doc Set'!F:F)</f>
        <v>_</v>
      </c>
      <c r="O159" s="141" t="s">
        <v>306</v>
      </c>
      <c r="P159" s="142">
        <f>+LOOKUP(O159,'[2]Doc Set'!E:E,'[2]Doc Set'!G:G)</f>
        <v>43489</v>
      </c>
      <c r="Q159" s="55" t="str">
        <f t="shared" si="5"/>
        <v>CC-INT_E</v>
      </c>
      <c r="R159" s="142">
        <f>+LOOKUP(Q159,'[2]Doc Set'!E:E,'[2]Doc Set'!H:H)</f>
        <v>43542</v>
      </c>
      <c r="S159" s="143" t="s">
        <v>200</v>
      </c>
    </row>
    <row r="160" spans="1:19" x14ac:dyDescent="0.3">
      <c r="A160" s="55" t="s">
        <v>40</v>
      </c>
      <c r="B160" s="55" t="s">
        <v>190</v>
      </c>
      <c r="C160" s="55" t="s">
        <v>191</v>
      </c>
      <c r="D160" s="138" t="s">
        <v>192</v>
      </c>
      <c r="E160" s="55" t="s">
        <v>193</v>
      </c>
      <c r="F160" s="55" t="s">
        <v>663</v>
      </c>
      <c r="G160" s="55" t="s">
        <v>682</v>
      </c>
      <c r="H160" s="55" t="s">
        <v>683</v>
      </c>
      <c r="I160" s="154" t="s">
        <v>134</v>
      </c>
      <c r="J160" s="140" t="s">
        <v>684</v>
      </c>
      <c r="K160" s="55">
        <v>20038918</v>
      </c>
      <c r="L160" s="55" t="s">
        <v>198</v>
      </c>
      <c r="M160" s="141" t="str">
        <f t="shared" si="6"/>
        <v>CC-INT_E</v>
      </c>
      <c r="N160" s="142" t="str">
        <f>LOOKUP(M160,'[2]Doc Set'!E:E,'[2]Doc Set'!F:F)</f>
        <v>_</v>
      </c>
      <c r="O160" s="141" t="s">
        <v>306</v>
      </c>
      <c r="P160" s="142">
        <f>+LOOKUP(O160,'[2]Doc Set'!E:E,'[2]Doc Set'!G:G)</f>
        <v>43489</v>
      </c>
      <c r="Q160" s="55" t="str">
        <f t="shared" si="5"/>
        <v>CC-INT_E</v>
      </c>
      <c r="R160" s="142">
        <f>+LOOKUP(Q160,'[2]Doc Set'!E:E,'[2]Doc Set'!H:H)</f>
        <v>43542</v>
      </c>
      <c r="S160" s="143" t="s">
        <v>200</v>
      </c>
    </row>
    <row r="161" spans="1:19" x14ac:dyDescent="0.3">
      <c r="A161" s="55" t="s">
        <v>40</v>
      </c>
      <c r="B161" s="55" t="s">
        <v>190</v>
      </c>
      <c r="C161" s="55" t="s">
        <v>191</v>
      </c>
      <c r="D161" s="138" t="s">
        <v>192</v>
      </c>
      <c r="E161" s="55" t="s">
        <v>193</v>
      </c>
      <c r="F161" s="55" t="s">
        <v>663</v>
      </c>
      <c r="G161" s="55" t="s">
        <v>685</v>
      </c>
      <c r="H161" s="55" t="s">
        <v>686</v>
      </c>
      <c r="I161" s="154" t="s">
        <v>134</v>
      </c>
      <c r="J161" s="140" t="s">
        <v>687</v>
      </c>
      <c r="K161" s="55">
        <v>20038918</v>
      </c>
      <c r="L161" s="55" t="s">
        <v>198</v>
      </c>
      <c r="M161" s="141" t="str">
        <f t="shared" si="6"/>
        <v>CC-INT_E</v>
      </c>
      <c r="N161" s="142" t="str">
        <f>LOOKUP(M161,'[2]Doc Set'!E:E,'[2]Doc Set'!F:F)</f>
        <v>_</v>
      </c>
      <c r="O161" s="141" t="s">
        <v>306</v>
      </c>
      <c r="P161" s="142">
        <f>+LOOKUP(O161,'[2]Doc Set'!E:E,'[2]Doc Set'!G:G)</f>
        <v>43489</v>
      </c>
      <c r="Q161" s="55" t="str">
        <f t="shared" si="5"/>
        <v>CC-INT_E</v>
      </c>
      <c r="R161" s="142">
        <f>+LOOKUP(Q161,'[2]Doc Set'!E:E,'[2]Doc Set'!H:H)</f>
        <v>43542</v>
      </c>
      <c r="S161" s="143" t="s">
        <v>200</v>
      </c>
    </row>
    <row r="162" spans="1:19" x14ac:dyDescent="0.3">
      <c r="A162" s="55" t="s">
        <v>40</v>
      </c>
      <c r="B162" s="55" t="s">
        <v>190</v>
      </c>
      <c r="C162" s="55" t="s">
        <v>191</v>
      </c>
      <c r="D162" s="138" t="s">
        <v>192</v>
      </c>
      <c r="E162" s="55" t="s">
        <v>193</v>
      </c>
      <c r="F162" s="55" t="s">
        <v>663</v>
      </c>
      <c r="G162" s="55" t="s">
        <v>688</v>
      </c>
      <c r="H162" s="55" t="s">
        <v>689</v>
      </c>
      <c r="I162" s="154" t="s">
        <v>134</v>
      </c>
      <c r="J162" s="140" t="s">
        <v>690</v>
      </c>
      <c r="K162" s="55">
        <v>20038918</v>
      </c>
      <c r="L162" s="55" t="s">
        <v>198</v>
      </c>
      <c r="M162" s="141" t="str">
        <f t="shared" si="6"/>
        <v>CC-INT_E</v>
      </c>
      <c r="N162" s="142" t="str">
        <f>LOOKUP(M162,'[2]Doc Set'!E:E,'[2]Doc Set'!F:F)</f>
        <v>_</v>
      </c>
      <c r="O162" s="141" t="s">
        <v>306</v>
      </c>
      <c r="P162" s="142">
        <f>+LOOKUP(O162,'[2]Doc Set'!E:E,'[2]Doc Set'!G:G)</f>
        <v>43489</v>
      </c>
      <c r="Q162" s="55" t="str">
        <f t="shared" si="5"/>
        <v>CC-INT_E</v>
      </c>
      <c r="R162" s="142">
        <f>+LOOKUP(Q162,'[2]Doc Set'!E:E,'[2]Doc Set'!H:H)</f>
        <v>43542</v>
      </c>
      <c r="S162" s="143" t="s">
        <v>200</v>
      </c>
    </row>
    <row r="163" spans="1:19" x14ac:dyDescent="0.3">
      <c r="A163" s="55" t="s">
        <v>40</v>
      </c>
      <c r="B163" s="55" t="s">
        <v>190</v>
      </c>
      <c r="C163" s="55" t="s">
        <v>191</v>
      </c>
      <c r="D163" s="138" t="s">
        <v>192</v>
      </c>
      <c r="E163" s="55" t="s">
        <v>193</v>
      </c>
      <c r="F163" s="55" t="s">
        <v>663</v>
      </c>
      <c r="G163" s="55" t="s">
        <v>691</v>
      </c>
      <c r="H163" s="55" t="s">
        <v>692</v>
      </c>
      <c r="I163" s="154" t="s">
        <v>134</v>
      </c>
      <c r="J163" s="140" t="s">
        <v>693</v>
      </c>
      <c r="K163" s="55">
        <v>20038918</v>
      </c>
      <c r="L163" s="55" t="s">
        <v>198</v>
      </c>
      <c r="M163" s="141" t="str">
        <f t="shared" si="6"/>
        <v>CC-INT_E</v>
      </c>
      <c r="N163" s="142" t="str">
        <f>LOOKUP(M163,'[2]Doc Set'!E:E,'[2]Doc Set'!F:F)</f>
        <v>_</v>
      </c>
      <c r="O163" s="141" t="s">
        <v>306</v>
      </c>
      <c r="P163" s="142">
        <f>+LOOKUP(O163,'[2]Doc Set'!E:E,'[2]Doc Set'!G:G)</f>
        <v>43489</v>
      </c>
      <c r="Q163" s="55" t="str">
        <f t="shared" si="5"/>
        <v>CC-INT_E</v>
      </c>
      <c r="R163" s="142">
        <f>+LOOKUP(Q163,'[2]Doc Set'!E:E,'[2]Doc Set'!H:H)</f>
        <v>43542</v>
      </c>
      <c r="S163" s="143" t="s">
        <v>200</v>
      </c>
    </row>
    <row r="164" spans="1:19" x14ac:dyDescent="0.3">
      <c r="A164" s="55" t="s">
        <v>40</v>
      </c>
      <c r="B164" s="55" t="s">
        <v>190</v>
      </c>
      <c r="C164" s="55" t="s">
        <v>191</v>
      </c>
      <c r="D164" s="138" t="s">
        <v>192</v>
      </c>
      <c r="E164" s="55" t="s">
        <v>193</v>
      </c>
      <c r="F164" s="55" t="s">
        <v>663</v>
      </c>
      <c r="G164" s="55" t="s">
        <v>694</v>
      </c>
      <c r="H164" s="55" t="s">
        <v>695</v>
      </c>
      <c r="I164" s="154" t="s">
        <v>134</v>
      </c>
      <c r="J164" s="140" t="s">
        <v>696</v>
      </c>
      <c r="K164" s="55">
        <v>20038918</v>
      </c>
      <c r="L164" s="55" t="s">
        <v>198</v>
      </c>
      <c r="M164" s="141" t="str">
        <f t="shared" si="6"/>
        <v>CC-INT_E</v>
      </c>
      <c r="N164" s="142" t="str">
        <f>LOOKUP(M164,'[2]Doc Set'!E:E,'[2]Doc Set'!F:F)</f>
        <v>_</v>
      </c>
      <c r="O164" s="141" t="s">
        <v>306</v>
      </c>
      <c r="P164" s="142">
        <f>+LOOKUP(O164,'[2]Doc Set'!E:E,'[2]Doc Set'!G:G)</f>
        <v>43489</v>
      </c>
      <c r="Q164" s="55" t="str">
        <f t="shared" si="5"/>
        <v>CC-INT_E</v>
      </c>
      <c r="R164" s="142">
        <f>+LOOKUP(Q164,'[2]Doc Set'!E:E,'[2]Doc Set'!H:H)</f>
        <v>43542</v>
      </c>
      <c r="S164" s="143" t="s">
        <v>200</v>
      </c>
    </row>
    <row r="165" spans="1:19" x14ac:dyDescent="0.3">
      <c r="A165" s="55" t="s">
        <v>40</v>
      </c>
      <c r="B165" s="55" t="s">
        <v>190</v>
      </c>
      <c r="C165" s="55" t="s">
        <v>191</v>
      </c>
      <c r="D165" s="138" t="s">
        <v>192</v>
      </c>
      <c r="E165" s="55" t="s">
        <v>193</v>
      </c>
      <c r="F165" s="55" t="s">
        <v>663</v>
      </c>
      <c r="G165" s="55" t="s">
        <v>697</v>
      </c>
      <c r="H165" s="55" t="s">
        <v>698</v>
      </c>
      <c r="I165" s="154" t="s">
        <v>134</v>
      </c>
      <c r="J165" s="140" t="s">
        <v>699</v>
      </c>
      <c r="K165" s="55">
        <v>20038918</v>
      </c>
      <c r="L165" s="55" t="s">
        <v>198</v>
      </c>
      <c r="M165" s="141" t="str">
        <f t="shared" si="6"/>
        <v>CC-INT_E</v>
      </c>
      <c r="N165" s="142" t="str">
        <f>LOOKUP(M165,'[2]Doc Set'!E:E,'[2]Doc Set'!F:F)</f>
        <v>_</v>
      </c>
      <c r="O165" s="141" t="s">
        <v>306</v>
      </c>
      <c r="P165" s="142">
        <f>+LOOKUP(O165,'[2]Doc Set'!E:E,'[2]Doc Set'!G:G)</f>
        <v>43489</v>
      </c>
      <c r="Q165" s="55" t="str">
        <f t="shared" si="5"/>
        <v>CC-INT_E</v>
      </c>
      <c r="R165" s="142">
        <f>+LOOKUP(Q165,'[2]Doc Set'!E:E,'[2]Doc Set'!H:H)</f>
        <v>43542</v>
      </c>
      <c r="S165" s="143" t="s">
        <v>200</v>
      </c>
    </row>
    <row r="166" spans="1:19" x14ac:dyDescent="0.3">
      <c r="A166" s="55" t="s">
        <v>40</v>
      </c>
      <c r="B166" s="55" t="s">
        <v>190</v>
      </c>
      <c r="C166" s="55" t="s">
        <v>191</v>
      </c>
      <c r="D166" s="138" t="s">
        <v>192</v>
      </c>
      <c r="E166" s="55" t="s">
        <v>193</v>
      </c>
      <c r="F166" s="55" t="s">
        <v>521</v>
      </c>
      <c r="G166" s="55" t="s">
        <v>700</v>
      </c>
      <c r="H166" s="55" t="s">
        <v>701</v>
      </c>
      <c r="I166" s="154" t="s">
        <v>134</v>
      </c>
      <c r="J166" s="140" t="s">
        <v>702</v>
      </c>
      <c r="K166" s="55">
        <v>20038918</v>
      </c>
      <c r="L166" s="55" t="s">
        <v>198</v>
      </c>
      <c r="M166" s="141" t="str">
        <f t="shared" si="6"/>
        <v>CC-INT_E</v>
      </c>
      <c r="N166" s="142" t="str">
        <f>LOOKUP(M166,'[2]Doc Set'!E:E,'[2]Doc Set'!F:F)</f>
        <v>_</v>
      </c>
      <c r="O166" s="141" t="s">
        <v>306</v>
      </c>
      <c r="P166" s="142">
        <f>+LOOKUP(O166,'[2]Doc Set'!E:E,'[2]Doc Set'!G:G)</f>
        <v>43489</v>
      </c>
      <c r="Q166" s="55" t="str">
        <f t="shared" si="5"/>
        <v>CC-INT_E</v>
      </c>
      <c r="R166" s="142">
        <f>+LOOKUP(Q166,'[2]Doc Set'!E:E,'[2]Doc Set'!H:H)</f>
        <v>43542</v>
      </c>
      <c r="S166" s="143" t="s">
        <v>200</v>
      </c>
    </row>
    <row r="167" spans="1:19" x14ac:dyDescent="0.3">
      <c r="A167" s="55" t="s">
        <v>40</v>
      </c>
      <c r="B167" s="55" t="s">
        <v>190</v>
      </c>
      <c r="C167" s="55" t="s">
        <v>191</v>
      </c>
      <c r="D167" s="138" t="s">
        <v>192</v>
      </c>
      <c r="E167" s="55" t="s">
        <v>193</v>
      </c>
      <c r="F167" s="55" t="s">
        <v>521</v>
      </c>
      <c r="G167" s="55" t="s">
        <v>703</v>
      </c>
      <c r="H167" s="55" t="s">
        <v>704</v>
      </c>
      <c r="I167" s="154" t="s">
        <v>134</v>
      </c>
      <c r="J167" s="140" t="s">
        <v>705</v>
      </c>
      <c r="K167" s="55">
        <v>20038918</v>
      </c>
      <c r="L167" s="55" t="s">
        <v>198</v>
      </c>
      <c r="M167" s="141" t="str">
        <f t="shared" si="6"/>
        <v>CC-INT_E</v>
      </c>
      <c r="N167" s="142" t="str">
        <f>LOOKUP(M167,'[2]Doc Set'!E:E,'[2]Doc Set'!F:F)</f>
        <v>_</v>
      </c>
      <c r="O167" s="141" t="s">
        <v>306</v>
      </c>
      <c r="P167" s="142">
        <f>+LOOKUP(O167,'[2]Doc Set'!E:E,'[2]Doc Set'!G:G)</f>
        <v>43489</v>
      </c>
      <c r="Q167" s="55" t="str">
        <f t="shared" si="5"/>
        <v>CC-INT_E</v>
      </c>
      <c r="R167" s="142">
        <f>+LOOKUP(Q167,'[2]Doc Set'!E:E,'[2]Doc Set'!H:H)</f>
        <v>43542</v>
      </c>
      <c r="S167" s="143" t="s">
        <v>200</v>
      </c>
    </row>
    <row r="168" spans="1:19" x14ac:dyDescent="0.3">
      <c r="A168" s="55" t="s">
        <v>40</v>
      </c>
      <c r="B168" s="55" t="s">
        <v>190</v>
      </c>
      <c r="C168" s="55" t="s">
        <v>191</v>
      </c>
      <c r="D168" s="138" t="s">
        <v>192</v>
      </c>
      <c r="E168" s="55" t="s">
        <v>193</v>
      </c>
      <c r="F168" s="55" t="s">
        <v>521</v>
      </c>
      <c r="G168" s="55" t="s">
        <v>706</v>
      </c>
      <c r="H168" s="55" t="s">
        <v>707</v>
      </c>
      <c r="I168" s="154" t="s">
        <v>134</v>
      </c>
      <c r="J168" s="140" t="s">
        <v>708</v>
      </c>
      <c r="K168" s="55">
        <v>20038918</v>
      </c>
      <c r="L168" s="55" t="s">
        <v>198</v>
      </c>
      <c r="M168" s="141" t="str">
        <f t="shared" si="6"/>
        <v>CC-INT_E</v>
      </c>
      <c r="N168" s="142" t="str">
        <f>LOOKUP(M168,'[2]Doc Set'!E:E,'[2]Doc Set'!F:F)</f>
        <v>_</v>
      </c>
      <c r="O168" s="141" t="s">
        <v>306</v>
      </c>
      <c r="P168" s="142">
        <f>+LOOKUP(O168,'[2]Doc Set'!E:E,'[2]Doc Set'!G:G)</f>
        <v>43489</v>
      </c>
      <c r="Q168" s="55" t="str">
        <f t="shared" si="5"/>
        <v>CC-INT_E</v>
      </c>
      <c r="R168" s="142">
        <f>+LOOKUP(Q168,'[2]Doc Set'!E:E,'[2]Doc Set'!H:H)</f>
        <v>43542</v>
      </c>
      <c r="S168" s="143" t="s">
        <v>200</v>
      </c>
    </row>
    <row r="169" spans="1:19" x14ac:dyDescent="0.3">
      <c r="A169" s="55" t="s">
        <v>40</v>
      </c>
      <c r="B169" s="55" t="s">
        <v>190</v>
      </c>
      <c r="C169" s="55" t="s">
        <v>191</v>
      </c>
      <c r="D169" s="138" t="s">
        <v>192</v>
      </c>
      <c r="E169" s="55" t="s">
        <v>193</v>
      </c>
      <c r="F169" s="55" t="s">
        <v>521</v>
      </c>
      <c r="G169" s="55" t="s">
        <v>709</v>
      </c>
      <c r="H169" s="55" t="s">
        <v>710</v>
      </c>
      <c r="I169" s="154" t="s">
        <v>134</v>
      </c>
      <c r="J169" s="140" t="s">
        <v>711</v>
      </c>
      <c r="K169" s="55">
        <v>20038918</v>
      </c>
      <c r="L169" s="55" t="s">
        <v>198</v>
      </c>
      <c r="M169" s="141" t="str">
        <f t="shared" si="6"/>
        <v>CC-INT_E</v>
      </c>
      <c r="N169" s="142" t="str">
        <f>LOOKUP(M169,'[2]Doc Set'!E:E,'[2]Doc Set'!F:F)</f>
        <v>_</v>
      </c>
      <c r="O169" s="141" t="s">
        <v>306</v>
      </c>
      <c r="P169" s="142">
        <f>+LOOKUP(O169,'[2]Doc Set'!E:E,'[2]Doc Set'!G:G)</f>
        <v>43489</v>
      </c>
      <c r="Q169" s="55" t="str">
        <f t="shared" si="5"/>
        <v>CC-INT_E</v>
      </c>
      <c r="R169" s="142">
        <f>+LOOKUP(Q169,'[2]Doc Set'!E:E,'[2]Doc Set'!H:H)</f>
        <v>43542</v>
      </c>
      <c r="S169" s="143" t="s">
        <v>200</v>
      </c>
    </row>
  </sheetData>
  <autoFilter ref="A1:S169"/>
  <conditionalFormatting sqref="G1">
    <cfRule type="duplicateValues" dxfId="55" priority="7"/>
  </conditionalFormatting>
  <conditionalFormatting sqref="G1 G170:G1048576">
    <cfRule type="duplicateValues" dxfId="54" priority="6"/>
  </conditionalFormatting>
  <conditionalFormatting sqref="G2:G169">
    <cfRule type="duplicateValues" dxfId="53" priority="5"/>
  </conditionalFormatting>
  <conditionalFormatting sqref="G2:G169">
    <cfRule type="duplicateValues" dxfId="52" priority="4"/>
  </conditionalFormatting>
  <conditionalFormatting sqref="G2:G169">
    <cfRule type="duplicateValues" dxfId="51" priority="3"/>
  </conditionalFormatting>
  <conditionalFormatting sqref="G1:G1048576">
    <cfRule type="duplicateValues" dxfId="50" priority="1"/>
    <cfRule type="duplicateValues" dxfId="49" priority="2"/>
  </conditionalFormatting>
  <conditionalFormatting sqref="H1:H1048576">
    <cfRule type="duplicateValues" dxfId="48" priority="8"/>
  </conditionalFormatting>
  <dataValidations count="1">
    <dataValidation type="list" allowBlank="1" showInputMessage="1" showErrorMessage="1" sqref="O2:O169 M1:M1048576">
      <formula1>Document_Set_Name</formula1>
    </dataValidation>
  </dataValidations>
  <pageMargins left="0.7" right="0.7" top="0.75" bottom="0.75" header="0.3" footer="0.3"/>
  <pageSetup orientation="portrait" r:id="rId1"/>
  <headerFooter>
    <oddFooter>&amp;L&amp;1#&amp;"Calibri"&amp;8 Sensitivity: LNT Construction Internal Use</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R45"/>
  <sheetViews>
    <sheetView zoomScale="85" zoomScaleNormal="85" workbookViewId="0">
      <selection activeCell="D6" sqref="D6"/>
    </sheetView>
  </sheetViews>
  <sheetFormatPr defaultColWidth="9.109375" defaultRowHeight="14.4" x14ac:dyDescent="0.3"/>
  <cols>
    <col min="1" max="1" width="9.109375" style="122"/>
    <col min="2" max="2" width="10.5546875" style="122" bestFit="1" customWidth="1"/>
    <col min="3" max="3" width="63" style="122" bestFit="1" customWidth="1"/>
    <col min="4" max="4" width="14" style="122" customWidth="1"/>
    <col min="5" max="5" width="13.6640625" style="122" customWidth="1"/>
    <col min="6" max="6" width="9.6640625" style="122" bestFit="1" customWidth="1"/>
    <col min="7" max="7" width="13.33203125" style="122" customWidth="1"/>
    <col min="8" max="8" width="13.44140625" style="122" customWidth="1"/>
    <col min="9" max="9" width="12" style="122" customWidth="1"/>
    <col min="10" max="10" width="12.88671875" style="122" customWidth="1"/>
    <col min="11" max="11" width="10.33203125" style="122" customWidth="1"/>
    <col min="12" max="12" width="15.33203125" style="122" customWidth="1"/>
    <col min="13" max="13" width="11.109375" style="122" customWidth="1"/>
    <col min="14" max="14" width="15" style="122" customWidth="1"/>
    <col min="15" max="15" width="9.109375" style="122"/>
    <col min="16" max="18" width="0" style="122" hidden="1" customWidth="1"/>
    <col min="19" max="16384" width="9.109375" style="122"/>
  </cols>
  <sheetData>
    <row r="1" spans="1:18" x14ac:dyDescent="0.3">
      <c r="B1" s="123" t="s">
        <v>140</v>
      </c>
      <c r="C1" s="124"/>
      <c r="D1" s="124"/>
      <c r="E1" s="124"/>
      <c r="F1" s="124"/>
      <c r="G1" s="124"/>
      <c r="H1" s="124"/>
      <c r="I1" s="124"/>
      <c r="J1" s="124"/>
      <c r="K1" s="124"/>
      <c r="L1" s="124"/>
      <c r="M1" s="124"/>
      <c r="N1" s="124"/>
    </row>
    <row r="2" spans="1:18" ht="15" thickBot="1" x14ac:dyDescent="0.35">
      <c r="B2" s="124"/>
      <c r="C2" s="124"/>
      <c r="D2" s="124"/>
      <c r="E2" t="s">
        <v>141</v>
      </c>
      <c r="F2" t="s">
        <v>142</v>
      </c>
      <c r="G2" t="s">
        <v>143</v>
      </c>
      <c r="H2" t="s">
        <v>141</v>
      </c>
      <c r="I2" t="s">
        <v>142</v>
      </c>
      <c r="J2" t="s">
        <v>143</v>
      </c>
      <c r="K2" t="s">
        <v>144</v>
      </c>
      <c r="L2" t="s">
        <v>145</v>
      </c>
      <c r="M2" t="s">
        <v>144</v>
      </c>
      <c r="N2" t="s">
        <v>145</v>
      </c>
    </row>
    <row r="3" spans="1:18" ht="15" thickBot="1" x14ac:dyDescent="0.35">
      <c r="B3" s="125"/>
      <c r="C3" s="126" t="s">
        <v>146</v>
      </c>
      <c r="D3" s="126" t="s">
        <v>72</v>
      </c>
      <c r="E3" s="261" t="s">
        <v>147</v>
      </c>
      <c r="F3" s="262"/>
      <c r="G3" s="263"/>
      <c r="H3" s="261" t="s">
        <v>148</v>
      </c>
      <c r="I3" s="262"/>
      <c r="J3" s="263"/>
      <c r="K3" s="261" t="s">
        <v>149</v>
      </c>
      <c r="L3" s="263"/>
      <c r="M3" s="261" t="s">
        <v>150</v>
      </c>
      <c r="N3" s="263"/>
      <c r="P3" s="122" t="s">
        <v>151</v>
      </c>
      <c r="Q3" s="122" t="s">
        <v>152</v>
      </c>
      <c r="R3" s="122" t="s">
        <v>153</v>
      </c>
    </row>
    <row r="4" spans="1:18" x14ac:dyDescent="0.3">
      <c r="B4" s="264"/>
      <c r="C4" s="264" t="s">
        <v>154</v>
      </c>
      <c r="D4" s="266" t="s">
        <v>155</v>
      </c>
      <c r="E4" s="127" t="s">
        <v>156</v>
      </c>
      <c r="F4" s="266" t="s">
        <v>157</v>
      </c>
      <c r="G4" s="266" t="s">
        <v>158</v>
      </c>
      <c r="H4" s="127" t="s">
        <v>156</v>
      </c>
      <c r="I4" s="266" t="s">
        <v>157</v>
      </c>
      <c r="J4" s="266" t="s">
        <v>158</v>
      </c>
      <c r="K4" s="266" t="s">
        <v>159</v>
      </c>
      <c r="L4" s="266" t="s">
        <v>160</v>
      </c>
      <c r="M4" s="266" t="s">
        <v>80</v>
      </c>
      <c r="N4" s="266" t="s">
        <v>81</v>
      </c>
    </row>
    <row r="5" spans="1:18" ht="15" thickBot="1" x14ac:dyDescent="0.35">
      <c r="B5" s="265"/>
      <c r="C5" s="265"/>
      <c r="D5" s="267"/>
      <c r="E5" s="128" t="s">
        <v>161</v>
      </c>
      <c r="F5" s="267"/>
      <c r="G5" s="267"/>
      <c r="H5" s="128" t="s">
        <v>161</v>
      </c>
      <c r="I5" s="267"/>
      <c r="J5" s="267"/>
      <c r="K5" s="267"/>
      <c r="L5" s="267"/>
      <c r="M5" s="267"/>
      <c r="N5" s="267"/>
    </row>
    <row r="6" spans="1:18" ht="15" thickBot="1" x14ac:dyDescent="0.35">
      <c r="A6" s="122">
        <v>1</v>
      </c>
      <c r="B6" s="129"/>
      <c r="C6" s="122" t="s">
        <v>162</v>
      </c>
      <c r="D6" s="130">
        <f>+SUMIFS('[2]elv BLG'!F:F,'[2]elv BLG'!D:D,'elv COVER (2)'!C6,'[2]elv BLG'!E:E,'elv COVER (2)'!D2)</f>
        <v>0</v>
      </c>
      <c r="E6" s="130">
        <v>33</v>
      </c>
      <c r="F6" s="131" t="s">
        <v>163</v>
      </c>
      <c r="G6" s="131" t="s">
        <v>163</v>
      </c>
      <c r="H6" s="130">
        <v>43</v>
      </c>
      <c r="I6" s="131" t="s">
        <v>163</v>
      </c>
      <c r="J6" s="131" t="s">
        <v>163</v>
      </c>
      <c r="K6" s="131" t="s">
        <v>163</v>
      </c>
      <c r="L6" s="131" t="s">
        <v>163</v>
      </c>
      <c r="M6" s="131" t="s">
        <v>163</v>
      </c>
      <c r="N6" s="131" t="s">
        <v>163</v>
      </c>
      <c r="P6" s="122">
        <f t="shared" ref="P6:P15" si="0">+D6</f>
        <v>0</v>
      </c>
      <c r="Q6" s="122" t="e">
        <f>+E6+F6+K6</f>
        <v>#VALUE!</v>
      </c>
      <c r="R6" s="122" t="e">
        <f>+H6+I6+M6</f>
        <v>#VALUE!</v>
      </c>
    </row>
    <row r="7" spans="1:18" ht="15" thickBot="1" x14ac:dyDescent="0.35">
      <c r="A7" s="122">
        <v>2</v>
      </c>
      <c r="B7" s="129"/>
      <c r="C7" s="122" t="s">
        <v>164</v>
      </c>
      <c r="D7" s="132"/>
      <c r="E7" s="132">
        <v>11</v>
      </c>
      <c r="F7" s="133" t="s">
        <v>163</v>
      </c>
      <c r="G7" s="133" t="s">
        <v>163</v>
      </c>
      <c r="H7" s="132">
        <v>11</v>
      </c>
      <c r="I7" s="133" t="s">
        <v>163</v>
      </c>
      <c r="J7" s="133" t="s">
        <v>163</v>
      </c>
      <c r="K7" s="133" t="s">
        <v>163</v>
      </c>
      <c r="L7" s="133" t="s">
        <v>163</v>
      </c>
      <c r="M7" s="133" t="s">
        <v>163</v>
      </c>
      <c r="N7" s="133" t="s">
        <v>163</v>
      </c>
      <c r="P7" s="122">
        <f t="shared" si="0"/>
        <v>0</v>
      </c>
      <c r="Q7" s="122" t="e">
        <f>+E7+F7+K7</f>
        <v>#VALUE!</v>
      </c>
      <c r="R7" s="122" t="e">
        <f>+H7+I7+M7</f>
        <v>#VALUE!</v>
      </c>
    </row>
    <row r="8" spans="1:18" ht="15" thickBot="1" x14ac:dyDescent="0.35">
      <c r="A8" s="122">
        <v>3</v>
      </c>
      <c r="B8" s="129"/>
      <c r="C8" s="122" t="s">
        <v>165</v>
      </c>
      <c r="D8" s="132"/>
      <c r="E8" s="132"/>
      <c r="F8" s="133" t="s">
        <v>163</v>
      </c>
      <c r="G8" s="133" t="s">
        <v>163</v>
      </c>
      <c r="H8" s="132">
        <v>0</v>
      </c>
      <c r="I8" s="133" t="s">
        <v>163</v>
      </c>
      <c r="J8" s="133" t="s">
        <v>163</v>
      </c>
      <c r="K8" s="133" t="s">
        <v>163</v>
      </c>
      <c r="L8" s="133" t="s">
        <v>163</v>
      </c>
      <c r="M8" s="133" t="s">
        <v>163</v>
      </c>
      <c r="N8" s="133" t="s">
        <v>163</v>
      </c>
      <c r="P8" s="122">
        <f t="shared" si="0"/>
        <v>0</v>
      </c>
      <c r="Q8" s="122" t="e">
        <f>+E8+F8</f>
        <v>#VALUE!</v>
      </c>
      <c r="R8" s="122" t="e">
        <f>+H8+I8</f>
        <v>#VALUE!</v>
      </c>
    </row>
    <row r="9" spans="1:18" ht="15" thickBot="1" x14ac:dyDescent="0.35">
      <c r="A9" s="122">
        <v>4</v>
      </c>
      <c r="B9" s="129"/>
      <c r="C9" s="122" t="s">
        <v>166</v>
      </c>
      <c r="D9" s="134">
        <f>+'[2]elv BLG'!F2</f>
        <v>6</v>
      </c>
      <c r="E9" s="132"/>
      <c r="F9" s="132">
        <v>36</v>
      </c>
      <c r="G9" s="133" t="s">
        <v>163</v>
      </c>
      <c r="H9" s="132">
        <v>0</v>
      </c>
      <c r="I9" s="132">
        <v>36</v>
      </c>
      <c r="J9" s="133" t="s">
        <v>163</v>
      </c>
      <c r="K9" s="132">
        <v>63</v>
      </c>
      <c r="L9" s="133" t="s">
        <v>163</v>
      </c>
      <c r="M9" s="132">
        <v>63</v>
      </c>
      <c r="N9" s="133" t="s">
        <v>163</v>
      </c>
      <c r="P9" s="122">
        <f t="shared" si="0"/>
        <v>6</v>
      </c>
      <c r="Q9" s="122" t="e">
        <f>+E9+F9+G9+K9+L9</f>
        <v>#VALUE!</v>
      </c>
      <c r="R9" s="122" t="e">
        <f>+H9+I9+J9+M9+N9</f>
        <v>#VALUE!</v>
      </c>
    </row>
    <row r="10" spans="1:18" ht="15" thickBot="1" x14ac:dyDescent="0.35">
      <c r="A10" s="122">
        <v>5</v>
      </c>
      <c r="B10" s="129"/>
      <c r="C10" s="122" t="s">
        <v>167</v>
      </c>
      <c r="D10" s="132">
        <v>10</v>
      </c>
      <c r="E10" s="132"/>
      <c r="F10" s="132">
        <v>38</v>
      </c>
      <c r="G10" s="133" t="s">
        <v>163</v>
      </c>
      <c r="H10" s="132">
        <v>0</v>
      </c>
      <c r="I10" s="132">
        <v>38</v>
      </c>
      <c r="J10" s="133" t="s">
        <v>163</v>
      </c>
      <c r="K10" s="132">
        <v>58</v>
      </c>
      <c r="L10" s="133" t="s">
        <v>163</v>
      </c>
      <c r="M10" s="132">
        <v>58</v>
      </c>
      <c r="N10" s="133" t="s">
        <v>163</v>
      </c>
      <c r="P10" s="122">
        <f t="shared" si="0"/>
        <v>10</v>
      </c>
      <c r="Q10" s="122">
        <f>+E10+F10</f>
        <v>38</v>
      </c>
      <c r="R10" s="122">
        <f>+H10+I10</f>
        <v>38</v>
      </c>
    </row>
    <row r="11" spans="1:18" ht="15" thickBot="1" x14ac:dyDescent="0.35">
      <c r="A11" s="122">
        <v>6</v>
      </c>
      <c r="B11" s="129"/>
      <c r="C11" s="122" t="s">
        <v>168</v>
      </c>
      <c r="D11" s="132"/>
      <c r="E11" s="132"/>
      <c r="F11" s="132">
        <v>20</v>
      </c>
      <c r="G11" s="133" t="s">
        <v>163</v>
      </c>
      <c r="H11" s="132">
        <v>0</v>
      </c>
      <c r="I11" s="132">
        <v>20</v>
      </c>
      <c r="J11" s="133" t="s">
        <v>163</v>
      </c>
      <c r="K11" s="133" t="s">
        <v>163</v>
      </c>
      <c r="L11" s="133" t="s">
        <v>163</v>
      </c>
      <c r="M11" s="133" t="s">
        <v>163</v>
      </c>
      <c r="N11" s="133" t="s">
        <v>163</v>
      </c>
      <c r="P11" s="122">
        <f t="shared" si="0"/>
        <v>0</v>
      </c>
      <c r="Q11" s="122">
        <f>+E11</f>
        <v>0</v>
      </c>
      <c r="R11" s="122">
        <f>+H11</f>
        <v>0</v>
      </c>
    </row>
    <row r="12" spans="1:18" ht="15" thickBot="1" x14ac:dyDescent="0.35">
      <c r="A12" s="122">
        <v>7</v>
      </c>
      <c r="B12" s="129"/>
      <c r="C12" s="122" t="s">
        <v>169</v>
      </c>
      <c r="D12" s="132">
        <v>19</v>
      </c>
      <c r="E12" s="132"/>
      <c r="F12" s="132">
        <v>34</v>
      </c>
      <c r="G12" s="132">
        <v>7</v>
      </c>
      <c r="H12" s="132">
        <v>0</v>
      </c>
      <c r="I12" s="132">
        <v>34</v>
      </c>
      <c r="J12" s="132">
        <v>7</v>
      </c>
      <c r="K12" s="132">
        <v>51</v>
      </c>
      <c r="L12" s="132">
        <v>81</v>
      </c>
      <c r="M12" s="132">
        <v>51</v>
      </c>
      <c r="N12" s="132">
        <v>81</v>
      </c>
      <c r="P12" s="122">
        <f t="shared" si="0"/>
        <v>19</v>
      </c>
      <c r="Q12" s="122">
        <f>+E12</f>
        <v>0</v>
      </c>
      <c r="R12" s="122">
        <f>+H12</f>
        <v>0</v>
      </c>
    </row>
    <row r="13" spans="1:18" ht="15" thickBot="1" x14ac:dyDescent="0.35">
      <c r="A13" s="122">
        <v>8</v>
      </c>
      <c r="B13" s="129"/>
      <c r="C13" s="122" t="s">
        <v>170</v>
      </c>
      <c r="D13" s="132"/>
      <c r="E13" s="132"/>
      <c r="F13" s="132">
        <v>14</v>
      </c>
      <c r="G13" s="133" t="s">
        <v>163</v>
      </c>
      <c r="H13" s="132">
        <v>0</v>
      </c>
      <c r="I13" s="132">
        <v>14</v>
      </c>
      <c r="J13" s="133" t="s">
        <v>163</v>
      </c>
      <c r="K13" s="133" t="s">
        <v>163</v>
      </c>
      <c r="L13" s="133" t="s">
        <v>163</v>
      </c>
      <c r="M13" s="133" t="s">
        <v>163</v>
      </c>
      <c r="N13" s="133" t="s">
        <v>163</v>
      </c>
      <c r="P13" s="122">
        <f t="shared" si="0"/>
        <v>0</v>
      </c>
      <c r="Q13" s="122">
        <f>+E13</f>
        <v>0</v>
      </c>
      <c r="R13" s="122">
        <f>+H13</f>
        <v>0</v>
      </c>
    </row>
    <row r="14" spans="1:18" ht="15" thickBot="1" x14ac:dyDescent="0.35">
      <c r="A14" s="122">
        <v>9</v>
      </c>
      <c r="B14" s="129"/>
      <c r="C14" s="122" t="s">
        <v>171</v>
      </c>
      <c r="D14" s="132"/>
      <c r="E14" s="132">
        <v>9</v>
      </c>
      <c r="F14" s="133" t="s">
        <v>163</v>
      </c>
      <c r="G14" s="133" t="s">
        <v>163</v>
      </c>
      <c r="H14" s="132">
        <v>9</v>
      </c>
      <c r="I14" s="133" t="s">
        <v>163</v>
      </c>
      <c r="J14" s="133" t="s">
        <v>163</v>
      </c>
      <c r="K14" s="133" t="s">
        <v>163</v>
      </c>
      <c r="L14" s="133" t="s">
        <v>163</v>
      </c>
      <c r="M14" s="133" t="s">
        <v>163</v>
      </c>
      <c r="N14" s="133" t="s">
        <v>163</v>
      </c>
      <c r="P14" s="122">
        <f t="shared" si="0"/>
        <v>0</v>
      </c>
      <c r="Q14" s="122">
        <f>+E14</f>
        <v>9</v>
      </c>
      <c r="R14" s="122">
        <f>+H14</f>
        <v>9</v>
      </c>
    </row>
    <row r="15" spans="1:18" ht="15" thickBot="1" x14ac:dyDescent="0.35">
      <c r="A15" s="122">
        <v>10</v>
      </c>
      <c r="B15" s="129"/>
      <c r="C15" s="135" t="s">
        <v>172</v>
      </c>
      <c r="D15" s="132"/>
      <c r="E15" s="132">
        <v>2</v>
      </c>
      <c r="F15" s="133" t="s">
        <v>163</v>
      </c>
      <c r="G15" s="133" t="s">
        <v>163</v>
      </c>
      <c r="H15" s="132">
        <v>2</v>
      </c>
      <c r="I15" s="133" t="s">
        <v>163</v>
      </c>
      <c r="J15" s="133" t="s">
        <v>163</v>
      </c>
      <c r="K15" s="133" t="s">
        <v>163</v>
      </c>
      <c r="L15" s="133" t="s">
        <v>163</v>
      </c>
      <c r="M15" s="133" t="s">
        <v>163</v>
      </c>
      <c r="N15" s="133" t="s">
        <v>163</v>
      </c>
      <c r="P15" s="122">
        <f t="shared" si="0"/>
        <v>0</v>
      </c>
      <c r="Q15" s="122">
        <f>+E15</f>
        <v>2</v>
      </c>
      <c r="R15" s="122">
        <f>+H15</f>
        <v>2</v>
      </c>
    </row>
    <row r="18" spans="3:18" x14ac:dyDescent="0.3">
      <c r="C18" s="122" t="s">
        <v>173</v>
      </c>
      <c r="D18" s="122">
        <v>55</v>
      </c>
      <c r="E18" s="122">
        <v>55</v>
      </c>
      <c r="F18" s="122">
        <v>142</v>
      </c>
      <c r="G18" s="122">
        <v>7</v>
      </c>
      <c r="H18" s="122">
        <v>65</v>
      </c>
      <c r="I18" s="122">
        <v>142</v>
      </c>
      <c r="J18" s="122">
        <v>7</v>
      </c>
      <c r="K18" s="122">
        <v>172</v>
      </c>
      <c r="L18" s="122">
        <v>81</v>
      </c>
      <c r="M18" s="122">
        <v>172</v>
      </c>
      <c r="N18" s="122">
        <v>81</v>
      </c>
      <c r="P18" s="122">
        <f>SUM(P6:P17)</f>
        <v>35</v>
      </c>
      <c r="Q18" s="122" t="e">
        <f>SUM(Q6:Q17)</f>
        <v>#VALUE!</v>
      </c>
      <c r="R18" s="122" t="e">
        <f>SUM(R6:R17)</f>
        <v>#VALUE!</v>
      </c>
    </row>
    <row r="25" spans="3:18" x14ac:dyDescent="0.3">
      <c r="C25" s="122" t="s">
        <v>162</v>
      </c>
    </row>
    <row r="26" spans="3:18" x14ac:dyDescent="0.3">
      <c r="C26" s="122" t="s">
        <v>164</v>
      </c>
    </row>
    <row r="27" spans="3:18" x14ac:dyDescent="0.3">
      <c r="C27" s="122" t="s">
        <v>165</v>
      </c>
    </row>
    <row r="28" spans="3:18" x14ac:dyDescent="0.3">
      <c r="C28" s="122" t="s">
        <v>166</v>
      </c>
    </row>
    <row r="29" spans="3:18" x14ac:dyDescent="0.3">
      <c r="C29" s="122" t="s">
        <v>167</v>
      </c>
    </row>
    <row r="30" spans="3:18" x14ac:dyDescent="0.3">
      <c r="C30" s="122" t="s">
        <v>168</v>
      </c>
    </row>
    <row r="31" spans="3:18" x14ac:dyDescent="0.3">
      <c r="C31" s="122" t="s">
        <v>169</v>
      </c>
    </row>
    <row r="32" spans="3:18" x14ac:dyDescent="0.3">
      <c r="C32" s="122" t="s">
        <v>170</v>
      </c>
    </row>
    <row r="33" spans="3:3" x14ac:dyDescent="0.3">
      <c r="C33" s="122" t="s">
        <v>171</v>
      </c>
    </row>
    <row r="34" spans="3:3" ht="15" thickBot="1" x14ac:dyDescent="0.35">
      <c r="C34" s="135" t="s">
        <v>172</v>
      </c>
    </row>
    <row r="35" spans="3:3" x14ac:dyDescent="0.3">
      <c r="C35"/>
    </row>
    <row r="36" spans="3:3" x14ac:dyDescent="0.3">
      <c r="C36"/>
    </row>
    <row r="37" spans="3:3" x14ac:dyDescent="0.3">
      <c r="C37"/>
    </row>
    <row r="38" spans="3:3" x14ac:dyDescent="0.3">
      <c r="C38"/>
    </row>
    <row r="39" spans="3:3" x14ac:dyDescent="0.3">
      <c r="C39"/>
    </row>
    <row r="40" spans="3:3" x14ac:dyDescent="0.3">
      <c r="C40"/>
    </row>
    <row r="41" spans="3:3" x14ac:dyDescent="0.3">
      <c r="C41"/>
    </row>
    <row r="42" spans="3:3" x14ac:dyDescent="0.3">
      <c r="C42"/>
    </row>
    <row r="43" spans="3:3" x14ac:dyDescent="0.3">
      <c r="C43"/>
    </row>
    <row r="44" spans="3:3" x14ac:dyDescent="0.3">
      <c r="C44"/>
    </row>
    <row r="45" spans="3:3" x14ac:dyDescent="0.3">
      <c r="C45"/>
    </row>
  </sheetData>
  <mergeCells count="15">
    <mergeCell ref="E3:G3"/>
    <mergeCell ref="H3:J3"/>
    <mergeCell ref="K3:L3"/>
    <mergeCell ref="M3:N3"/>
    <mergeCell ref="B4:B5"/>
    <mergeCell ref="C4:C5"/>
    <mergeCell ref="D4:D5"/>
    <mergeCell ref="F4:F5"/>
    <mergeCell ref="G4:G5"/>
    <mergeCell ref="I4:I5"/>
    <mergeCell ref="J4:J5"/>
    <mergeCell ref="K4:K5"/>
    <mergeCell ref="L4:L5"/>
    <mergeCell ref="M4:M5"/>
    <mergeCell ref="N4:N5"/>
  </mergeCells>
  <pageMargins left="0.7" right="0.7" top="0.75" bottom="0.75" header="0.3" footer="0.3"/>
  <pageSetup orientation="portrait" r:id="rId1"/>
  <headerFooter>
    <oddFooter>&amp;L&amp;1#&amp;"Calibri"&amp;8 Sensitivity: LNT Construction Internal Use</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pageSetUpPr fitToPage="1"/>
  </sheetPr>
  <dimension ref="B1:K63"/>
  <sheetViews>
    <sheetView view="pageBreakPreview" topLeftCell="A31" zoomScale="115" zoomScaleNormal="115" zoomScaleSheetLayoutView="115" workbookViewId="0">
      <selection activeCell="G55" sqref="G55"/>
    </sheetView>
  </sheetViews>
  <sheetFormatPr defaultColWidth="9.109375" defaultRowHeight="14.4" x14ac:dyDescent="0.3"/>
  <cols>
    <col min="1" max="1" width="2.44140625" customWidth="1"/>
    <col min="2" max="2" width="17.44140625" customWidth="1"/>
    <col min="3" max="3" width="50.44140625" customWidth="1"/>
    <col min="4" max="11" width="12.109375" customWidth="1"/>
  </cols>
  <sheetData>
    <row r="1" spans="2:11" ht="17.399999999999999" x14ac:dyDescent="0.3">
      <c r="B1" s="64" t="s">
        <v>68</v>
      </c>
      <c r="C1" s="65"/>
      <c r="D1" s="65"/>
      <c r="E1" s="65"/>
      <c r="F1" s="65"/>
      <c r="G1" s="65"/>
      <c r="H1" s="65"/>
      <c r="I1" s="65"/>
      <c r="J1" s="65"/>
      <c r="K1" s="66">
        <v>43213</v>
      </c>
    </row>
    <row r="2" spans="2:11" ht="15.6" x14ac:dyDescent="0.3">
      <c r="B2" s="256" t="s">
        <v>69</v>
      </c>
      <c r="C2" s="256"/>
      <c r="D2" s="256"/>
      <c r="E2" s="256"/>
      <c r="F2" s="256"/>
      <c r="G2" s="256"/>
      <c r="H2" s="256"/>
      <c r="I2" s="256"/>
      <c r="J2" s="256"/>
      <c r="K2" s="256"/>
    </row>
    <row r="3" spans="2:11" x14ac:dyDescent="0.3">
      <c r="B3" s="67" t="s">
        <v>70</v>
      </c>
      <c r="C3" s="68" t="s">
        <v>71</v>
      </c>
      <c r="D3" s="268" t="s">
        <v>72</v>
      </c>
      <c r="E3" s="269"/>
      <c r="F3" s="270" t="s">
        <v>73</v>
      </c>
      <c r="G3" s="271"/>
      <c r="H3" s="272"/>
      <c r="I3" s="273" t="s">
        <v>74</v>
      </c>
      <c r="J3" s="274"/>
      <c r="K3" s="275"/>
    </row>
    <row r="4" spans="2:11" x14ac:dyDescent="0.3">
      <c r="B4" s="69"/>
      <c r="C4" s="68" t="s">
        <v>75</v>
      </c>
      <c r="D4" s="70" t="s">
        <v>76</v>
      </c>
      <c r="E4" s="70" t="s">
        <v>59</v>
      </c>
      <c r="F4" s="71" t="s">
        <v>77</v>
      </c>
      <c r="G4" s="72" t="s">
        <v>78</v>
      </c>
      <c r="H4" s="73" t="s">
        <v>79</v>
      </c>
      <c r="I4" s="74" t="s">
        <v>80</v>
      </c>
      <c r="J4" s="75" t="s">
        <v>81</v>
      </c>
      <c r="K4" s="76" t="s">
        <v>82</v>
      </c>
    </row>
    <row r="5" spans="2:11" x14ac:dyDescent="0.3">
      <c r="B5" s="77"/>
      <c r="C5" s="78"/>
      <c r="D5" s="79"/>
      <c r="E5" s="80"/>
      <c r="F5" s="81"/>
      <c r="G5" s="82"/>
      <c r="H5" s="83"/>
      <c r="I5" s="84"/>
      <c r="J5" s="77"/>
      <c r="K5" s="85"/>
    </row>
    <row r="6" spans="2:11" x14ac:dyDescent="0.3">
      <c r="B6" s="86" t="s">
        <v>83</v>
      </c>
      <c r="C6" s="87" t="s">
        <v>84</v>
      </c>
      <c r="D6" s="88">
        <v>43159</v>
      </c>
      <c r="E6" s="89">
        <v>43155</v>
      </c>
      <c r="F6" s="90">
        <v>43235</v>
      </c>
      <c r="G6" s="91">
        <f>F6+60</f>
        <v>43295</v>
      </c>
      <c r="H6" s="92"/>
      <c r="I6" s="90">
        <f>F6+28</f>
        <v>43263</v>
      </c>
      <c r="J6" s="91">
        <f>G6+45</f>
        <v>43340</v>
      </c>
      <c r="K6" s="93"/>
    </row>
    <row r="7" spans="2:11" x14ac:dyDescent="0.3">
      <c r="B7" s="86" t="s">
        <v>85</v>
      </c>
      <c r="C7" s="87" t="s">
        <v>86</v>
      </c>
      <c r="D7" s="88">
        <v>43160</v>
      </c>
      <c r="E7" s="89">
        <v>43157</v>
      </c>
      <c r="F7" s="90">
        <v>43245</v>
      </c>
      <c r="G7" s="91">
        <f>F7+60</f>
        <v>43305</v>
      </c>
      <c r="H7" s="92"/>
      <c r="I7" s="90">
        <f>F7+28</f>
        <v>43273</v>
      </c>
      <c r="J7" s="91">
        <f>G7+45</f>
        <v>43350</v>
      </c>
      <c r="K7" s="93"/>
    </row>
    <row r="8" spans="2:11" x14ac:dyDescent="0.3">
      <c r="B8" s="86" t="s">
        <v>87</v>
      </c>
      <c r="C8" s="87" t="s">
        <v>88</v>
      </c>
      <c r="D8" s="88">
        <v>43184</v>
      </c>
      <c r="E8" s="89">
        <v>43155</v>
      </c>
      <c r="F8" s="90">
        <f>D8+40</f>
        <v>43224</v>
      </c>
      <c r="G8" s="91">
        <f>F8+35</f>
        <v>43259</v>
      </c>
      <c r="H8" s="92"/>
      <c r="I8" s="90">
        <f>G8+35</f>
        <v>43294</v>
      </c>
      <c r="J8" s="91">
        <f>I8+19</f>
        <v>43313</v>
      </c>
      <c r="K8" s="93"/>
    </row>
    <row r="9" spans="2:11" x14ac:dyDescent="0.3">
      <c r="B9" s="86" t="s">
        <v>89</v>
      </c>
      <c r="C9" s="87" t="s">
        <v>90</v>
      </c>
      <c r="D9" s="88">
        <v>43166</v>
      </c>
      <c r="E9" s="89">
        <v>43155</v>
      </c>
      <c r="F9" s="90">
        <v>43229</v>
      </c>
      <c r="G9" s="91">
        <v>43278</v>
      </c>
      <c r="H9" s="92">
        <v>43343</v>
      </c>
      <c r="I9" s="90">
        <v>43259</v>
      </c>
      <c r="J9" s="91">
        <v>43308</v>
      </c>
      <c r="K9" s="92">
        <v>43371</v>
      </c>
    </row>
    <row r="10" spans="2:11" x14ac:dyDescent="0.3">
      <c r="B10" s="86" t="s">
        <v>91</v>
      </c>
      <c r="C10" s="87" t="s">
        <v>92</v>
      </c>
      <c r="D10" s="88">
        <v>43159</v>
      </c>
      <c r="E10" s="89">
        <v>43155</v>
      </c>
      <c r="F10" s="90">
        <v>43229</v>
      </c>
      <c r="G10" s="91">
        <f>F10+31</f>
        <v>43260</v>
      </c>
      <c r="H10" s="92"/>
      <c r="I10" s="90">
        <f>F10+28</f>
        <v>43257</v>
      </c>
      <c r="J10" s="91">
        <f>I10+42</f>
        <v>43299</v>
      </c>
      <c r="K10" s="94"/>
    </row>
    <row r="11" spans="2:11" x14ac:dyDescent="0.3">
      <c r="B11" s="86" t="s">
        <v>93</v>
      </c>
      <c r="C11" s="87" t="s">
        <v>94</v>
      </c>
      <c r="D11" s="88">
        <v>43175</v>
      </c>
      <c r="E11" s="89">
        <v>43164</v>
      </c>
      <c r="F11" s="90">
        <f>D11+40</f>
        <v>43215</v>
      </c>
      <c r="G11" s="91"/>
      <c r="H11" s="92"/>
      <c r="I11" s="90">
        <f>F11+35</f>
        <v>43250</v>
      </c>
      <c r="J11" s="90">
        <f>F11+138</f>
        <v>43353</v>
      </c>
      <c r="K11" s="93"/>
    </row>
    <row r="12" spans="2:11" x14ac:dyDescent="0.3">
      <c r="B12" s="86" t="s">
        <v>95</v>
      </c>
      <c r="C12" s="87" t="s">
        <v>96</v>
      </c>
      <c r="D12" s="95">
        <v>43252</v>
      </c>
      <c r="E12" s="96"/>
      <c r="F12" s="90">
        <f>D12+45</f>
        <v>43297</v>
      </c>
      <c r="G12" s="90">
        <f>F12+32</f>
        <v>43329</v>
      </c>
      <c r="H12" s="92"/>
      <c r="I12" s="90">
        <f>G12+31</f>
        <v>43360</v>
      </c>
      <c r="J12" s="90">
        <f>I12+21</f>
        <v>43381</v>
      </c>
      <c r="K12" s="93"/>
    </row>
    <row r="13" spans="2:11" x14ac:dyDescent="0.3">
      <c r="B13" s="86" t="s">
        <v>97</v>
      </c>
      <c r="C13" s="87" t="s">
        <v>98</v>
      </c>
      <c r="D13" s="95">
        <v>43238</v>
      </c>
      <c r="E13" s="96"/>
      <c r="F13" s="90">
        <f>D13+49</f>
        <v>43287</v>
      </c>
      <c r="G13" s="90">
        <f>F13+38</f>
        <v>43325</v>
      </c>
      <c r="H13" s="92"/>
      <c r="I13" s="90">
        <f>G13+18</f>
        <v>43343</v>
      </c>
      <c r="J13" s="90">
        <f>I13+45</f>
        <v>43388</v>
      </c>
      <c r="K13" s="93"/>
    </row>
    <row r="14" spans="2:11" x14ac:dyDescent="0.3">
      <c r="B14" s="86" t="s">
        <v>99</v>
      </c>
      <c r="C14" s="87" t="s">
        <v>100</v>
      </c>
      <c r="D14" s="88">
        <v>43176</v>
      </c>
      <c r="E14" s="89">
        <v>43164</v>
      </c>
      <c r="F14" s="90">
        <f>D14+55</f>
        <v>43231</v>
      </c>
      <c r="G14" s="90">
        <f>F14+35</f>
        <v>43266</v>
      </c>
      <c r="H14" s="92"/>
      <c r="I14" s="90">
        <f>G14+56</f>
        <v>43322</v>
      </c>
      <c r="J14" s="90">
        <f>I14+28</f>
        <v>43350</v>
      </c>
      <c r="K14" s="93"/>
    </row>
    <row r="15" spans="2:11" x14ac:dyDescent="0.3">
      <c r="B15" s="86" t="s">
        <v>101</v>
      </c>
      <c r="C15" s="87" t="s">
        <v>102</v>
      </c>
      <c r="D15" s="88">
        <v>43187</v>
      </c>
      <c r="E15" s="89">
        <v>43164</v>
      </c>
      <c r="F15" s="90">
        <f>D15+58</f>
        <v>43245</v>
      </c>
      <c r="G15" s="90">
        <f>F15+33</f>
        <v>43278</v>
      </c>
      <c r="H15" s="92"/>
      <c r="I15" s="90">
        <f>G15+34</f>
        <v>43312</v>
      </c>
      <c r="J15" s="90">
        <f>I15+34</f>
        <v>43346</v>
      </c>
      <c r="K15" s="93"/>
    </row>
    <row r="16" spans="2:11" x14ac:dyDescent="0.3">
      <c r="B16" s="97"/>
      <c r="C16" s="97"/>
      <c r="D16" s="98"/>
      <c r="E16" s="98"/>
      <c r="F16" s="97"/>
      <c r="G16" s="97"/>
      <c r="H16" s="97"/>
      <c r="I16" s="97"/>
      <c r="J16" s="97"/>
      <c r="K16" s="97"/>
    </row>
    <row r="17" spans="2:11" x14ac:dyDescent="0.3">
      <c r="B17" s="99" t="s">
        <v>103</v>
      </c>
      <c r="C17" s="99"/>
      <c r="D17" s="98"/>
      <c r="E17" s="98"/>
      <c r="F17" s="97"/>
      <c r="G17" s="97"/>
      <c r="H17" s="97"/>
      <c r="I17" s="97"/>
      <c r="J17" s="97"/>
      <c r="K17" s="97"/>
    </row>
    <row r="18" spans="2:11" ht="15.6" customHeight="1" x14ac:dyDescent="0.3">
      <c r="B18" s="276" t="s">
        <v>104</v>
      </c>
      <c r="C18" s="276"/>
      <c r="D18" s="276"/>
      <c r="E18" s="276"/>
      <c r="F18" s="276"/>
      <c r="G18" s="276"/>
      <c r="H18" s="276"/>
      <c r="I18" s="276"/>
      <c r="J18" s="276"/>
      <c r="K18" s="276"/>
    </row>
    <row r="19" spans="2:11" ht="15.6" customHeight="1" x14ac:dyDescent="0.3">
      <c r="B19" s="100"/>
      <c r="C19" s="100"/>
      <c r="D19" s="100"/>
      <c r="E19" s="100"/>
      <c r="F19" s="100"/>
      <c r="G19" s="100"/>
      <c r="H19" s="100"/>
      <c r="I19" s="100"/>
      <c r="J19" s="100"/>
      <c r="K19" s="100"/>
    </row>
    <row r="20" spans="2:11" x14ac:dyDescent="0.3">
      <c r="B20" s="99" t="s">
        <v>76</v>
      </c>
      <c r="C20" s="99" t="s">
        <v>105</v>
      </c>
      <c r="D20" s="101"/>
      <c r="E20" s="101"/>
      <c r="F20" s="102"/>
      <c r="G20" s="102"/>
      <c r="H20" s="97"/>
      <c r="I20" s="103"/>
      <c r="J20" s="97"/>
      <c r="K20" s="97"/>
    </row>
    <row r="21" spans="2:11" x14ac:dyDescent="0.3">
      <c r="B21" s="99" t="s">
        <v>106</v>
      </c>
      <c r="C21" s="99" t="s">
        <v>107</v>
      </c>
      <c r="D21" s="101"/>
      <c r="E21" s="101"/>
      <c r="F21" s="102"/>
      <c r="G21" s="102"/>
      <c r="H21" s="97"/>
      <c r="I21" s="97"/>
      <c r="J21" s="97"/>
      <c r="K21" s="97"/>
    </row>
    <row r="22" spans="2:11" x14ac:dyDescent="0.3">
      <c r="B22" s="99" t="s">
        <v>108</v>
      </c>
      <c r="C22" s="99" t="s">
        <v>109</v>
      </c>
      <c r="D22" s="101"/>
      <c r="E22" s="101"/>
      <c r="F22" s="102"/>
      <c r="G22" s="102"/>
      <c r="H22" s="97"/>
      <c r="I22" s="97"/>
      <c r="J22" s="97"/>
      <c r="K22" s="97"/>
    </row>
    <row r="23" spans="2:11" x14ac:dyDescent="0.3">
      <c r="B23" s="99" t="s">
        <v>78</v>
      </c>
      <c r="C23" s="99" t="s">
        <v>110</v>
      </c>
      <c r="D23" s="101"/>
      <c r="E23" s="101"/>
      <c r="F23" s="102"/>
      <c r="G23" s="102"/>
    </row>
    <row r="24" spans="2:11" x14ac:dyDescent="0.3">
      <c r="D24" s="101"/>
      <c r="E24" s="101"/>
      <c r="F24" s="102"/>
      <c r="G24" s="102"/>
    </row>
    <row r="25" spans="2:11" x14ac:dyDescent="0.3">
      <c r="B25" s="104" t="s">
        <v>111</v>
      </c>
      <c r="D25" s="101"/>
      <c r="E25" s="101"/>
      <c r="F25" s="102"/>
      <c r="G25" s="102"/>
    </row>
    <row r="26" spans="2:11" ht="30.15" customHeight="1" x14ac:dyDescent="0.3">
      <c r="B26" s="105">
        <v>1</v>
      </c>
      <c r="C26" s="255" t="s">
        <v>112</v>
      </c>
      <c r="D26" s="255"/>
      <c r="E26" s="255"/>
      <c r="F26" s="255"/>
      <c r="G26" s="255"/>
      <c r="H26" s="255"/>
      <c r="I26" s="255"/>
      <c r="J26" s="255"/>
      <c r="K26" s="255"/>
    </row>
    <row r="27" spans="2:11" x14ac:dyDescent="0.3">
      <c r="B27" s="105">
        <v>2</v>
      </c>
      <c r="C27" s="255" t="s">
        <v>113</v>
      </c>
      <c r="D27" s="255"/>
      <c r="E27" s="255"/>
      <c r="F27" s="255"/>
      <c r="G27" s="255"/>
      <c r="H27" s="255"/>
      <c r="I27" s="255"/>
      <c r="J27" s="255"/>
      <c r="K27" s="255"/>
    </row>
    <row r="28" spans="2:11" x14ac:dyDescent="0.3">
      <c r="B28" s="105">
        <v>3</v>
      </c>
      <c r="C28" s="255" t="s">
        <v>114</v>
      </c>
      <c r="D28" s="255"/>
      <c r="E28" s="255"/>
      <c r="F28" s="255"/>
      <c r="G28" s="255"/>
      <c r="H28" s="255"/>
      <c r="I28" s="255"/>
      <c r="J28" s="255"/>
      <c r="K28" s="255"/>
    </row>
    <row r="29" spans="2:11" ht="26.4" customHeight="1" x14ac:dyDescent="0.3">
      <c r="B29" s="105">
        <v>4</v>
      </c>
      <c r="C29" s="255" t="s">
        <v>115</v>
      </c>
      <c r="D29" s="255"/>
      <c r="E29" s="255"/>
      <c r="F29" s="255"/>
      <c r="G29" s="255"/>
      <c r="H29" s="255"/>
      <c r="I29" s="255"/>
      <c r="J29" s="255"/>
      <c r="K29" s="255"/>
    </row>
    <row r="30" spans="2:11" x14ac:dyDescent="0.3">
      <c r="B30" s="105">
        <v>5</v>
      </c>
      <c r="C30" s="255" t="s">
        <v>116</v>
      </c>
      <c r="D30" s="255"/>
      <c r="E30" s="255"/>
      <c r="F30" s="255"/>
      <c r="G30" s="255"/>
      <c r="H30" s="255"/>
      <c r="I30" s="255"/>
      <c r="J30" s="255"/>
      <c r="K30" s="255"/>
    </row>
    <row r="31" spans="2:11" x14ac:dyDescent="0.3">
      <c r="C31" s="106"/>
      <c r="D31" s="106"/>
      <c r="E31" s="106"/>
      <c r="F31" s="106"/>
      <c r="G31" s="106"/>
      <c r="H31" s="106"/>
      <c r="I31" s="106"/>
      <c r="J31" s="106"/>
      <c r="K31" s="106"/>
    </row>
    <row r="32" spans="2:11" ht="15.6" x14ac:dyDescent="0.3">
      <c r="B32" s="277" t="s">
        <v>117</v>
      </c>
      <c r="C32" s="277"/>
      <c r="D32" s="277"/>
      <c r="E32" s="277"/>
      <c r="F32" s="277"/>
      <c r="G32" s="277"/>
      <c r="H32" s="277"/>
      <c r="I32" s="278"/>
      <c r="J32" s="278"/>
      <c r="K32" s="278"/>
    </row>
    <row r="33" spans="2:11" x14ac:dyDescent="0.3">
      <c r="B33" s="67" t="s">
        <v>70</v>
      </c>
      <c r="C33" s="68" t="s">
        <v>71</v>
      </c>
      <c r="D33" s="107" t="s">
        <v>72</v>
      </c>
      <c r="E33" s="257" t="s">
        <v>118</v>
      </c>
      <c r="F33" s="259"/>
      <c r="G33" s="257" t="s">
        <v>119</v>
      </c>
      <c r="H33" s="259"/>
      <c r="I33" s="108"/>
    </row>
    <row r="34" spans="2:11" x14ac:dyDescent="0.3">
      <c r="B34" s="69"/>
      <c r="C34" s="68" t="s">
        <v>75</v>
      </c>
      <c r="D34" s="70" t="s">
        <v>120</v>
      </c>
      <c r="E34" s="70" t="s">
        <v>121</v>
      </c>
      <c r="F34" s="109" t="s">
        <v>122</v>
      </c>
      <c r="G34" s="70" t="s">
        <v>123</v>
      </c>
      <c r="H34" s="109" t="s">
        <v>124</v>
      </c>
      <c r="I34" s="110"/>
    </row>
    <row r="35" spans="2:11" x14ac:dyDescent="0.3">
      <c r="B35" s="77"/>
      <c r="C35" s="78"/>
      <c r="D35" s="111"/>
      <c r="E35" s="81"/>
      <c r="F35" s="83"/>
      <c r="G35" s="81"/>
      <c r="H35" s="83"/>
      <c r="I35" s="112"/>
    </row>
    <row r="36" spans="2:11" x14ac:dyDescent="0.3">
      <c r="B36" s="86" t="s">
        <v>83</v>
      </c>
      <c r="C36" s="87" t="s">
        <v>125</v>
      </c>
      <c r="D36" s="113">
        <f>J6+45</f>
        <v>43385</v>
      </c>
      <c r="E36" s="113">
        <f>D36+90</f>
        <v>43475</v>
      </c>
      <c r="F36" s="93"/>
      <c r="G36" s="113">
        <f>E36+28</f>
        <v>43503</v>
      </c>
      <c r="H36" s="93"/>
      <c r="I36" s="101"/>
    </row>
    <row r="37" spans="2:11" x14ac:dyDescent="0.3">
      <c r="B37" s="86" t="s">
        <v>85</v>
      </c>
      <c r="C37" s="87" t="s">
        <v>126</v>
      </c>
      <c r="D37" s="113">
        <f>J7+42</f>
        <v>43392</v>
      </c>
      <c r="E37" s="113">
        <f>D37+90</f>
        <v>43482</v>
      </c>
      <c r="F37" s="93"/>
      <c r="G37" s="113">
        <f>E37+28</f>
        <v>43510</v>
      </c>
      <c r="H37" s="93"/>
      <c r="I37" s="101"/>
    </row>
    <row r="38" spans="2:11" x14ac:dyDescent="0.3">
      <c r="B38" s="86" t="s">
        <v>87</v>
      </c>
      <c r="C38" s="87" t="s">
        <v>90</v>
      </c>
      <c r="D38" s="90">
        <v>43355</v>
      </c>
      <c r="E38" s="90">
        <v>43420</v>
      </c>
      <c r="F38" s="92">
        <v>43474</v>
      </c>
      <c r="G38" s="90">
        <v>43497</v>
      </c>
      <c r="H38" s="92">
        <v>43524</v>
      </c>
      <c r="I38" s="101"/>
    </row>
    <row r="39" spans="2:11" x14ac:dyDescent="0.3">
      <c r="B39" s="86" t="s">
        <v>89</v>
      </c>
      <c r="C39" s="87" t="s">
        <v>127</v>
      </c>
      <c r="D39" s="90">
        <v>43343</v>
      </c>
      <c r="E39" s="90">
        <f>D39+90</f>
        <v>43433</v>
      </c>
      <c r="F39" s="92"/>
      <c r="G39" s="90">
        <f>E39+29</f>
        <v>43462</v>
      </c>
      <c r="H39" s="93"/>
      <c r="I39" s="114"/>
    </row>
    <row r="40" spans="2:11" x14ac:dyDescent="0.3">
      <c r="D40" s="279" t="s">
        <v>139</v>
      </c>
      <c r="E40" s="279"/>
      <c r="F40" s="279"/>
      <c r="G40" s="279"/>
      <c r="H40" s="279"/>
      <c r="I40" s="115"/>
      <c r="J40" s="115"/>
      <c r="K40" s="115"/>
    </row>
    <row r="41" spans="2:11" hidden="1" x14ac:dyDescent="0.3">
      <c r="C41" s="68" t="s">
        <v>71</v>
      </c>
      <c r="D41" s="107" t="s">
        <v>72</v>
      </c>
      <c r="E41" s="257" t="s">
        <v>118</v>
      </c>
      <c r="F41" s="259"/>
      <c r="G41" s="257" t="s">
        <v>119</v>
      </c>
      <c r="H41" s="259"/>
    </row>
    <row r="42" spans="2:11" hidden="1" x14ac:dyDescent="0.3">
      <c r="C42" s="68" t="s">
        <v>75</v>
      </c>
      <c r="D42" s="70" t="s">
        <v>120</v>
      </c>
      <c r="E42" s="70" t="s">
        <v>121</v>
      </c>
      <c r="F42" s="109" t="s">
        <v>122</v>
      </c>
      <c r="G42" s="70" t="s">
        <v>123</v>
      </c>
      <c r="H42" s="109" t="s">
        <v>124</v>
      </c>
    </row>
    <row r="43" spans="2:11" hidden="1" x14ac:dyDescent="0.3">
      <c r="C43" s="78"/>
      <c r="D43" s="111"/>
      <c r="E43" s="81"/>
      <c r="F43" s="83"/>
      <c r="G43" s="81"/>
      <c r="H43" s="83"/>
    </row>
    <row r="44" spans="2:11" hidden="1" x14ac:dyDescent="0.3">
      <c r="C44" s="87" t="s">
        <v>125</v>
      </c>
      <c r="D44" s="113">
        <f t="shared" ref="D44:E46" si="0">+D36+15</f>
        <v>43400</v>
      </c>
      <c r="E44" s="113">
        <f t="shared" si="0"/>
        <v>43490</v>
      </c>
      <c r="F44" s="93"/>
      <c r="G44" s="113">
        <f>+G36+15</f>
        <v>43518</v>
      </c>
      <c r="H44" s="93"/>
    </row>
    <row r="45" spans="2:11" hidden="1" x14ac:dyDescent="0.3">
      <c r="C45" s="87" t="s">
        <v>126</v>
      </c>
      <c r="D45" s="113">
        <f t="shared" si="0"/>
        <v>43407</v>
      </c>
      <c r="E45" s="113">
        <f t="shared" si="0"/>
        <v>43497</v>
      </c>
      <c r="F45" s="93"/>
      <c r="G45" s="113">
        <f>+G37+15</f>
        <v>43525</v>
      </c>
      <c r="H45" s="93"/>
    </row>
    <row r="46" spans="2:11" hidden="1" x14ac:dyDescent="0.3">
      <c r="C46" s="87" t="s">
        <v>90</v>
      </c>
      <c r="D46" s="113">
        <f t="shared" si="0"/>
        <v>43370</v>
      </c>
      <c r="E46" s="113">
        <f t="shared" si="0"/>
        <v>43435</v>
      </c>
      <c r="F46" s="113">
        <f>+F38+15</f>
        <v>43489</v>
      </c>
      <c r="G46" s="113">
        <f>+G38+15</f>
        <v>43512</v>
      </c>
      <c r="H46" s="113">
        <f>+H38+15</f>
        <v>43539</v>
      </c>
    </row>
    <row r="47" spans="2:11" hidden="1" x14ac:dyDescent="0.3">
      <c r="C47" s="87" t="s">
        <v>127</v>
      </c>
      <c r="D47" s="113"/>
      <c r="E47" s="113">
        <f>+E39+15</f>
        <v>43448</v>
      </c>
      <c r="F47" s="92"/>
      <c r="G47" s="113">
        <f>+G39+15</f>
        <v>43477</v>
      </c>
      <c r="H47" s="93"/>
    </row>
    <row r="48" spans="2:11" x14ac:dyDescent="0.3">
      <c r="D48" s="120"/>
    </row>
    <row r="49" spans="3:8" x14ac:dyDescent="0.3">
      <c r="C49" s="68" t="s">
        <v>71</v>
      </c>
      <c r="D49" s="107" t="s">
        <v>72</v>
      </c>
      <c r="E49" s="257" t="s">
        <v>118</v>
      </c>
      <c r="F49" s="259"/>
      <c r="G49" s="257" t="s">
        <v>119</v>
      </c>
      <c r="H49" s="259"/>
    </row>
    <row r="50" spans="3:8" x14ac:dyDescent="0.3">
      <c r="C50" s="68" t="s">
        <v>75</v>
      </c>
      <c r="D50" s="70" t="s">
        <v>120</v>
      </c>
      <c r="E50" s="70" t="s">
        <v>121</v>
      </c>
      <c r="F50" s="109" t="s">
        <v>122</v>
      </c>
      <c r="G50" s="70" t="s">
        <v>123</v>
      </c>
      <c r="H50" s="109" t="s">
        <v>124</v>
      </c>
    </row>
    <row r="51" spans="3:8" x14ac:dyDescent="0.3">
      <c r="C51" s="78"/>
      <c r="D51" s="111"/>
      <c r="E51" s="81"/>
      <c r="F51" s="83"/>
      <c r="G51" s="81"/>
      <c r="H51" s="83"/>
    </row>
    <row r="52" spans="3:8" x14ac:dyDescent="0.3">
      <c r="C52" s="87" t="s">
        <v>125</v>
      </c>
      <c r="D52" s="113">
        <v>43402</v>
      </c>
      <c r="E52" s="113">
        <v>43493</v>
      </c>
      <c r="F52" s="113"/>
      <c r="G52" s="113">
        <v>43521</v>
      </c>
      <c r="H52" s="113"/>
    </row>
    <row r="53" spans="3:8" x14ac:dyDescent="0.3">
      <c r="C53" s="87" t="s">
        <v>126</v>
      </c>
      <c r="D53" s="113">
        <v>43409</v>
      </c>
      <c r="E53" s="113">
        <v>43500</v>
      </c>
      <c r="F53" s="113"/>
      <c r="G53" s="113">
        <v>43528</v>
      </c>
      <c r="H53" s="113"/>
    </row>
    <row r="54" spans="3:8" x14ac:dyDescent="0.3">
      <c r="C54" s="87" t="s">
        <v>90</v>
      </c>
      <c r="D54" s="113">
        <v>43370</v>
      </c>
      <c r="E54" s="113">
        <v>43437</v>
      </c>
      <c r="F54" s="113">
        <v>43489</v>
      </c>
      <c r="G54" s="113">
        <v>43514</v>
      </c>
      <c r="H54" s="113">
        <v>43542</v>
      </c>
    </row>
    <row r="55" spans="3:8" x14ac:dyDescent="0.3">
      <c r="C55" s="87" t="s">
        <v>127</v>
      </c>
      <c r="D55" s="113">
        <v>43360</v>
      </c>
      <c r="E55" s="113">
        <v>43451</v>
      </c>
      <c r="F55" s="113"/>
      <c r="G55" s="113">
        <v>43479</v>
      </c>
      <c r="H55" s="113"/>
    </row>
    <row r="56" spans="3:8" x14ac:dyDescent="0.3">
      <c r="D56" s="55">
        <f>+_xlfn.DAYS(D52,D36)</f>
        <v>17</v>
      </c>
      <c r="E56" s="55">
        <f t="shared" ref="E56:H56" si="1">+_xlfn.DAYS(E52,E36)</f>
        <v>18</v>
      </c>
      <c r="F56" s="55">
        <f t="shared" si="1"/>
        <v>0</v>
      </c>
      <c r="G56" s="55">
        <f t="shared" si="1"/>
        <v>18</v>
      </c>
      <c r="H56" s="55">
        <f t="shared" si="1"/>
        <v>0</v>
      </c>
    </row>
    <row r="57" spans="3:8" x14ac:dyDescent="0.3">
      <c r="D57" s="55">
        <f t="shared" ref="D57:H59" si="2">+_xlfn.DAYS(D53,D37)</f>
        <v>17</v>
      </c>
      <c r="E57" s="55">
        <f t="shared" si="2"/>
        <v>18</v>
      </c>
      <c r="F57" s="55">
        <f t="shared" si="2"/>
        <v>0</v>
      </c>
      <c r="G57" s="55">
        <f t="shared" si="2"/>
        <v>18</v>
      </c>
      <c r="H57" s="55">
        <f t="shared" si="2"/>
        <v>0</v>
      </c>
    </row>
    <row r="58" spans="3:8" x14ac:dyDescent="0.3">
      <c r="D58" s="55">
        <f t="shared" si="2"/>
        <v>15</v>
      </c>
      <c r="E58" s="55">
        <f t="shared" si="2"/>
        <v>17</v>
      </c>
      <c r="F58" s="55">
        <f t="shared" si="2"/>
        <v>15</v>
      </c>
      <c r="G58" s="55">
        <f t="shared" si="2"/>
        <v>17</v>
      </c>
      <c r="H58" s="55">
        <f t="shared" si="2"/>
        <v>18</v>
      </c>
    </row>
    <row r="59" spans="3:8" x14ac:dyDescent="0.3">
      <c r="D59" s="55">
        <f t="shared" si="2"/>
        <v>17</v>
      </c>
      <c r="E59" s="55">
        <f t="shared" si="2"/>
        <v>18</v>
      </c>
      <c r="F59" s="55">
        <f t="shared" si="2"/>
        <v>0</v>
      </c>
      <c r="G59" s="55">
        <f t="shared" si="2"/>
        <v>17</v>
      </c>
      <c r="H59" s="55">
        <f t="shared" si="2"/>
        <v>0</v>
      </c>
    </row>
    <row r="60" spans="3:8" x14ac:dyDescent="0.3">
      <c r="D60" s="121">
        <f>+D52</f>
        <v>43402</v>
      </c>
      <c r="E60" s="121">
        <f t="shared" ref="E60:H60" si="3">+E52</f>
        <v>43493</v>
      </c>
      <c r="F60" s="121">
        <f t="shared" si="3"/>
        <v>0</v>
      </c>
      <c r="G60" s="121">
        <f t="shared" si="3"/>
        <v>43521</v>
      </c>
      <c r="H60" s="121">
        <f t="shared" si="3"/>
        <v>0</v>
      </c>
    </row>
    <row r="61" spans="3:8" x14ac:dyDescent="0.3">
      <c r="D61" s="121">
        <f t="shared" ref="D61:H63" si="4">+D53</f>
        <v>43409</v>
      </c>
      <c r="E61" s="121">
        <f t="shared" si="4"/>
        <v>43500</v>
      </c>
      <c r="F61" s="121">
        <f t="shared" si="4"/>
        <v>0</v>
      </c>
      <c r="G61" s="121">
        <f t="shared" si="4"/>
        <v>43528</v>
      </c>
      <c r="H61" s="121">
        <f t="shared" si="4"/>
        <v>0</v>
      </c>
    </row>
    <row r="62" spans="3:8" x14ac:dyDescent="0.3">
      <c r="D62" s="121">
        <f t="shared" si="4"/>
        <v>43370</v>
      </c>
      <c r="E62" s="121">
        <f t="shared" si="4"/>
        <v>43437</v>
      </c>
      <c r="F62" s="121">
        <f t="shared" si="4"/>
        <v>43489</v>
      </c>
      <c r="G62" s="121">
        <f t="shared" si="4"/>
        <v>43514</v>
      </c>
      <c r="H62" s="121">
        <f t="shared" si="4"/>
        <v>43542</v>
      </c>
    </row>
    <row r="63" spans="3:8" x14ac:dyDescent="0.3">
      <c r="D63" s="121">
        <f t="shared" si="4"/>
        <v>43360</v>
      </c>
      <c r="E63" s="121">
        <f t="shared" si="4"/>
        <v>43451</v>
      </c>
      <c r="F63" s="121">
        <f t="shared" si="4"/>
        <v>0</v>
      </c>
      <c r="G63" s="121">
        <f t="shared" si="4"/>
        <v>43479</v>
      </c>
      <c r="H63" s="121">
        <f t="shared" si="4"/>
        <v>0</v>
      </c>
    </row>
  </sheetData>
  <mergeCells count="18">
    <mergeCell ref="D40:H40"/>
    <mergeCell ref="E41:F41"/>
    <mergeCell ref="G41:H41"/>
    <mergeCell ref="E49:F49"/>
    <mergeCell ref="G49:H49"/>
    <mergeCell ref="E33:F33"/>
    <mergeCell ref="G33:H33"/>
    <mergeCell ref="B2:K2"/>
    <mergeCell ref="D3:E3"/>
    <mergeCell ref="F3:H3"/>
    <mergeCell ref="I3:K3"/>
    <mergeCell ref="B18:K18"/>
    <mergeCell ref="C26:K26"/>
    <mergeCell ref="C27:K27"/>
    <mergeCell ref="C28:K28"/>
    <mergeCell ref="C29:K29"/>
    <mergeCell ref="C30:K30"/>
    <mergeCell ref="B32:K32"/>
  </mergeCells>
  <printOptions gridLines="1"/>
  <pageMargins left="0.70866141732283472" right="0.70866141732283472" top="0.74803149606299213" bottom="0.74803149606299213" header="0.31496062992125984" footer="0.31496062992125984"/>
  <pageSetup paperSize="8" orientation="landscape" r:id="rId1"/>
  <headerFooter>
    <oddFooter>&amp;L&amp;1#&amp;"Calibri"&amp;8 Sensitivity: LNT Construction Internal Use</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1">
    <tabColor rgb="FFFF0000"/>
  </sheetPr>
  <dimension ref="A1:AA503"/>
  <sheetViews>
    <sheetView showGridLines="0" zoomScaleNormal="100" zoomScaleSheetLayoutView="100" workbookViewId="0">
      <selection activeCell="A5" sqref="A5:XFD5"/>
    </sheetView>
  </sheetViews>
  <sheetFormatPr defaultColWidth="10.44140625" defaultRowHeight="15.6" x14ac:dyDescent="0.3"/>
  <cols>
    <col min="1" max="1" width="1.88671875" style="12" customWidth="1"/>
    <col min="2" max="2" width="6.44140625" style="12" customWidth="1"/>
    <col min="3" max="4" width="12.5546875" style="12" customWidth="1"/>
    <col min="5" max="5" width="7.88671875" style="12" customWidth="1"/>
    <col min="6" max="6" width="30.44140625" style="12" customWidth="1"/>
    <col min="7" max="8" width="6.109375" style="12" customWidth="1"/>
    <col min="9" max="9" width="10.5546875" style="12" customWidth="1"/>
    <col min="10" max="11" width="9" style="12" bestFit="1" customWidth="1"/>
    <col min="12" max="12" width="7.88671875" style="12" customWidth="1"/>
    <col min="13" max="13" width="9" style="12" bestFit="1" customWidth="1"/>
    <col min="14" max="14" width="7.88671875" style="12" customWidth="1"/>
    <col min="15" max="15" width="7.5546875" style="12" customWidth="1"/>
    <col min="16" max="16" width="6.5546875" style="12" customWidth="1"/>
    <col min="17" max="17" width="10.5546875" style="12" customWidth="1"/>
    <col min="18" max="18" width="1.88671875" style="12" customWidth="1"/>
    <col min="19" max="20" width="6.44140625" style="12" customWidth="1"/>
    <col min="21" max="21" width="19.109375" style="12" bestFit="1" customWidth="1"/>
    <col min="22" max="22" width="10.44140625" style="12" bestFit="1" customWidth="1"/>
    <col min="23" max="32" width="6.44140625" style="12" customWidth="1"/>
    <col min="33" max="16384" width="10.44140625" style="12"/>
  </cols>
  <sheetData>
    <row r="1" spans="1:27" ht="50.1" customHeight="1" x14ac:dyDescent="0.3">
      <c r="A1" s="56"/>
      <c r="B1" s="57"/>
      <c r="C1" s="57"/>
      <c r="D1" s="57"/>
      <c r="E1" s="57"/>
      <c r="F1" s="57"/>
      <c r="G1" s="57"/>
      <c r="H1" s="57"/>
      <c r="I1" s="57"/>
      <c r="J1" s="57"/>
      <c r="K1" s="57"/>
      <c r="L1" s="57"/>
      <c r="M1" s="57"/>
      <c r="N1" s="57"/>
      <c r="O1" s="57"/>
      <c r="P1" s="57"/>
      <c r="Q1" s="57"/>
      <c r="R1" s="58"/>
    </row>
    <row r="2" spans="1:27" ht="18" customHeight="1" x14ac:dyDescent="0.3">
      <c r="A2" s="184" t="s">
        <v>23</v>
      </c>
      <c r="B2" s="185"/>
      <c r="C2" s="185"/>
      <c r="D2" s="186"/>
      <c r="E2" s="187" t="s">
        <v>24</v>
      </c>
      <c r="F2" s="188"/>
      <c r="G2" s="188"/>
      <c r="H2" s="188"/>
      <c r="I2" s="188"/>
      <c r="J2" s="188"/>
      <c r="K2" s="188"/>
      <c r="L2" s="188"/>
      <c r="M2" s="188"/>
      <c r="N2" s="189"/>
      <c r="O2" s="193" t="s">
        <v>129</v>
      </c>
      <c r="P2" s="193"/>
      <c r="Q2" s="193"/>
      <c r="R2" s="193"/>
    </row>
    <row r="3" spans="1:27" ht="18" customHeight="1" x14ac:dyDescent="0.3">
      <c r="A3" s="194" t="s">
        <v>25</v>
      </c>
      <c r="B3" s="195"/>
      <c r="C3" s="195"/>
      <c r="D3" s="196"/>
      <c r="E3" s="190"/>
      <c r="F3" s="191"/>
      <c r="G3" s="191"/>
      <c r="H3" s="191"/>
      <c r="I3" s="191"/>
      <c r="J3" s="191"/>
      <c r="K3" s="191"/>
      <c r="L3" s="191"/>
      <c r="M3" s="191"/>
      <c r="N3" s="192"/>
      <c r="O3" s="197" t="s">
        <v>130</v>
      </c>
      <c r="P3" s="197"/>
      <c r="Q3" s="197"/>
      <c r="R3" s="197"/>
    </row>
    <row r="4" spans="1:27" s="5" customFormat="1" ht="7.5" customHeight="1" x14ac:dyDescent="0.3">
      <c r="A4" s="2"/>
      <c r="B4" s="13"/>
      <c r="C4" s="13"/>
      <c r="D4" s="13"/>
      <c r="E4" s="13"/>
      <c r="F4" s="13"/>
      <c r="G4" s="13"/>
      <c r="H4" s="13"/>
      <c r="I4" s="13"/>
      <c r="J4" s="13"/>
      <c r="K4" s="13"/>
      <c r="L4" s="13"/>
      <c r="M4" s="13"/>
      <c r="N4" s="13"/>
      <c r="O4" s="13"/>
      <c r="P4" s="13"/>
      <c r="Q4" s="13"/>
      <c r="R4" s="14"/>
      <c r="S4" s="4"/>
    </row>
    <row r="5" spans="1:27" ht="12" customHeight="1" x14ac:dyDescent="0.25">
      <c r="A5" s="2"/>
      <c r="B5" s="198" t="s">
        <v>26</v>
      </c>
      <c r="C5" s="199"/>
      <c r="D5" s="200" t="s">
        <v>27</v>
      </c>
      <c r="E5" s="201"/>
      <c r="F5" s="201"/>
      <c r="G5" s="201"/>
      <c r="H5" s="202"/>
      <c r="I5" s="203" t="s">
        <v>28</v>
      </c>
      <c r="J5" s="204"/>
      <c r="K5" s="204"/>
      <c r="L5" s="204"/>
      <c r="M5" s="204"/>
      <c r="N5" s="204"/>
      <c r="O5" s="205"/>
      <c r="P5" s="116" t="s">
        <v>131</v>
      </c>
      <c r="Q5" s="117"/>
      <c r="R5" s="3"/>
      <c r="U5" s="6"/>
      <c r="V5" s="15"/>
      <c r="W5" s="15"/>
    </row>
    <row r="6" spans="1:27" s="16" customFormat="1" ht="12" customHeight="1" x14ac:dyDescent="0.3">
      <c r="A6" s="7"/>
      <c r="B6" s="214" t="s">
        <v>29</v>
      </c>
      <c r="C6" s="215"/>
      <c r="D6" s="216" t="s">
        <v>30</v>
      </c>
      <c r="E6" s="216"/>
      <c r="F6" s="216"/>
      <c r="G6" s="216"/>
      <c r="H6" s="216"/>
      <c r="I6" s="217" t="s">
        <v>31</v>
      </c>
      <c r="J6" s="218"/>
      <c r="K6" s="218" t="s">
        <v>32</v>
      </c>
      <c r="L6" s="218"/>
      <c r="M6" s="219"/>
      <c r="N6" s="219"/>
      <c r="O6" s="220"/>
      <c r="P6" s="182" t="s">
        <v>33</v>
      </c>
      <c r="Q6" s="183"/>
      <c r="R6" s="8"/>
      <c r="U6"/>
      <c r="V6" s="59"/>
      <c r="W6" s="60"/>
    </row>
    <row r="7" spans="1:27" s="16" customFormat="1" ht="12" customHeight="1" x14ac:dyDescent="0.3">
      <c r="A7" s="7"/>
      <c r="B7" s="206" t="s">
        <v>35</v>
      </c>
      <c r="C7" s="207"/>
      <c r="D7" s="208" t="s">
        <v>132</v>
      </c>
      <c r="E7" s="209"/>
      <c r="F7" s="209"/>
      <c r="G7" s="209"/>
      <c r="H7" s="210"/>
      <c r="I7" s="217" t="s">
        <v>36</v>
      </c>
      <c r="J7" s="218"/>
      <c r="K7" s="218" t="s">
        <v>37</v>
      </c>
      <c r="L7" s="218"/>
      <c r="M7" s="17"/>
      <c r="N7" s="17"/>
      <c r="O7" s="18"/>
      <c r="P7" s="221"/>
      <c r="Q7" s="222"/>
      <c r="R7" s="8"/>
      <c r="U7"/>
      <c r="V7" s="59"/>
      <c r="W7" s="60"/>
    </row>
    <row r="8" spans="1:27" ht="12" customHeight="1" x14ac:dyDescent="0.3">
      <c r="A8" s="9"/>
      <c r="B8" s="206" t="s">
        <v>39</v>
      </c>
      <c r="C8" s="207"/>
      <c r="D8" s="19" t="s">
        <v>40</v>
      </c>
      <c r="E8" s="20" t="s">
        <v>41</v>
      </c>
      <c r="F8" s="208" t="s">
        <v>62</v>
      </c>
      <c r="G8" s="209"/>
      <c r="H8" s="210"/>
      <c r="I8" s="211" t="s">
        <v>42</v>
      </c>
      <c r="J8" s="212"/>
      <c r="K8" s="212" t="s">
        <v>43</v>
      </c>
      <c r="L8" s="212"/>
      <c r="M8" s="212"/>
      <c r="N8" s="212"/>
      <c r="O8" s="213"/>
      <c r="P8" s="20" t="s">
        <v>129</v>
      </c>
      <c r="Q8" s="21"/>
      <c r="R8" s="10"/>
      <c r="U8"/>
      <c r="V8" s="59"/>
      <c r="W8" s="6"/>
      <c r="X8" s="22"/>
      <c r="Y8" s="22"/>
      <c r="Z8" s="22"/>
      <c r="AA8" s="22"/>
    </row>
    <row r="9" spans="1:27" ht="15.6" customHeight="1" x14ac:dyDescent="0.3">
      <c r="A9" s="9"/>
      <c r="B9" s="229" t="s">
        <v>44</v>
      </c>
      <c r="C9" s="231" t="s">
        <v>45</v>
      </c>
      <c r="D9" s="231"/>
      <c r="E9" s="232" t="s">
        <v>46</v>
      </c>
      <c r="F9" s="233"/>
      <c r="G9" s="236" t="s">
        <v>61</v>
      </c>
      <c r="H9" s="231" t="s">
        <v>47</v>
      </c>
      <c r="I9" s="23"/>
      <c r="J9" s="24" t="s">
        <v>137</v>
      </c>
      <c r="K9" s="24" t="s">
        <v>137</v>
      </c>
      <c r="L9" s="24" t="s">
        <v>137</v>
      </c>
      <c r="M9" s="24" t="s">
        <v>137</v>
      </c>
      <c r="N9" s="24" t="s">
        <v>137</v>
      </c>
      <c r="O9" s="24" t="s">
        <v>137</v>
      </c>
      <c r="P9" s="232" t="s">
        <v>48</v>
      </c>
      <c r="Q9" s="238"/>
      <c r="R9" s="10"/>
      <c r="U9"/>
      <c r="V9" s="59"/>
      <c r="W9" s="6"/>
      <c r="X9" s="22"/>
      <c r="Y9" s="22"/>
      <c r="Z9" s="22"/>
      <c r="AA9" s="22"/>
    </row>
    <row r="10" spans="1:27" ht="17.399999999999999" customHeight="1" x14ac:dyDescent="0.3">
      <c r="A10" s="9"/>
      <c r="B10" s="230"/>
      <c r="C10" s="231"/>
      <c r="D10" s="231"/>
      <c r="E10" s="234"/>
      <c r="F10" s="235"/>
      <c r="G10" s="237"/>
      <c r="H10" s="231"/>
      <c r="I10" s="25"/>
      <c r="J10" s="26" t="s">
        <v>51</v>
      </c>
      <c r="K10" s="26" t="s">
        <v>66</v>
      </c>
      <c r="L10" s="26"/>
      <c r="M10" s="26">
        <v>0</v>
      </c>
      <c r="N10" s="26">
        <v>1</v>
      </c>
      <c r="O10" s="26">
        <v>2</v>
      </c>
      <c r="P10" s="234"/>
      <c r="Q10" s="239"/>
      <c r="R10" s="10"/>
      <c r="U10"/>
      <c r="V10" s="59"/>
      <c r="W10" s="11"/>
      <c r="X10" s="22"/>
      <c r="Y10" s="22"/>
      <c r="Z10" s="22"/>
      <c r="AA10" s="22"/>
    </row>
    <row r="11" spans="1:27" ht="12" customHeight="1" x14ac:dyDescent="0.3">
      <c r="A11" s="30"/>
      <c r="B11" s="241"/>
      <c r="C11" s="243"/>
      <c r="D11" s="244"/>
      <c r="E11" s="247"/>
      <c r="F11" s="248"/>
      <c r="G11" s="223"/>
      <c r="H11" s="223"/>
      <c r="I11" s="27"/>
      <c r="J11" s="28"/>
      <c r="K11" s="28"/>
      <c r="L11" s="28"/>
      <c r="M11" s="28"/>
      <c r="N11" s="28"/>
      <c r="O11" s="28"/>
      <c r="P11" s="225"/>
      <c r="Q11" s="226"/>
      <c r="R11" s="31"/>
    </row>
    <row r="12" spans="1:27" ht="12" customHeight="1" x14ac:dyDescent="0.3">
      <c r="A12" s="30"/>
      <c r="B12" s="241"/>
      <c r="C12" s="245"/>
      <c r="D12" s="246"/>
      <c r="E12" s="249"/>
      <c r="F12" s="250"/>
      <c r="G12" s="223"/>
      <c r="H12" s="223"/>
      <c r="I12" s="27"/>
      <c r="J12" s="28"/>
      <c r="K12" s="28"/>
      <c r="L12" s="28"/>
      <c r="M12" s="28"/>
      <c r="N12" s="28"/>
      <c r="O12" s="28"/>
      <c r="P12" s="227"/>
      <c r="Q12" s="228"/>
      <c r="R12" s="31"/>
    </row>
    <row r="13" spans="1:27" ht="12" customHeight="1" x14ac:dyDescent="0.3">
      <c r="A13" s="30"/>
      <c r="B13" s="241"/>
      <c r="C13" s="245"/>
      <c r="D13" s="246"/>
      <c r="E13" s="249"/>
      <c r="F13" s="250"/>
      <c r="G13" s="223"/>
      <c r="H13" s="223"/>
      <c r="I13" s="27"/>
      <c r="J13" s="28"/>
      <c r="K13" s="28"/>
      <c r="L13" s="28"/>
      <c r="M13" s="28"/>
      <c r="N13" s="28"/>
      <c r="O13" s="28"/>
      <c r="P13" s="227"/>
      <c r="Q13" s="228"/>
      <c r="R13" s="31"/>
    </row>
    <row r="14" spans="1:27" ht="12" customHeight="1" x14ac:dyDescent="0.3">
      <c r="A14" s="30"/>
      <c r="B14" s="241"/>
      <c r="C14" s="245"/>
      <c r="D14" s="246"/>
      <c r="E14" s="249"/>
      <c r="F14" s="250"/>
      <c r="G14" s="223"/>
      <c r="H14" s="223"/>
      <c r="I14" s="27"/>
      <c r="J14" s="28"/>
      <c r="K14" s="28"/>
      <c r="L14" s="28"/>
      <c r="M14" s="28"/>
      <c r="N14" s="28"/>
      <c r="O14" s="28"/>
      <c r="P14" s="227"/>
      <c r="Q14" s="228"/>
      <c r="R14" s="31"/>
    </row>
    <row r="15" spans="1:27" ht="12" customHeight="1" x14ac:dyDescent="0.3">
      <c r="A15" s="30"/>
      <c r="B15" s="241"/>
      <c r="C15" s="245"/>
      <c r="D15" s="246"/>
      <c r="E15" s="249"/>
      <c r="F15" s="250"/>
      <c r="G15" s="223"/>
      <c r="H15" s="223"/>
      <c r="I15" s="27"/>
      <c r="J15" s="28"/>
      <c r="K15" s="28"/>
      <c r="L15" s="28"/>
      <c r="M15" s="28"/>
      <c r="N15" s="28"/>
      <c r="O15" s="28"/>
      <c r="P15" s="227"/>
      <c r="Q15" s="228"/>
      <c r="R15" s="31"/>
    </row>
    <row r="16" spans="1:27" ht="12" customHeight="1" x14ac:dyDescent="0.3">
      <c r="A16" s="30"/>
      <c r="B16" s="242"/>
      <c r="C16" s="245"/>
      <c r="D16" s="246"/>
      <c r="E16" s="249"/>
      <c r="F16" s="250"/>
      <c r="G16" s="224"/>
      <c r="H16" s="224"/>
      <c r="I16" s="32"/>
      <c r="J16" s="33"/>
      <c r="K16" s="33"/>
      <c r="L16" s="33"/>
      <c r="M16" s="33"/>
      <c r="N16" s="33"/>
      <c r="O16" s="33"/>
      <c r="P16" s="227"/>
      <c r="Q16" s="228"/>
      <c r="R16" s="31"/>
    </row>
    <row r="17" spans="1:18" ht="12" customHeight="1" x14ac:dyDescent="0.3">
      <c r="A17" s="30"/>
      <c r="B17" s="34"/>
      <c r="C17" s="34"/>
      <c r="D17" s="34"/>
      <c r="E17" s="35"/>
      <c r="F17" s="35"/>
      <c r="G17" s="36"/>
      <c r="H17" s="36"/>
      <c r="I17" s="37"/>
      <c r="J17" s="38"/>
      <c r="K17" s="38"/>
      <c r="L17" s="38"/>
      <c r="M17" s="38"/>
      <c r="N17" s="38"/>
      <c r="O17" s="38"/>
      <c r="P17" s="39"/>
      <c r="Q17" s="39"/>
      <c r="R17" s="31"/>
    </row>
    <row r="18" spans="1:18" s="54" customFormat="1" ht="14.1" customHeight="1" x14ac:dyDescent="0.3">
      <c r="A18" s="61"/>
      <c r="B18" s="40"/>
      <c r="C18" s="40"/>
      <c r="D18" s="40"/>
      <c r="E18" s="41"/>
      <c r="F18" s="41"/>
      <c r="G18" s="42"/>
      <c r="H18" s="42"/>
      <c r="I18" s="43"/>
      <c r="J18" s="44"/>
      <c r="K18" s="44"/>
      <c r="L18" s="44"/>
      <c r="M18" s="44"/>
      <c r="N18" s="44"/>
      <c r="O18" s="44"/>
      <c r="P18" s="45"/>
      <c r="Q18" s="45"/>
      <c r="R18" s="62"/>
    </row>
    <row r="19" spans="1:18" ht="12" customHeight="1" x14ac:dyDescent="0.3">
      <c r="A19" s="30"/>
      <c r="B19" s="40"/>
      <c r="C19" s="240" t="s">
        <v>135</v>
      </c>
      <c r="D19" s="240"/>
      <c r="E19" s="41"/>
      <c r="F19" s="41"/>
      <c r="G19" s="42"/>
      <c r="H19" s="42"/>
      <c r="I19" s="43"/>
      <c r="J19" s="44"/>
      <c r="K19" s="44"/>
      <c r="L19" s="44"/>
      <c r="M19" s="38"/>
      <c r="N19" s="118" t="s">
        <v>136</v>
      </c>
      <c r="O19" s="38"/>
      <c r="P19" s="45"/>
      <c r="Q19" s="45"/>
      <c r="R19" s="31"/>
    </row>
    <row r="20" spans="1:18" ht="12" customHeight="1" x14ac:dyDescent="0.3">
      <c r="A20" s="46"/>
      <c r="B20" s="47"/>
      <c r="C20" s="47"/>
      <c r="D20" s="47"/>
      <c r="E20" s="48"/>
      <c r="F20" s="48"/>
      <c r="G20" s="49"/>
      <c r="H20" s="49"/>
      <c r="I20" s="50"/>
      <c r="J20" s="51"/>
      <c r="K20" s="51"/>
      <c r="L20" s="51"/>
      <c r="M20" s="51"/>
      <c r="N20" s="51"/>
      <c r="O20" s="51"/>
      <c r="P20" s="52"/>
      <c r="Q20" s="52"/>
      <c r="R20" s="53"/>
    </row>
    <row r="21" spans="1:18" ht="15.9" customHeight="1" x14ac:dyDescent="0.3">
      <c r="B21" s="40"/>
      <c r="C21" s="40"/>
      <c r="D21" s="40"/>
      <c r="E21" s="41"/>
      <c r="F21" s="41"/>
      <c r="G21" s="42"/>
      <c r="H21" s="42"/>
      <c r="I21" s="43"/>
      <c r="J21" s="44"/>
      <c r="K21" s="44"/>
      <c r="L21" s="44"/>
      <c r="M21" s="44"/>
      <c r="N21" s="44"/>
      <c r="O21" s="44"/>
      <c r="P21" s="45"/>
      <c r="Q21" s="45"/>
    </row>
    <row r="22" spans="1:18" ht="15.9" customHeight="1" x14ac:dyDescent="0.3">
      <c r="B22" s="40"/>
      <c r="C22" s="40"/>
      <c r="D22" s="40"/>
      <c r="E22" s="41"/>
      <c r="F22" s="41"/>
      <c r="G22" s="42"/>
      <c r="H22" s="42"/>
      <c r="I22" s="43"/>
      <c r="J22" s="63"/>
      <c r="K22" s="63"/>
      <c r="L22" s="63"/>
      <c r="M22" s="63"/>
      <c r="N22" s="63"/>
      <c r="O22" s="63"/>
      <c r="P22" s="45"/>
      <c r="Q22" s="45"/>
    </row>
    <row r="23" spans="1:18" ht="15.9" customHeight="1" x14ac:dyDescent="0.3"/>
    <row r="24" spans="1:18" ht="15.9" customHeight="1" x14ac:dyDescent="0.3"/>
    <row r="25" spans="1:18" ht="15.9" customHeight="1" x14ac:dyDescent="0.3"/>
    <row r="26" spans="1:18" ht="15.9" customHeight="1" x14ac:dyDescent="0.3"/>
    <row r="27" spans="1:18" ht="15.9" customHeight="1" x14ac:dyDescent="0.3"/>
    <row r="28" spans="1:18" ht="15.9" customHeight="1" x14ac:dyDescent="0.3"/>
    <row r="29" spans="1:18" ht="15.9" customHeight="1" x14ac:dyDescent="0.3"/>
    <row r="30" spans="1:18" ht="15.9" customHeight="1" x14ac:dyDescent="0.3"/>
    <row r="31" spans="1:18" ht="15.9" customHeight="1" x14ac:dyDescent="0.3"/>
    <row r="32" spans="1:18" ht="15.9" customHeight="1" x14ac:dyDescent="0.3"/>
    <row r="33" ht="15.9" customHeight="1" x14ac:dyDescent="0.3"/>
    <row r="34" ht="15.9" customHeight="1" x14ac:dyDescent="0.3"/>
    <row r="35" ht="15.9" customHeight="1" x14ac:dyDescent="0.3"/>
    <row r="36" ht="15.9" customHeight="1" x14ac:dyDescent="0.3"/>
    <row r="37" ht="15.9" customHeight="1" x14ac:dyDescent="0.3"/>
    <row r="38" ht="15.9" customHeight="1" x14ac:dyDescent="0.3"/>
    <row r="39" ht="15.9" customHeight="1" x14ac:dyDescent="0.3"/>
    <row r="40" ht="15.9" customHeight="1" x14ac:dyDescent="0.3"/>
    <row r="41" ht="15.9" customHeight="1" x14ac:dyDescent="0.3"/>
    <row r="42" ht="15.9" customHeight="1" x14ac:dyDescent="0.3"/>
    <row r="43" ht="15.9" customHeight="1" x14ac:dyDescent="0.3"/>
    <row r="44" ht="15.9" customHeight="1" x14ac:dyDescent="0.3"/>
    <row r="45" ht="15.9" customHeight="1" x14ac:dyDescent="0.3"/>
    <row r="46" ht="15.9" customHeight="1" x14ac:dyDescent="0.3"/>
    <row r="47" ht="15.9" customHeight="1" x14ac:dyDescent="0.3"/>
    <row r="48" ht="15.9" customHeight="1" x14ac:dyDescent="0.3"/>
    <row r="49" ht="15.9" customHeight="1" x14ac:dyDescent="0.3"/>
    <row r="50" ht="15.9" customHeight="1" x14ac:dyDescent="0.3"/>
    <row r="51" ht="15.9" customHeight="1" x14ac:dyDescent="0.3"/>
    <row r="52" ht="15.9" customHeight="1" x14ac:dyDescent="0.3"/>
    <row r="53" ht="15.9" customHeight="1" x14ac:dyDescent="0.3"/>
    <row r="54" ht="15.9" customHeight="1" x14ac:dyDescent="0.3"/>
    <row r="55" ht="15.9" customHeight="1" x14ac:dyDescent="0.3"/>
    <row r="56" ht="15.9" customHeight="1" x14ac:dyDescent="0.3"/>
    <row r="57" ht="15.9" customHeight="1" x14ac:dyDescent="0.3"/>
    <row r="58" ht="15.9" customHeight="1" x14ac:dyDescent="0.3"/>
    <row r="59" ht="15.9" customHeight="1" x14ac:dyDescent="0.3"/>
    <row r="60" ht="15.9" customHeight="1" x14ac:dyDescent="0.3"/>
    <row r="61" ht="15.9" customHeight="1" x14ac:dyDescent="0.3"/>
    <row r="62" ht="15.9" customHeight="1" x14ac:dyDescent="0.3"/>
    <row r="63" ht="15.9" customHeight="1" x14ac:dyDescent="0.3"/>
    <row r="64" ht="15.9" customHeight="1" x14ac:dyDescent="0.3"/>
    <row r="65" ht="15.9" customHeight="1" x14ac:dyDescent="0.3"/>
    <row r="66" ht="15.9" customHeight="1" x14ac:dyDescent="0.3"/>
    <row r="67" ht="15.9" customHeight="1" x14ac:dyDescent="0.3"/>
    <row r="68" ht="15.9" customHeight="1" x14ac:dyDescent="0.3"/>
    <row r="69" ht="15.9" customHeight="1" x14ac:dyDescent="0.3"/>
    <row r="70" ht="15.9" customHeight="1" x14ac:dyDescent="0.3"/>
    <row r="71" ht="15.9" customHeight="1" x14ac:dyDescent="0.3"/>
    <row r="72" ht="15.9" customHeight="1" x14ac:dyDescent="0.3"/>
    <row r="73" ht="15.9" customHeight="1" x14ac:dyDescent="0.3"/>
    <row r="74" ht="15.9" customHeight="1" x14ac:dyDescent="0.3"/>
    <row r="75" ht="15.9" customHeight="1" x14ac:dyDescent="0.3"/>
    <row r="76" ht="15.9" customHeight="1" x14ac:dyDescent="0.3"/>
    <row r="77" ht="15.9" customHeight="1" x14ac:dyDescent="0.3"/>
    <row r="78" ht="15.9" customHeight="1" x14ac:dyDescent="0.3"/>
    <row r="79" ht="15.9" customHeight="1" x14ac:dyDescent="0.3"/>
    <row r="80" ht="15.9" customHeight="1" x14ac:dyDescent="0.3"/>
    <row r="81" ht="15.9" customHeight="1" x14ac:dyDescent="0.3"/>
    <row r="82" ht="15.9" customHeight="1" x14ac:dyDescent="0.3"/>
    <row r="83" ht="15.9" customHeight="1" x14ac:dyDescent="0.3"/>
    <row r="84" ht="15.9" customHeight="1" x14ac:dyDescent="0.3"/>
    <row r="85" ht="15.9" customHeight="1" x14ac:dyDescent="0.3"/>
    <row r="86" ht="15.9" customHeight="1" x14ac:dyDescent="0.3"/>
    <row r="87" ht="15.9" customHeight="1" x14ac:dyDescent="0.3"/>
    <row r="88" ht="15.9" customHeight="1" x14ac:dyDescent="0.3"/>
    <row r="89" ht="15.9" customHeight="1" x14ac:dyDescent="0.3"/>
    <row r="90" ht="15.9" customHeight="1" x14ac:dyDescent="0.3"/>
    <row r="91" ht="15.9" customHeight="1" x14ac:dyDescent="0.3"/>
    <row r="92" ht="15.9" customHeight="1" x14ac:dyDescent="0.3"/>
    <row r="93" ht="15.9" customHeight="1" x14ac:dyDescent="0.3"/>
    <row r="94" ht="15.9" customHeight="1" x14ac:dyDescent="0.3"/>
    <row r="95" ht="15.9" customHeight="1" x14ac:dyDescent="0.3"/>
    <row r="96" ht="15.9" customHeight="1" x14ac:dyDescent="0.3"/>
    <row r="97" ht="15.9" customHeight="1" x14ac:dyDescent="0.3"/>
    <row r="98" ht="15.9" customHeight="1" x14ac:dyDescent="0.3"/>
    <row r="99" ht="15.9" customHeight="1" x14ac:dyDescent="0.3"/>
    <row r="100" ht="15.9" customHeight="1" x14ac:dyDescent="0.3"/>
    <row r="101" ht="15.9" customHeight="1" x14ac:dyDescent="0.3"/>
    <row r="102" ht="15.9" customHeight="1" x14ac:dyDescent="0.3"/>
    <row r="103" ht="15.9" customHeight="1" x14ac:dyDescent="0.3"/>
    <row r="104" ht="15.9" customHeight="1" x14ac:dyDescent="0.3"/>
    <row r="105" ht="15.9" customHeight="1" x14ac:dyDescent="0.3"/>
    <row r="106" ht="15.9" customHeight="1" x14ac:dyDescent="0.3"/>
    <row r="107" ht="15.9" customHeight="1" x14ac:dyDescent="0.3"/>
    <row r="108" ht="15.9" customHeight="1" x14ac:dyDescent="0.3"/>
    <row r="109" ht="15.9" customHeight="1" x14ac:dyDescent="0.3"/>
    <row r="110" ht="15.9" customHeight="1" x14ac:dyDescent="0.3"/>
    <row r="111" ht="15.9" customHeight="1" x14ac:dyDescent="0.3"/>
    <row r="112" ht="15.9" customHeight="1" x14ac:dyDescent="0.3"/>
    <row r="113" ht="15.9" customHeight="1" x14ac:dyDescent="0.3"/>
    <row r="114" ht="15.9" customHeight="1" x14ac:dyDescent="0.3"/>
    <row r="115" ht="15.9" customHeight="1" x14ac:dyDescent="0.3"/>
    <row r="116" ht="15.9" customHeight="1" x14ac:dyDescent="0.3"/>
    <row r="117" ht="15.9" customHeight="1" x14ac:dyDescent="0.3"/>
    <row r="118" ht="15.9" customHeight="1" x14ac:dyDescent="0.3"/>
    <row r="119" ht="15.9" customHeight="1" x14ac:dyDescent="0.3"/>
    <row r="120" ht="15.9" customHeight="1" x14ac:dyDescent="0.3"/>
    <row r="121" ht="15.9" customHeight="1" x14ac:dyDescent="0.3"/>
    <row r="122" ht="15.9" customHeight="1" x14ac:dyDescent="0.3"/>
    <row r="123" ht="15.9" customHeight="1" x14ac:dyDescent="0.3"/>
    <row r="124" ht="15.9" customHeight="1" x14ac:dyDescent="0.3"/>
    <row r="125" ht="15.9" customHeight="1" x14ac:dyDescent="0.3"/>
    <row r="126" ht="15.9" customHeight="1" x14ac:dyDescent="0.3"/>
    <row r="127" ht="15.9" customHeight="1" x14ac:dyDescent="0.3"/>
    <row r="128" ht="15.9" customHeight="1" x14ac:dyDescent="0.3"/>
    <row r="129" ht="15.9" customHeight="1" x14ac:dyDescent="0.3"/>
    <row r="130" ht="15.9" customHeight="1" x14ac:dyDescent="0.3"/>
    <row r="131" ht="15.9" customHeight="1" x14ac:dyDescent="0.3"/>
    <row r="132" ht="15.9" customHeight="1" x14ac:dyDescent="0.3"/>
    <row r="133" ht="15.9" customHeight="1" x14ac:dyDescent="0.3"/>
    <row r="134" ht="15.9" customHeight="1" x14ac:dyDescent="0.3"/>
    <row r="135" ht="15.9" customHeight="1" x14ac:dyDescent="0.3"/>
    <row r="136" ht="15.9" customHeight="1" x14ac:dyDescent="0.3"/>
    <row r="137" ht="15.9" customHeight="1" x14ac:dyDescent="0.3"/>
    <row r="138" ht="15.9" customHeight="1" x14ac:dyDescent="0.3"/>
    <row r="139" ht="15.9" customHeight="1" x14ac:dyDescent="0.3"/>
    <row r="140" ht="15.9" customHeight="1" x14ac:dyDescent="0.3"/>
    <row r="141" ht="15.9" customHeight="1" x14ac:dyDescent="0.3"/>
    <row r="142" ht="15.9" customHeight="1" x14ac:dyDescent="0.3"/>
    <row r="143" ht="15.9" customHeight="1" x14ac:dyDescent="0.3"/>
    <row r="144" ht="15.9" customHeight="1" x14ac:dyDescent="0.3"/>
    <row r="145" ht="15.9" customHeight="1" x14ac:dyDescent="0.3"/>
    <row r="146" ht="15.9" customHeight="1" x14ac:dyDescent="0.3"/>
    <row r="147" ht="15.9" customHeight="1" x14ac:dyDescent="0.3"/>
    <row r="148" ht="15.9" customHeight="1" x14ac:dyDescent="0.3"/>
    <row r="149" ht="15.9" customHeight="1" x14ac:dyDescent="0.3"/>
    <row r="150" ht="15.9" customHeight="1" x14ac:dyDescent="0.3"/>
    <row r="151" ht="15.9" customHeight="1" x14ac:dyDescent="0.3"/>
    <row r="152" ht="15.9" customHeight="1" x14ac:dyDescent="0.3"/>
    <row r="153" ht="15.9" customHeight="1" x14ac:dyDescent="0.3"/>
    <row r="154" ht="15.9" customHeight="1" x14ac:dyDescent="0.3"/>
    <row r="155" ht="15.9" customHeight="1" x14ac:dyDescent="0.3"/>
    <row r="156" ht="15.9" customHeight="1" x14ac:dyDescent="0.3"/>
    <row r="157" ht="15.9" customHeight="1" x14ac:dyDescent="0.3"/>
    <row r="158" ht="15.9" customHeight="1" x14ac:dyDescent="0.3"/>
    <row r="159" ht="15.9" customHeight="1" x14ac:dyDescent="0.3"/>
    <row r="160" ht="15.9" customHeight="1" x14ac:dyDescent="0.3"/>
    <row r="161" ht="15.9" customHeight="1" x14ac:dyDescent="0.3"/>
    <row r="162" ht="15.9" customHeight="1" x14ac:dyDescent="0.3"/>
    <row r="163" ht="15.9" customHeight="1" x14ac:dyDescent="0.3"/>
    <row r="164" ht="15.9" customHeight="1" x14ac:dyDescent="0.3"/>
    <row r="165" ht="15.9" customHeight="1" x14ac:dyDescent="0.3"/>
    <row r="166" ht="15.9" customHeight="1" x14ac:dyDescent="0.3"/>
    <row r="167" ht="15.9" customHeight="1" x14ac:dyDescent="0.3"/>
    <row r="168" ht="15.9" customHeight="1" x14ac:dyDescent="0.3"/>
    <row r="169" ht="15.9" customHeight="1" x14ac:dyDescent="0.3"/>
    <row r="170" ht="15.9" customHeight="1" x14ac:dyDescent="0.3"/>
    <row r="171" ht="15.9" customHeight="1" x14ac:dyDescent="0.3"/>
    <row r="172" ht="15.9" customHeight="1" x14ac:dyDescent="0.3"/>
    <row r="173" ht="15.9" customHeight="1" x14ac:dyDescent="0.3"/>
    <row r="174" ht="15.9" customHeight="1" x14ac:dyDescent="0.3"/>
    <row r="175" ht="15.9" customHeight="1" x14ac:dyDescent="0.3"/>
    <row r="176" ht="15.9" customHeight="1" x14ac:dyDescent="0.3"/>
    <row r="177" ht="15.9" customHeight="1" x14ac:dyDescent="0.3"/>
    <row r="178" ht="15.9" customHeight="1" x14ac:dyDescent="0.3"/>
    <row r="179" ht="15.9" customHeight="1" x14ac:dyDescent="0.3"/>
    <row r="180" ht="15.9" customHeight="1" x14ac:dyDescent="0.3"/>
    <row r="181" ht="15.9" customHeight="1" x14ac:dyDescent="0.3"/>
    <row r="182" ht="15.9" customHeight="1" x14ac:dyDescent="0.3"/>
    <row r="183" ht="15.9" customHeight="1" x14ac:dyDescent="0.3"/>
    <row r="184" ht="15.9" customHeight="1" x14ac:dyDescent="0.3"/>
    <row r="185" ht="15.9" customHeight="1" x14ac:dyDescent="0.3"/>
    <row r="186" ht="15.9" customHeight="1" x14ac:dyDescent="0.3"/>
    <row r="187" ht="15.9" customHeight="1" x14ac:dyDescent="0.3"/>
    <row r="188" ht="15.9" customHeight="1" x14ac:dyDescent="0.3"/>
    <row r="189" ht="15.9" customHeight="1" x14ac:dyDescent="0.3"/>
    <row r="190" ht="15.9" customHeight="1" x14ac:dyDescent="0.3"/>
    <row r="191" ht="15.9" customHeight="1" x14ac:dyDescent="0.3"/>
    <row r="192" ht="15.9" customHeight="1" x14ac:dyDescent="0.3"/>
    <row r="193" ht="15.9" customHeight="1" x14ac:dyDescent="0.3"/>
    <row r="194" ht="15.9" customHeight="1" x14ac:dyDescent="0.3"/>
    <row r="195" ht="15.9" customHeight="1" x14ac:dyDescent="0.3"/>
    <row r="196" ht="15.9" customHeight="1" x14ac:dyDescent="0.3"/>
    <row r="197" ht="15.9" customHeight="1" x14ac:dyDescent="0.3"/>
    <row r="198" ht="15.9" customHeight="1" x14ac:dyDescent="0.3"/>
    <row r="199" ht="15.9" customHeight="1" x14ac:dyDescent="0.3"/>
    <row r="200" ht="15.9" customHeight="1" x14ac:dyDescent="0.3"/>
    <row r="201" ht="15.9" customHeight="1" x14ac:dyDescent="0.3"/>
    <row r="202" ht="15.9" customHeight="1" x14ac:dyDescent="0.3"/>
    <row r="203" ht="15.9" customHeight="1" x14ac:dyDescent="0.3"/>
    <row r="204" ht="15.9" customHeight="1" x14ac:dyDescent="0.3"/>
    <row r="205" ht="15.9" customHeight="1" x14ac:dyDescent="0.3"/>
    <row r="206" ht="15.9" customHeight="1" x14ac:dyDescent="0.3"/>
    <row r="207" ht="15.9" customHeight="1" x14ac:dyDescent="0.3"/>
    <row r="208" ht="15.9" customHeight="1" x14ac:dyDescent="0.3"/>
    <row r="209" ht="15.9" customHeight="1" x14ac:dyDescent="0.3"/>
    <row r="210" ht="15.9" customHeight="1" x14ac:dyDescent="0.3"/>
    <row r="211" ht="15.9" customHeight="1" x14ac:dyDescent="0.3"/>
    <row r="212" ht="15.9" customHeight="1" x14ac:dyDescent="0.3"/>
    <row r="213" ht="15.9" customHeight="1" x14ac:dyDescent="0.3"/>
    <row r="214" ht="15.9" customHeight="1" x14ac:dyDescent="0.3"/>
    <row r="215" ht="15.9" customHeight="1" x14ac:dyDescent="0.3"/>
    <row r="216" ht="15.9" customHeight="1" x14ac:dyDescent="0.3"/>
    <row r="217" ht="15.9" customHeight="1" x14ac:dyDescent="0.3"/>
    <row r="218" ht="15.9" customHeight="1" x14ac:dyDescent="0.3"/>
    <row r="219" ht="15.9" customHeight="1" x14ac:dyDescent="0.3"/>
    <row r="220" ht="15.9" customHeight="1" x14ac:dyDescent="0.3"/>
    <row r="221" ht="15.9" customHeight="1" x14ac:dyDescent="0.3"/>
    <row r="222" ht="15.9" customHeight="1" x14ac:dyDescent="0.3"/>
    <row r="223" ht="15.9" customHeight="1" x14ac:dyDescent="0.3"/>
    <row r="224" ht="15.9" customHeight="1" x14ac:dyDescent="0.3"/>
    <row r="225" ht="15.9" customHeight="1" x14ac:dyDescent="0.3"/>
    <row r="226" ht="15.9" customHeight="1" x14ac:dyDescent="0.3"/>
    <row r="227" ht="15.9" customHeight="1" x14ac:dyDescent="0.3"/>
    <row r="228" ht="15.9" customHeight="1" x14ac:dyDescent="0.3"/>
    <row r="229" ht="15.9" customHeight="1" x14ac:dyDescent="0.3"/>
    <row r="230" ht="15.9" customHeight="1" x14ac:dyDescent="0.3"/>
    <row r="231" ht="15.9" customHeight="1" x14ac:dyDescent="0.3"/>
    <row r="232" ht="15.9" customHeight="1" x14ac:dyDescent="0.3"/>
    <row r="233" ht="15.9" customHeight="1" x14ac:dyDescent="0.3"/>
    <row r="234" ht="15.9" customHeight="1" x14ac:dyDescent="0.3"/>
    <row r="235" ht="15.9" customHeight="1" x14ac:dyDescent="0.3"/>
    <row r="236" ht="15.9" customHeight="1" x14ac:dyDescent="0.3"/>
    <row r="237" ht="15.9" customHeight="1" x14ac:dyDescent="0.3"/>
    <row r="238" ht="15.9" customHeight="1" x14ac:dyDescent="0.3"/>
    <row r="239" ht="15.9" customHeight="1" x14ac:dyDescent="0.3"/>
    <row r="240" ht="15.9" customHeight="1" x14ac:dyDescent="0.3"/>
    <row r="241" ht="15.9" customHeight="1" x14ac:dyDescent="0.3"/>
    <row r="242" ht="15.9" customHeight="1" x14ac:dyDescent="0.3"/>
    <row r="243" ht="15.9" customHeight="1" x14ac:dyDescent="0.3"/>
    <row r="244" ht="15.9" customHeight="1" x14ac:dyDescent="0.3"/>
    <row r="245" ht="15.9" customHeight="1" x14ac:dyDescent="0.3"/>
    <row r="246" ht="15.9" customHeight="1" x14ac:dyDescent="0.3"/>
    <row r="247" ht="15.9" customHeight="1" x14ac:dyDescent="0.3"/>
    <row r="248" ht="15.9" customHeight="1" x14ac:dyDescent="0.3"/>
    <row r="249" ht="15.9" customHeight="1" x14ac:dyDescent="0.3"/>
    <row r="250" ht="15.9" customHeight="1" x14ac:dyDescent="0.3"/>
    <row r="251" ht="15.9" customHeight="1" x14ac:dyDescent="0.3"/>
    <row r="252" ht="15.9" customHeight="1" x14ac:dyDescent="0.3"/>
    <row r="253" ht="15.9" customHeight="1" x14ac:dyDescent="0.3"/>
    <row r="254" ht="15.9" customHeight="1" x14ac:dyDescent="0.3"/>
    <row r="255" ht="15.9" customHeight="1" x14ac:dyDescent="0.3"/>
    <row r="256" ht="15.9" customHeight="1" x14ac:dyDescent="0.3"/>
    <row r="257" ht="15.9" customHeight="1" x14ac:dyDescent="0.3"/>
    <row r="258" ht="15.9" customHeight="1" x14ac:dyDescent="0.3"/>
    <row r="259" ht="15.9" customHeight="1" x14ac:dyDescent="0.3"/>
    <row r="260" ht="15.9" customHeight="1" x14ac:dyDescent="0.3"/>
    <row r="261" ht="15.9" customHeight="1" x14ac:dyDescent="0.3"/>
    <row r="262" ht="15.9" customHeight="1" x14ac:dyDescent="0.3"/>
    <row r="263" ht="15.9" customHeight="1" x14ac:dyDescent="0.3"/>
    <row r="264" ht="15.9" customHeight="1" x14ac:dyDescent="0.3"/>
    <row r="265" ht="15.9" customHeight="1" x14ac:dyDescent="0.3"/>
    <row r="266" ht="15.9" customHeight="1" x14ac:dyDescent="0.3"/>
    <row r="267" ht="15.9" customHeight="1" x14ac:dyDescent="0.3"/>
    <row r="268" ht="15.9" customHeight="1" x14ac:dyDescent="0.3"/>
    <row r="269" ht="15.9" customHeight="1" x14ac:dyDescent="0.3"/>
    <row r="270" ht="15.9" customHeight="1" x14ac:dyDescent="0.3"/>
    <row r="271" ht="15.9" customHeight="1" x14ac:dyDescent="0.3"/>
    <row r="272" ht="15.9" customHeight="1" x14ac:dyDescent="0.3"/>
    <row r="273" ht="15.9" customHeight="1" x14ac:dyDescent="0.3"/>
    <row r="274" ht="15.9" customHeight="1" x14ac:dyDescent="0.3"/>
    <row r="275" ht="15.9" customHeight="1" x14ac:dyDescent="0.3"/>
    <row r="276" ht="15.9" customHeight="1" x14ac:dyDescent="0.3"/>
    <row r="277" ht="15.9" customHeight="1" x14ac:dyDescent="0.3"/>
    <row r="278" ht="15.9" customHeight="1" x14ac:dyDescent="0.3"/>
    <row r="279" ht="15.9" customHeight="1" x14ac:dyDescent="0.3"/>
    <row r="280" ht="15.9" customHeight="1" x14ac:dyDescent="0.3"/>
    <row r="281" ht="15.9" customHeight="1" x14ac:dyDescent="0.3"/>
    <row r="282" ht="15.9" customHeight="1" x14ac:dyDescent="0.3"/>
    <row r="283" ht="15.9" customHeight="1" x14ac:dyDescent="0.3"/>
    <row r="284" ht="15.9" customHeight="1" x14ac:dyDescent="0.3"/>
    <row r="285" ht="15.9" customHeight="1" x14ac:dyDescent="0.3"/>
    <row r="286" ht="15.9" customHeight="1" x14ac:dyDescent="0.3"/>
    <row r="287" ht="15.9" customHeight="1" x14ac:dyDescent="0.3"/>
    <row r="288" ht="15.9" customHeight="1" x14ac:dyDescent="0.3"/>
    <row r="289" ht="15.9" customHeight="1" x14ac:dyDescent="0.3"/>
    <row r="290" ht="15.9" customHeight="1" x14ac:dyDescent="0.3"/>
    <row r="291" ht="15.9" customHeight="1" x14ac:dyDescent="0.3"/>
    <row r="292" ht="15.9" customHeight="1" x14ac:dyDescent="0.3"/>
    <row r="293" ht="15.9" customHeight="1" x14ac:dyDescent="0.3"/>
    <row r="294" ht="15.9" customHeight="1" x14ac:dyDescent="0.3"/>
    <row r="295" ht="15.9" customHeight="1" x14ac:dyDescent="0.3"/>
    <row r="296" ht="15.9" customHeight="1" x14ac:dyDescent="0.3"/>
    <row r="297" ht="15.9" customHeight="1" x14ac:dyDescent="0.3"/>
    <row r="298" ht="15.9" customHeight="1" x14ac:dyDescent="0.3"/>
    <row r="299" ht="15.9" customHeight="1" x14ac:dyDescent="0.3"/>
    <row r="300" ht="15.9" customHeight="1" x14ac:dyDescent="0.3"/>
    <row r="301" ht="15.9" customHeight="1" x14ac:dyDescent="0.3"/>
    <row r="302" ht="15.9" customHeight="1" x14ac:dyDescent="0.3"/>
    <row r="303" ht="15.9" customHeight="1" x14ac:dyDescent="0.3"/>
    <row r="304" ht="15.9" customHeight="1" x14ac:dyDescent="0.3"/>
    <row r="305" ht="15.9" customHeight="1" x14ac:dyDescent="0.3"/>
    <row r="306" ht="15.9" customHeight="1" x14ac:dyDescent="0.3"/>
    <row r="307" ht="15.9" customHeight="1" x14ac:dyDescent="0.3"/>
    <row r="308" ht="15.9" customHeight="1" x14ac:dyDescent="0.3"/>
    <row r="309" ht="15.9" customHeight="1" x14ac:dyDescent="0.3"/>
    <row r="310" ht="15.9" customHeight="1" x14ac:dyDescent="0.3"/>
    <row r="311" ht="15.9" customHeight="1" x14ac:dyDescent="0.3"/>
    <row r="312" ht="15.9" customHeight="1" x14ac:dyDescent="0.3"/>
    <row r="313" ht="15.9" customHeight="1" x14ac:dyDescent="0.3"/>
    <row r="314" ht="15.9" customHeight="1" x14ac:dyDescent="0.3"/>
    <row r="315" ht="15.9" customHeight="1" x14ac:dyDescent="0.3"/>
    <row r="316" ht="15.9" customHeight="1" x14ac:dyDescent="0.3"/>
    <row r="317" ht="15.9" customHeight="1" x14ac:dyDescent="0.3"/>
    <row r="318" ht="15.9" customHeight="1" x14ac:dyDescent="0.3"/>
    <row r="319" ht="15.9" customHeight="1" x14ac:dyDescent="0.3"/>
    <row r="320" ht="15.9" customHeight="1" x14ac:dyDescent="0.3"/>
    <row r="321" ht="15.9" customHeight="1" x14ac:dyDescent="0.3"/>
    <row r="322" ht="15.9" customHeight="1" x14ac:dyDescent="0.3"/>
    <row r="323" ht="15.9" customHeight="1" x14ac:dyDescent="0.3"/>
    <row r="324" ht="15.9" customHeight="1" x14ac:dyDescent="0.3"/>
    <row r="325" ht="15.9" customHeight="1" x14ac:dyDescent="0.3"/>
    <row r="326" ht="15.9" customHeight="1" x14ac:dyDescent="0.3"/>
    <row r="327" ht="15.9" customHeight="1" x14ac:dyDescent="0.3"/>
    <row r="328" ht="15.9" customHeight="1" x14ac:dyDescent="0.3"/>
    <row r="329" ht="15.9" customHeight="1" x14ac:dyDescent="0.3"/>
    <row r="330" ht="15.9" customHeight="1" x14ac:dyDescent="0.3"/>
    <row r="331" ht="15.9" customHeight="1" x14ac:dyDescent="0.3"/>
    <row r="332" ht="15.9" customHeight="1" x14ac:dyDescent="0.3"/>
    <row r="333" ht="15.9" customHeight="1" x14ac:dyDescent="0.3"/>
    <row r="334" ht="15.9" customHeight="1" x14ac:dyDescent="0.3"/>
    <row r="335" ht="15.9" customHeight="1" x14ac:dyDescent="0.3"/>
    <row r="336" ht="15.9" customHeight="1" x14ac:dyDescent="0.3"/>
    <row r="337" ht="15.9" customHeight="1" x14ac:dyDescent="0.3"/>
    <row r="338" ht="15.9" customHeight="1" x14ac:dyDescent="0.3"/>
    <row r="339" ht="15.9" customHeight="1" x14ac:dyDescent="0.3"/>
    <row r="340" ht="15.9" customHeight="1" x14ac:dyDescent="0.3"/>
    <row r="341" ht="15.9" customHeight="1" x14ac:dyDescent="0.3"/>
    <row r="342" ht="15.9" customHeight="1" x14ac:dyDescent="0.3"/>
    <row r="343" ht="15.9" customHeight="1" x14ac:dyDescent="0.3"/>
    <row r="344" ht="15.9" customHeight="1" x14ac:dyDescent="0.3"/>
    <row r="345" ht="15.9" customHeight="1" x14ac:dyDescent="0.3"/>
    <row r="346" ht="15.9" customHeight="1" x14ac:dyDescent="0.3"/>
    <row r="347" ht="15.9" customHeight="1" x14ac:dyDescent="0.3"/>
    <row r="348" ht="15.9" customHeight="1" x14ac:dyDescent="0.3"/>
    <row r="349" ht="15.9" customHeight="1" x14ac:dyDescent="0.3"/>
    <row r="350" ht="15.9" customHeight="1" x14ac:dyDescent="0.3"/>
    <row r="351" ht="15.9" customHeight="1" x14ac:dyDescent="0.3"/>
    <row r="352" ht="15.9" customHeight="1" x14ac:dyDescent="0.3"/>
    <row r="353" ht="15.9" customHeight="1" x14ac:dyDescent="0.3"/>
    <row r="354" ht="15.9" customHeight="1" x14ac:dyDescent="0.3"/>
    <row r="355" ht="15.9" customHeight="1" x14ac:dyDescent="0.3"/>
    <row r="356" ht="15.9" customHeight="1" x14ac:dyDescent="0.3"/>
    <row r="357" ht="15.9" customHeight="1" x14ac:dyDescent="0.3"/>
    <row r="358" ht="15.9" customHeight="1" x14ac:dyDescent="0.3"/>
    <row r="359" ht="15.9" customHeight="1" x14ac:dyDescent="0.3"/>
    <row r="360" ht="15.9" customHeight="1" x14ac:dyDescent="0.3"/>
    <row r="361" ht="15.9" customHeight="1" x14ac:dyDescent="0.3"/>
    <row r="362" ht="15.9" customHeight="1" x14ac:dyDescent="0.3"/>
    <row r="363" ht="15.9" customHeight="1" x14ac:dyDescent="0.3"/>
    <row r="364" ht="15.9" customHeight="1" x14ac:dyDescent="0.3"/>
    <row r="365" ht="15.9" customHeight="1" x14ac:dyDescent="0.3"/>
    <row r="366" ht="15.9" customHeight="1" x14ac:dyDescent="0.3"/>
    <row r="367" ht="15.9" customHeight="1" x14ac:dyDescent="0.3"/>
    <row r="368" ht="15.9" customHeight="1" x14ac:dyDescent="0.3"/>
    <row r="369" ht="15.9" customHeight="1" x14ac:dyDescent="0.3"/>
    <row r="370" ht="15.9" customHeight="1" x14ac:dyDescent="0.3"/>
    <row r="371" ht="15.9" customHeight="1" x14ac:dyDescent="0.3"/>
    <row r="372" ht="15.9" customHeight="1" x14ac:dyDescent="0.3"/>
    <row r="373" ht="15.9" customHeight="1" x14ac:dyDescent="0.3"/>
    <row r="374" ht="15.9" customHeight="1" x14ac:dyDescent="0.3"/>
    <row r="375" ht="15.9" customHeight="1" x14ac:dyDescent="0.3"/>
    <row r="376" ht="15.9" customHeight="1" x14ac:dyDescent="0.3"/>
    <row r="377" ht="15.9" customHeight="1" x14ac:dyDescent="0.3"/>
    <row r="378" ht="15.9" customHeight="1" x14ac:dyDescent="0.3"/>
    <row r="379" ht="15.9" customHeight="1" x14ac:dyDescent="0.3"/>
    <row r="380" ht="15.9" customHeight="1" x14ac:dyDescent="0.3"/>
    <row r="381" ht="15.9" customHeight="1" x14ac:dyDescent="0.3"/>
    <row r="382" ht="15.9" customHeight="1" x14ac:dyDescent="0.3"/>
    <row r="383" ht="15.9" customHeight="1" x14ac:dyDescent="0.3"/>
    <row r="384" ht="15.9" customHeight="1" x14ac:dyDescent="0.3"/>
    <row r="385" ht="15.9" customHeight="1" x14ac:dyDescent="0.3"/>
    <row r="386" ht="15.9" customHeight="1" x14ac:dyDescent="0.3"/>
    <row r="387" ht="15.9" customHeight="1" x14ac:dyDescent="0.3"/>
    <row r="388" ht="15.9" customHeight="1" x14ac:dyDescent="0.3"/>
    <row r="389" ht="15.9" customHeight="1" x14ac:dyDescent="0.3"/>
    <row r="390" ht="15.9" customHeight="1" x14ac:dyDescent="0.3"/>
    <row r="391" ht="15.9" customHeight="1" x14ac:dyDescent="0.3"/>
    <row r="392" ht="15.9" customHeight="1" x14ac:dyDescent="0.3"/>
    <row r="393" ht="15.9" customHeight="1" x14ac:dyDescent="0.3"/>
    <row r="394" ht="15.9" customHeight="1" x14ac:dyDescent="0.3"/>
    <row r="395" ht="15.9" customHeight="1" x14ac:dyDescent="0.3"/>
    <row r="396" ht="15.9" customHeight="1" x14ac:dyDescent="0.3"/>
    <row r="397" ht="15.9" customHeight="1" x14ac:dyDescent="0.3"/>
    <row r="398" ht="15.9" customHeight="1" x14ac:dyDescent="0.3"/>
    <row r="399" ht="15.9" customHeight="1" x14ac:dyDescent="0.3"/>
    <row r="400" ht="15.9" customHeight="1" x14ac:dyDescent="0.3"/>
    <row r="401" ht="15.9" customHeight="1" x14ac:dyDescent="0.3"/>
    <row r="402" ht="15.9" customHeight="1" x14ac:dyDescent="0.3"/>
    <row r="403" ht="15.9" customHeight="1" x14ac:dyDescent="0.3"/>
    <row r="404" ht="15.9" customHeight="1" x14ac:dyDescent="0.3"/>
    <row r="405" ht="15.9" customHeight="1" x14ac:dyDescent="0.3"/>
    <row r="406" ht="15.9" customHeight="1" x14ac:dyDescent="0.3"/>
    <row r="407" ht="15.9" customHeight="1" x14ac:dyDescent="0.3"/>
    <row r="408" ht="15.9" customHeight="1" x14ac:dyDescent="0.3"/>
    <row r="409" ht="15.9" customHeight="1" x14ac:dyDescent="0.3"/>
    <row r="410" ht="15.9" customHeight="1" x14ac:dyDescent="0.3"/>
    <row r="411" ht="15.9" customHeight="1" x14ac:dyDescent="0.3"/>
    <row r="412" ht="15.9" customHeight="1" x14ac:dyDescent="0.3"/>
    <row r="413" ht="15.9" customHeight="1" x14ac:dyDescent="0.3"/>
    <row r="414" ht="15.9" customHeight="1" x14ac:dyDescent="0.3"/>
    <row r="415" ht="15.9" customHeight="1" x14ac:dyDescent="0.3"/>
    <row r="416" ht="15.9" customHeight="1" x14ac:dyDescent="0.3"/>
    <row r="417" ht="15.9" customHeight="1" x14ac:dyDescent="0.3"/>
    <row r="418" ht="15.9" customHeight="1" x14ac:dyDescent="0.3"/>
    <row r="419" ht="15.9" customHeight="1" x14ac:dyDescent="0.3"/>
    <row r="420" ht="15.9" customHeight="1" x14ac:dyDescent="0.3"/>
    <row r="421" ht="15.9" customHeight="1" x14ac:dyDescent="0.3"/>
    <row r="422" ht="15.9" customHeight="1" x14ac:dyDescent="0.3"/>
    <row r="423" ht="15.9" customHeight="1" x14ac:dyDescent="0.3"/>
    <row r="424" ht="15.9" customHeight="1" x14ac:dyDescent="0.3"/>
    <row r="425" ht="15.9" customHeight="1" x14ac:dyDescent="0.3"/>
    <row r="426" ht="15.9" customHeight="1" x14ac:dyDescent="0.3"/>
    <row r="427" ht="15.9" customHeight="1" x14ac:dyDescent="0.3"/>
    <row r="428" ht="15.9" customHeight="1" x14ac:dyDescent="0.3"/>
    <row r="429" ht="15.9" customHeight="1" x14ac:dyDescent="0.3"/>
    <row r="430" ht="15.9" customHeight="1" x14ac:dyDescent="0.3"/>
    <row r="431" ht="15.9" customHeight="1" x14ac:dyDescent="0.3"/>
    <row r="432" ht="15.9" customHeight="1" x14ac:dyDescent="0.3"/>
    <row r="433" ht="15.9" customHeight="1" x14ac:dyDescent="0.3"/>
    <row r="434" ht="15.9" customHeight="1" x14ac:dyDescent="0.3"/>
    <row r="435" ht="15.9" customHeight="1" x14ac:dyDescent="0.3"/>
    <row r="436" ht="15.9" customHeight="1" x14ac:dyDescent="0.3"/>
    <row r="437" ht="15.9" customHeight="1" x14ac:dyDescent="0.3"/>
    <row r="438" ht="15.9" customHeight="1" x14ac:dyDescent="0.3"/>
    <row r="439" ht="15.9" customHeight="1" x14ac:dyDescent="0.3"/>
    <row r="440" ht="15.9" customHeight="1" x14ac:dyDescent="0.3"/>
    <row r="441" ht="15.9" customHeight="1" x14ac:dyDescent="0.3"/>
    <row r="442" ht="15.9" customHeight="1" x14ac:dyDescent="0.3"/>
    <row r="443" ht="15.9" customHeight="1" x14ac:dyDescent="0.3"/>
    <row r="444" ht="15.9" customHeight="1" x14ac:dyDescent="0.3"/>
    <row r="445" ht="15.9" customHeight="1" x14ac:dyDescent="0.3"/>
    <row r="446" ht="15.9" customHeight="1" x14ac:dyDescent="0.3"/>
    <row r="447" ht="15.9" customHeight="1" x14ac:dyDescent="0.3"/>
    <row r="448" ht="15.9" customHeight="1" x14ac:dyDescent="0.3"/>
    <row r="449" ht="15.9" customHeight="1" x14ac:dyDescent="0.3"/>
    <row r="450" ht="15.9" customHeight="1" x14ac:dyDescent="0.3"/>
    <row r="451" ht="15.9" customHeight="1" x14ac:dyDescent="0.3"/>
    <row r="452" ht="15.9" customHeight="1" x14ac:dyDescent="0.3"/>
    <row r="453" ht="15.9" customHeight="1" x14ac:dyDescent="0.3"/>
    <row r="454" ht="15.9" customHeight="1" x14ac:dyDescent="0.3"/>
    <row r="455" ht="15.9" customHeight="1" x14ac:dyDescent="0.3"/>
    <row r="456" ht="15.9" customHeight="1" x14ac:dyDescent="0.3"/>
    <row r="457" ht="15.9" customHeight="1" x14ac:dyDescent="0.3"/>
    <row r="458" ht="15.9" customHeight="1" x14ac:dyDescent="0.3"/>
    <row r="459" ht="15.9" customHeight="1" x14ac:dyDescent="0.3"/>
    <row r="460" ht="15.9" customHeight="1" x14ac:dyDescent="0.3"/>
    <row r="461" ht="15.9" customHeight="1" x14ac:dyDescent="0.3"/>
    <row r="462" ht="15.9" customHeight="1" x14ac:dyDescent="0.3"/>
    <row r="463" ht="15.9" customHeight="1" x14ac:dyDescent="0.3"/>
    <row r="464" ht="15.9" customHeight="1" x14ac:dyDescent="0.3"/>
    <row r="465" ht="15.9" customHeight="1" x14ac:dyDescent="0.3"/>
    <row r="466" ht="15.9" customHeight="1" x14ac:dyDescent="0.3"/>
    <row r="467" ht="15.9" customHeight="1" x14ac:dyDescent="0.3"/>
    <row r="468" ht="15.9" customHeight="1" x14ac:dyDescent="0.3"/>
    <row r="469" ht="15.9" customHeight="1" x14ac:dyDescent="0.3"/>
    <row r="470" ht="15.9" customHeight="1" x14ac:dyDescent="0.3"/>
    <row r="471" ht="15.9" customHeight="1" x14ac:dyDescent="0.3"/>
    <row r="472" ht="15.9" customHeight="1" x14ac:dyDescent="0.3"/>
    <row r="473" ht="15.9" customHeight="1" x14ac:dyDescent="0.3"/>
    <row r="474" ht="15.9" customHeight="1" x14ac:dyDescent="0.3"/>
    <row r="475" ht="15.9" customHeight="1" x14ac:dyDescent="0.3"/>
    <row r="476" ht="15.9" customHeight="1" x14ac:dyDescent="0.3"/>
    <row r="477" ht="15.9" customHeight="1" x14ac:dyDescent="0.3"/>
    <row r="478" ht="15.9" customHeight="1" x14ac:dyDescent="0.3"/>
    <row r="479" ht="15.9" customHeight="1" x14ac:dyDescent="0.3"/>
    <row r="480" ht="15.9" customHeight="1" x14ac:dyDescent="0.3"/>
    <row r="481" ht="15.9" customHeight="1" x14ac:dyDescent="0.3"/>
    <row r="482" ht="15.9" customHeight="1" x14ac:dyDescent="0.3"/>
    <row r="483" ht="15.9" customHeight="1" x14ac:dyDescent="0.3"/>
    <row r="484" ht="15.9" customHeight="1" x14ac:dyDescent="0.3"/>
    <row r="485" ht="15.9" customHeight="1" x14ac:dyDescent="0.3"/>
    <row r="486" ht="15.9" customHeight="1" x14ac:dyDescent="0.3"/>
    <row r="487" ht="15.9" customHeight="1" x14ac:dyDescent="0.3"/>
    <row r="488" ht="15.9" customHeight="1" x14ac:dyDescent="0.3"/>
    <row r="489" ht="15.9" customHeight="1" x14ac:dyDescent="0.3"/>
    <row r="490" ht="15.9" customHeight="1" x14ac:dyDescent="0.3"/>
    <row r="491" ht="15.9" customHeight="1" x14ac:dyDescent="0.3"/>
    <row r="492" ht="15.9" customHeight="1" x14ac:dyDescent="0.3"/>
    <row r="493" ht="15.9" customHeight="1" x14ac:dyDescent="0.3"/>
    <row r="494" ht="15.9" customHeight="1" x14ac:dyDescent="0.3"/>
    <row r="495" ht="15.9" customHeight="1" x14ac:dyDescent="0.3"/>
    <row r="496" ht="15.9" customHeight="1" x14ac:dyDescent="0.3"/>
    <row r="497" ht="15.9" customHeight="1" x14ac:dyDescent="0.3"/>
    <row r="498" ht="15.9" customHeight="1" x14ac:dyDescent="0.3"/>
    <row r="499" ht="15.9" customHeight="1" x14ac:dyDescent="0.3"/>
    <row r="500" ht="15.9" customHeight="1" x14ac:dyDescent="0.3"/>
    <row r="501" ht="15.9" customHeight="1" x14ac:dyDescent="0.3"/>
    <row r="502" ht="15.9" customHeight="1" x14ac:dyDescent="0.3"/>
    <row r="503" ht="15.9" customHeight="1" x14ac:dyDescent="0.3"/>
  </sheetData>
  <mergeCells count="36">
    <mergeCell ref="C19:D19"/>
    <mergeCell ref="B11:B16"/>
    <mergeCell ref="C11:D16"/>
    <mergeCell ref="E11:F16"/>
    <mergeCell ref="G11:G16"/>
    <mergeCell ref="P7:Q7"/>
    <mergeCell ref="H11:H16"/>
    <mergeCell ref="P11:Q16"/>
    <mergeCell ref="B9:B10"/>
    <mergeCell ref="C9:D10"/>
    <mergeCell ref="E9:F10"/>
    <mergeCell ref="G9:G10"/>
    <mergeCell ref="H9:H10"/>
    <mergeCell ref="P9:Q10"/>
    <mergeCell ref="B8:C8"/>
    <mergeCell ref="F8:H8"/>
    <mergeCell ref="I8:J8"/>
    <mergeCell ref="K8:O8"/>
    <mergeCell ref="B6:C6"/>
    <mergeCell ref="D6:H6"/>
    <mergeCell ref="I6:J6"/>
    <mergeCell ref="K6:L6"/>
    <mergeCell ref="M6:O6"/>
    <mergeCell ref="B7:C7"/>
    <mergeCell ref="D7:H7"/>
    <mergeCell ref="I7:J7"/>
    <mergeCell ref="K7:L7"/>
    <mergeCell ref="P6:Q6"/>
    <mergeCell ref="A2:D2"/>
    <mergeCell ref="E2:N3"/>
    <mergeCell ref="O2:R2"/>
    <mergeCell ref="A3:D3"/>
    <mergeCell ref="O3:R3"/>
    <mergeCell ref="B5:C5"/>
    <mergeCell ref="D5:H5"/>
    <mergeCell ref="I5:O5"/>
  </mergeCells>
  <printOptions horizontalCentered="1"/>
  <pageMargins left="0.3" right="0.3" top="0.45" bottom="0.75" header="0.3" footer="0.3"/>
  <pageSetup paperSize="9" scale="93" orientation="landscape" r:id="rId1"/>
  <headerFooter>
    <oddFooter>&amp;L&amp;1#&amp;"Calibri"&amp;8 Sensitivity: LNT Construction Internal Use</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0">
    <tabColor rgb="FFFF0000"/>
  </sheetPr>
  <dimension ref="A1:AA546"/>
  <sheetViews>
    <sheetView showGridLines="0" zoomScaleNormal="100" zoomScaleSheetLayoutView="100" workbookViewId="0">
      <selection activeCell="G17" sqref="G17:G22"/>
    </sheetView>
  </sheetViews>
  <sheetFormatPr defaultColWidth="10.44140625" defaultRowHeight="15.6" x14ac:dyDescent="0.3"/>
  <cols>
    <col min="1" max="1" width="1.88671875" style="12" customWidth="1"/>
    <col min="2" max="2" width="6.44140625" style="12" customWidth="1"/>
    <col min="3" max="4" width="12.5546875" style="12" customWidth="1"/>
    <col min="5" max="5" width="7.88671875" style="12" customWidth="1"/>
    <col min="6" max="6" width="30.44140625" style="12" customWidth="1"/>
    <col min="7" max="8" width="6.109375" style="12" customWidth="1"/>
    <col min="9" max="9" width="10.5546875" style="12" customWidth="1"/>
    <col min="10" max="11" width="9" style="12" bestFit="1" customWidth="1"/>
    <col min="12" max="12" width="7.88671875" style="12" customWidth="1"/>
    <col min="13" max="13" width="9" style="12" bestFit="1" customWidth="1"/>
    <col min="14" max="14" width="7.88671875" style="12" customWidth="1"/>
    <col min="15" max="15" width="7.5546875" style="12" customWidth="1"/>
    <col min="16" max="16" width="6.5546875" style="12" customWidth="1"/>
    <col min="17" max="17" width="10.5546875" style="12" customWidth="1"/>
    <col min="18" max="18" width="1.88671875" style="12" customWidth="1"/>
    <col min="19" max="20" width="6.44140625" style="12" customWidth="1"/>
    <col min="21" max="21" width="20.44140625" style="12" customWidth="1"/>
    <col min="22" max="22" width="10.44140625" style="12" customWidth="1"/>
    <col min="23" max="32" width="6.44140625" style="12" customWidth="1"/>
    <col min="33" max="16384" width="10.44140625" style="12"/>
  </cols>
  <sheetData>
    <row r="1" spans="1:27" ht="50.1" customHeight="1" x14ac:dyDescent="0.3">
      <c r="A1" s="56"/>
      <c r="B1" s="57"/>
      <c r="C1" s="57"/>
      <c r="D1" s="57"/>
      <c r="E1" s="57"/>
      <c r="F1" s="57"/>
      <c r="G1" s="57"/>
      <c r="H1" s="57"/>
      <c r="I1" s="57"/>
      <c r="J1" s="57"/>
      <c r="K1" s="57"/>
      <c r="L1" s="57"/>
      <c r="M1" s="57"/>
      <c r="N1" s="57"/>
      <c r="O1" s="57"/>
      <c r="P1" s="57"/>
      <c r="Q1" s="57"/>
      <c r="R1" s="58"/>
    </row>
    <row r="2" spans="1:27" ht="18" customHeight="1" x14ac:dyDescent="0.3">
      <c r="A2" s="184" t="s">
        <v>23</v>
      </c>
      <c r="B2" s="185"/>
      <c r="C2" s="185"/>
      <c r="D2" s="186"/>
      <c r="E2" s="187" t="s">
        <v>24</v>
      </c>
      <c r="F2" s="188"/>
      <c r="G2" s="188"/>
      <c r="H2" s="188"/>
      <c r="I2" s="188"/>
      <c r="J2" s="188"/>
      <c r="K2" s="188"/>
      <c r="L2" s="188"/>
      <c r="M2" s="188"/>
      <c r="N2" s="189"/>
      <c r="O2" s="193" t="s">
        <v>129</v>
      </c>
      <c r="P2" s="193"/>
      <c r="Q2" s="193"/>
      <c r="R2" s="193"/>
    </row>
    <row r="3" spans="1:27" ht="18" customHeight="1" x14ac:dyDescent="0.3">
      <c r="A3" s="194" t="s">
        <v>25</v>
      </c>
      <c r="B3" s="195"/>
      <c r="C3" s="195"/>
      <c r="D3" s="196"/>
      <c r="E3" s="190"/>
      <c r="F3" s="191"/>
      <c r="G3" s="191"/>
      <c r="H3" s="191"/>
      <c r="I3" s="191"/>
      <c r="J3" s="191"/>
      <c r="K3" s="191"/>
      <c r="L3" s="191"/>
      <c r="M3" s="191"/>
      <c r="N3" s="192"/>
      <c r="O3" s="197" t="s">
        <v>130</v>
      </c>
      <c r="P3" s="197"/>
      <c r="Q3" s="197"/>
      <c r="R3" s="197"/>
    </row>
    <row r="4" spans="1:27" s="5" customFormat="1" ht="7.5" customHeight="1" x14ac:dyDescent="0.3">
      <c r="A4" s="2"/>
      <c r="B4" s="13"/>
      <c r="C4" s="13"/>
      <c r="D4" s="13"/>
      <c r="E4" s="13"/>
      <c r="F4" s="13"/>
      <c r="G4" s="13"/>
      <c r="H4" s="13"/>
      <c r="I4" s="13"/>
      <c r="J4" s="13"/>
      <c r="K4" s="13"/>
      <c r="L4" s="13"/>
      <c r="M4" s="13"/>
      <c r="N4" s="13"/>
      <c r="O4" s="13"/>
      <c r="P4" s="13"/>
      <c r="Q4" s="13"/>
      <c r="R4" s="14"/>
      <c r="S4" s="4"/>
    </row>
    <row r="5" spans="1:27" ht="12" customHeight="1" x14ac:dyDescent="0.25">
      <c r="A5" s="2"/>
      <c r="B5" s="198" t="s">
        <v>26</v>
      </c>
      <c r="C5" s="199"/>
      <c r="D5" s="200" t="s">
        <v>27</v>
      </c>
      <c r="E5" s="201"/>
      <c r="F5" s="201"/>
      <c r="G5" s="201"/>
      <c r="H5" s="202"/>
      <c r="I5" s="203" t="s">
        <v>28</v>
      </c>
      <c r="J5" s="204"/>
      <c r="K5" s="204"/>
      <c r="L5" s="204"/>
      <c r="M5" s="204"/>
      <c r="N5" s="204"/>
      <c r="O5" s="205"/>
      <c r="P5" s="119" t="s">
        <v>131</v>
      </c>
      <c r="Q5" s="117"/>
      <c r="R5" s="3"/>
      <c r="U5" s="6"/>
      <c r="V5" s="15"/>
      <c r="W5" s="15"/>
    </row>
    <row r="6" spans="1:27" s="16" customFormat="1" ht="12" customHeight="1" x14ac:dyDescent="0.3">
      <c r="A6" s="7"/>
      <c r="B6" s="214" t="s">
        <v>29</v>
      </c>
      <c r="C6" s="215"/>
      <c r="D6" s="216" t="s">
        <v>30</v>
      </c>
      <c r="E6" s="216"/>
      <c r="F6" s="216"/>
      <c r="G6" s="216"/>
      <c r="H6" s="216"/>
      <c r="I6" s="217" t="s">
        <v>31</v>
      </c>
      <c r="J6" s="218"/>
      <c r="K6" s="218" t="s">
        <v>32</v>
      </c>
      <c r="L6" s="218"/>
      <c r="M6" s="219"/>
      <c r="N6" s="219"/>
      <c r="O6" s="220"/>
      <c r="P6" s="182" t="s">
        <v>33</v>
      </c>
      <c r="Q6" s="183"/>
      <c r="R6" s="8"/>
      <c r="U6" t="s">
        <v>34</v>
      </c>
      <c r="V6" s="59">
        <v>43179</v>
      </c>
      <c r="W6" s="60"/>
    </row>
    <row r="7" spans="1:27" s="16" customFormat="1" ht="12" customHeight="1" x14ac:dyDescent="0.3">
      <c r="A7" s="7"/>
      <c r="B7" s="206" t="s">
        <v>35</v>
      </c>
      <c r="C7" s="207"/>
      <c r="D7" s="208" t="s">
        <v>132</v>
      </c>
      <c r="E7" s="209"/>
      <c r="F7" s="209"/>
      <c r="G7" s="209"/>
      <c r="H7" s="210"/>
      <c r="I7" s="217" t="s">
        <v>36</v>
      </c>
      <c r="J7" s="218"/>
      <c r="K7" s="218" t="s">
        <v>37</v>
      </c>
      <c r="L7" s="218"/>
      <c r="M7" s="17"/>
      <c r="N7" s="17"/>
      <c r="O7" s="18"/>
      <c r="P7" s="221"/>
      <c r="Q7" s="222"/>
      <c r="R7" s="8"/>
      <c r="U7" t="s">
        <v>38</v>
      </c>
      <c r="V7" s="59">
        <v>43207</v>
      </c>
      <c r="W7" s="60"/>
    </row>
    <row r="8" spans="1:27" ht="12" customHeight="1" x14ac:dyDescent="0.3">
      <c r="A8" s="9"/>
      <c r="B8" s="206" t="s">
        <v>39</v>
      </c>
      <c r="C8" s="207"/>
      <c r="D8" s="19" t="s">
        <v>40</v>
      </c>
      <c r="E8" s="20" t="s">
        <v>41</v>
      </c>
      <c r="F8" s="208" t="s">
        <v>138</v>
      </c>
      <c r="G8" s="209"/>
      <c r="H8" s="210"/>
      <c r="I8" s="211" t="s">
        <v>42</v>
      </c>
      <c r="J8" s="212"/>
      <c r="K8" s="212" t="s">
        <v>43</v>
      </c>
      <c r="L8" s="212"/>
      <c r="M8" s="212"/>
      <c r="N8" s="212"/>
      <c r="O8" s="213"/>
      <c r="P8" s="20" t="s">
        <v>129</v>
      </c>
      <c r="Q8" s="21"/>
      <c r="R8" s="10"/>
      <c r="U8" t="s">
        <v>60</v>
      </c>
      <c r="V8" s="59">
        <v>43207</v>
      </c>
      <c r="W8" s="6"/>
      <c r="X8" s="22"/>
      <c r="Y8" s="22"/>
      <c r="Z8" s="22"/>
      <c r="AA8" s="22"/>
    </row>
    <row r="9" spans="1:27" ht="15.6" customHeight="1" x14ac:dyDescent="0.3">
      <c r="A9" s="9"/>
      <c r="B9" s="229" t="s">
        <v>44</v>
      </c>
      <c r="C9" s="231" t="s">
        <v>45</v>
      </c>
      <c r="D9" s="231"/>
      <c r="E9" s="232" t="s">
        <v>46</v>
      </c>
      <c r="F9" s="233"/>
      <c r="G9" s="236" t="s">
        <v>61</v>
      </c>
      <c r="H9" s="231" t="s">
        <v>47</v>
      </c>
      <c r="I9" s="23"/>
      <c r="J9" s="24" t="s">
        <v>137</v>
      </c>
      <c r="K9" s="24" t="s">
        <v>137</v>
      </c>
      <c r="L9" s="24" t="s">
        <v>137</v>
      </c>
      <c r="M9" s="24" t="s">
        <v>137</v>
      </c>
      <c r="N9" s="24" t="s">
        <v>137</v>
      </c>
      <c r="O9" s="24" t="s">
        <v>137</v>
      </c>
      <c r="P9" s="232" t="s">
        <v>48</v>
      </c>
      <c r="Q9" s="238"/>
      <c r="R9" s="10"/>
      <c r="U9" t="s">
        <v>49</v>
      </c>
      <c r="V9" s="59">
        <v>43242</v>
      </c>
      <c r="W9" s="6"/>
      <c r="X9" s="22"/>
      <c r="Y9" s="22"/>
      <c r="Z9" s="22"/>
      <c r="AA9" s="22"/>
    </row>
    <row r="10" spans="1:27" ht="17.399999999999999" customHeight="1" x14ac:dyDescent="0.3">
      <c r="A10" s="9"/>
      <c r="B10" s="230"/>
      <c r="C10" s="231"/>
      <c r="D10" s="231"/>
      <c r="E10" s="234"/>
      <c r="F10" s="235"/>
      <c r="G10" s="237"/>
      <c r="H10" s="231"/>
      <c r="I10" s="25"/>
      <c r="J10" s="26" t="s">
        <v>51</v>
      </c>
      <c r="K10" s="26" t="s">
        <v>66</v>
      </c>
      <c r="L10" s="26"/>
      <c r="M10" s="26">
        <v>0</v>
      </c>
      <c r="N10" s="26">
        <v>1</v>
      </c>
      <c r="O10" s="26">
        <v>2</v>
      </c>
      <c r="P10" s="234"/>
      <c r="Q10" s="239"/>
      <c r="R10" s="10"/>
      <c r="U10" t="s">
        <v>50</v>
      </c>
      <c r="V10" s="59">
        <v>43242</v>
      </c>
      <c r="W10" s="11"/>
      <c r="X10" s="22"/>
      <c r="Y10" s="22"/>
      <c r="Z10" s="22"/>
      <c r="AA10" s="22"/>
    </row>
    <row r="11" spans="1:27" ht="12" customHeight="1" x14ac:dyDescent="0.3">
      <c r="A11" s="30"/>
      <c r="B11" s="241"/>
      <c r="C11" s="243"/>
      <c r="D11" s="244"/>
      <c r="E11" s="247"/>
      <c r="F11" s="248"/>
      <c r="G11" s="223"/>
      <c r="H11" s="223"/>
      <c r="I11" s="27" t="s">
        <v>52</v>
      </c>
      <c r="J11" s="28"/>
      <c r="K11" s="28"/>
      <c r="L11" s="28"/>
      <c r="M11" s="28"/>
      <c r="N11" s="28"/>
      <c r="O11" s="28"/>
      <c r="P11" s="225"/>
      <c r="Q11" s="226"/>
      <c r="R11" s="31"/>
    </row>
    <row r="12" spans="1:27" ht="12" customHeight="1" x14ac:dyDescent="0.3">
      <c r="A12" s="30"/>
      <c r="B12" s="241"/>
      <c r="C12" s="245"/>
      <c r="D12" s="246"/>
      <c r="E12" s="249"/>
      <c r="F12" s="250"/>
      <c r="G12" s="223"/>
      <c r="H12" s="223"/>
      <c r="I12" s="27" t="s">
        <v>54</v>
      </c>
      <c r="J12" s="28"/>
      <c r="K12" s="28"/>
      <c r="L12" s="28"/>
      <c r="M12" s="28"/>
      <c r="N12" s="28"/>
      <c r="O12" s="28"/>
      <c r="P12" s="227"/>
      <c r="Q12" s="228"/>
      <c r="R12" s="31"/>
    </row>
    <row r="13" spans="1:27" ht="12" customHeight="1" x14ac:dyDescent="0.3">
      <c r="A13" s="30"/>
      <c r="B13" s="241"/>
      <c r="C13" s="245"/>
      <c r="D13" s="246"/>
      <c r="E13" s="249"/>
      <c r="F13" s="250"/>
      <c r="G13" s="223"/>
      <c r="H13" s="223"/>
      <c r="I13" s="27" t="s">
        <v>55</v>
      </c>
      <c r="J13" s="28"/>
      <c r="K13" s="28"/>
      <c r="L13" s="28"/>
      <c r="M13" s="28"/>
      <c r="N13" s="28"/>
      <c r="O13" s="28"/>
      <c r="P13" s="227"/>
      <c r="Q13" s="228"/>
      <c r="R13" s="31"/>
    </row>
    <row r="14" spans="1:27" ht="12" customHeight="1" x14ac:dyDescent="0.3">
      <c r="A14" s="30"/>
      <c r="B14" s="241"/>
      <c r="C14" s="245"/>
      <c r="D14" s="246"/>
      <c r="E14" s="249"/>
      <c r="F14" s="250"/>
      <c r="G14" s="223"/>
      <c r="H14" s="223"/>
      <c r="I14" s="27" t="s">
        <v>56</v>
      </c>
      <c r="J14" s="28"/>
      <c r="K14" s="28"/>
      <c r="L14" s="28"/>
      <c r="M14" s="28"/>
      <c r="N14" s="28"/>
      <c r="O14" s="28"/>
      <c r="P14" s="227"/>
      <c r="Q14" s="228"/>
      <c r="R14" s="31"/>
    </row>
    <row r="15" spans="1:27" ht="12" customHeight="1" x14ac:dyDescent="0.3">
      <c r="A15" s="30"/>
      <c r="B15" s="241"/>
      <c r="C15" s="245"/>
      <c r="D15" s="246"/>
      <c r="E15" s="249"/>
      <c r="F15" s="250"/>
      <c r="G15" s="223"/>
      <c r="H15" s="223"/>
      <c r="I15" s="27" t="s">
        <v>57</v>
      </c>
      <c r="J15" s="28"/>
      <c r="K15" s="28"/>
      <c r="L15" s="28"/>
      <c r="M15" s="28"/>
      <c r="N15" s="28"/>
      <c r="O15" s="28"/>
      <c r="P15" s="227"/>
      <c r="Q15" s="228"/>
      <c r="R15" s="31"/>
    </row>
    <row r="16" spans="1:27" ht="12" customHeight="1" x14ac:dyDescent="0.3">
      <c r="A16" s="30"/>
      <c r="B16" s="241"/>
      <c r="C16" s="251"/>
      <c r="D16" s="252"/>
      <c r="E16" s="253"/>
      <c r="F16" s="254"/>
      <c r="G16" s="223"/>
      <c r="H16" s="223"/>
      <c r="I16" s="32" t="s">
        <v>58</v>
      </c>
      <c r="J16" s="29"/>
      <c r="K16" s="29"/>
      <c r="L16" s="29"/>
      <c r="M16" s="29"/>
      <c r="N16" s="33"/>
      <c r="O16" s="33"/>
      <c r="P16" s="227"/>
      <c r="Q16" s="228"/>
      <c r="R16" s="31"/>
    </row>
    <row r="17" spans="1:18" ht="12" customHeight="1" x14ac:dyDescent="0.3">
      <c r="A17" s="30"/>
      <c r="B17" s="241"/>
      <c r="C17" s="243"/>
      <c r="D17" s="244"/>
      <c r="E17" s="247"/>
      <c r="F17" s="248"/>
      <c r="G17" s="223"/>
      <c r="H17" s="223"/>
      <c r="I17" s="27" t="s">
        <v>52</v>
      </c>
      <c r="J17" s="28"/>
      <c r="K17" s="28"/>
      <c r="L17" s="28"/>
      <c r="M17" s="28"/>
      <c r="N17" s="28"/>
      <c r="O17" s="28"/>
      <c r="P17" s="225"/>
      <c r="Q17" s="226"/>
      <c r="R17" s="31"/>
    </row>
    <row r="18" spans="1:18" ht="12" customHeight="1" x14ac:dyDescent="0.3">
      <c r="A18" s="30"/>
      <c r="B18" s="241"/>
      <c r="C18" s="245"/>
      <c r="D18" s="246"/>
      <c r="E18" s="249"/>
      <c r="F18" s="250"/>
      <c r="G18" s="223"/>
      <c r="H18" s="223"/>
      <c r="I18" s="27" t="s">
        <v>54</v>
      </c>
      <c r="J18" s="28"/>
      <c r="K18" s="28"/>
      <c r="L18" s="28"/>
      <c r="M18" s="28"/>
      <c r="N18" s="28"/>
      <c r="O18" s="28"/>
      <c r="P18" s="227"/>
      <c r="Q18" s="228"/>
      <c r="R18" s="31"/>
    </row>
    <row r="19" spans="1:18" ht="12" customHeight="1" x14ac:dyDescent="0.3">
      <c r="A19" s="30"/>
      <c r="B19" s="241"/>
      <c r="C19" s="245"/>
      <c r="D19" s="246"/>
      <c r="E19" s="249"/>
      <c r="F19" s="250"/>
      <c r="G19" s="223"/>
      <c r="H19" s="223"/>
      <c r="I19" s="27" t="s">
        <v>55</v>
      </c>
      <c r="J19" s="28"/>
      <c r="K19" s="28"/>
      <c r="L19" s="28"/>
      <c r="M19" s="28"/>
      <c r="N19" s="28"/>
      <c r="O19" s="28"/>
      <c r="P19" s="227"/>
      <c r="Q19" s="228"/>
      <c r="R19" s="31"/>
    </row>
    <row r="20" spans="1:18" ht="12" customHeight="1" x14ac:dyDescent="0.3">
      <c r="A20" s="30"/>
      <c r="B20" s="241"/>
      <c r="C20" s="245"/>
      <c r="D20" s="246"/>
      <c r="E20" s="249"/>
      <c r="F20" s="250"/>
      <c r="G20" s="223"/>
      <c r="H20" s="223"/>
      <c r="I20" s="27" t="s">
        <v>56</v>
      </c>
      <c r="J20" s="28"/>
      <c r="K20" s="28"/>
      <c r="L20" s="28"/>
      <c r="M20" s="28"/>
      <c r="N20" s="28"/>
      <c r="O20" s="28"/>
      <c r="P20" s="227"/>
      <c r="Q20" s="228"/>
      <c r="R20" s="31"/>
    </row>
    <row r="21" spans="1:18" ht="12" customHeight="1" x14ac:dyDescent="0.3">
      <c r="A21" s="30"/>
      <c r="B21" s="241"/>
      <c r="C21" s="245"/>
      <c r="D21" s="246"/>
      <c r="E21" s="249"/>
      <c r="F21" s="250"/>
      <c r="G21" s="223"/>
      <c r="H21" s="223"/>
      <c r="I21" s="27" t="s">
        <v>57</v>
      </c>
      <c r="J21" s="28"/>
      <c r="K21" s="28"/>
      <c r="L21" s="28"/>
      <c r="M21" s="28"/>
      <c r="N21" s="28"/>
      <c r="O21" s="28"/>
      <c r="P21" s="227"/>
      <c r="Q21" s="228"/>
      <c r="R21" s="31"/>
    </row>
    <row r="22" spans="1:18" ht="12" customHeight="1" x14ac:dyDescent="0.3">
      <c r="A22" s="30"/>
      <c r="B22" s="241"/>
      <c r="C22" s="251"/>
      <c r="D22" s="252"/>
      <c r="E22" s="253"/>
      <c r="F22" s="254"/>
      <c r="G22" s="223"/>
      <c r="H22" s="223"/>
      <c r="I22" s="32" t="s">
        <v>58</v>
      </c>
      <c r="J22" s="29"/>
      <c r="K22" s="29"/>
      <c r="L22" s="29"/>
      <c r="M22" s="29"/>
      <c r="N22" s="33"/>
      <c r="O22" s="33"/>
      <c r="P22" s="227"/>
      <c r="Q22" s="228"/>
      <c r="R22" s="31"/>
    </row>
    <row r="23" spans="1:18" ht="12" customHeight="1" x14ac:dyDescent="0.3">
      <c r="A23" s="30"/>
      <c r="B23" s="241"/>
      <c r="C23" s="243"/>
      <c r="D23" s="244"/>
      <c r="E23" s="247"/>
      <c r="F23" s="248"/>
      <c r="G23" s="223"/>
      <c r="H23" s="223"/>
      <c r="I23" s="27" t="s">
        <v>52</v>
      </c>
      <c r="J23" s="28"/>
      <c r="K23" s="28"/>
      <c r="L23" s="28"/>
      <c r="M23" s="28"/>
      <c r="N23" s="28"/>
      <c r="O23" s="28"/>
      <c r="P23" s="225"/>
      <c r="Q23" s="226"/>
      <c r="R23" s="31"/>
    </row>
    <row r="24" spans="1:18" ht="12" customHeight="1" x14ac:dyDescent="0.3">
      <c r="A24" s="30"/>
      <c r="B24" s="241"/>
      <c r="C24" s="245"/>
      <c r="D24" s="246"/>
      <c r="E24" s="249"/>
      <c r="F24" s="250"/>
      <c r="G24" s="223"/>
      <c r="H24" s="223"/>
      <c r="I24" s="27" t="s">
        <v>54</v>
      </c>
      <c r="J24" s="28"/>
      <c r="K24" s="28"/>
      <c r="L24" s="28"/>
      <c r="M24" s="28"/>
      <c r="N24" s="28"/>
      <c r="O24" s="28"/>
      <c r="P24" s="227"/>
      <c r="Q24" s="228"/>
      <c r="R24" s="31"/>
    </row>
    <row r="25" spans="1:18" ht="12" customHeight="1" x14ac:dyDescent="0.3">
      <c r="A25" s="30"/>
      <c r="B25" s="241"/>
      <c r="C25" s="245"/>
      <c r="D25" s="246"/>
      <c r="E25" s="249"/>
      <c r="F25" s="250"/>
      <c r="G25" s="223"/>
      <c r="H25" s="223"/>
      <c r="I25" s="27" t="s">
        <v>55</v>
      </c>
      <c r="J25" s="28"/>
      <c r="K25" s="28"/>
      <c r="L25" s="28"/>
      <c r="M25" s="28"/>
      <c r="N25" s="28"/>
      <c r="O25" s="28"/>
      <c r="P25" s="227"/>
      <c r="Q25" s="228"/>
      <c r="R25" s="31"/>
    </row>
    <row r="26" spans="1:18" ht="12" customHeight="1" x14ac:dyDescent="0.3">
      <c r="A26" s="30"/>
      <c r="B26" s="241"/>
      <c r="C26" s="245"/>
      <c r="D26" s="246"/>
      <c r="E26" s="249"/>
      <c r="F26" s="250"/>
      <c r="G26" s="223"/>
      <c r="H26" s="223"/>
      <c r="I26" s="27" t="s">
        <v>56</v>
      </c>
      <c r="J26" s="28"/>
      <c r="K26" s="28"/>
      <c r="L26" s="28"/>
      <c r="M26" s="28"/>
      <c r="N26" s="28"/>
      <c r="O26" s="28"/>
      <c r="P26" s="227"/>
      <c r="Q26" s="228"/>
      <c r="R26" s="31"/>
    </row>
    <row r="27" spans="1:18" ht="12" customHeight="1" x14ac:dyDescent="0.3">
      <c r="A27" s="30"/>
      <c r="B27" s="241"/>
      <c r="C27" s="245"/>
      <c r="D27" s="246"/>
      <c r="E27" s="249"/>
      <c r="F27" s="250"/>
      <c r="G27" s="223"/>
      <c r="H27" s="223"/>
      <c r="I27" s="27" t="s">
        <v>57</v>
      </c>
      <c r="J27" s="28"/>
      <c r="K27" s="28"/>
      <c r="L27" s="28"/>
      <c r="M27" s="28"/>
      <c r="N27" s="28"/>
      <c r="O27" s="28"/>
      <c r="P27" s="227"/>
      <c r="Q27" s="228"/>
      <c r="R27" s="31"/>
    </row>
    <row r="28" spans="1:18" ht="12" customHeight="1" x14ac:dyDescent="0.3">
      <c r="A28" s="30"/>
      <c r="B28" s="241"/>
      <c r="C28" s="251"/>
      <c r="D28" s="252"/>
      <c r="E28" s="253"/>
      <c r="F28" s="254"/>
      <c r="G28" s="223"/>
      <c r="H28" s="223"/>
      <c r="I28" s="32" t="s">
        <v>58</v>
      </c>
      <c r="J28" s="29"/>
      <c r="K28" s="29"/>
      <c r="L28" s="29"/>
      <c r="M28" s="29"/>
      <c r="N28" s="33"/>
      <c r="O28" s="33"/>
      <c r="P28" s="227"/>
      <c r="Q28" s="228"/>
      <c r="R28" s="31"/>
    </row>
    <row r="29" spans="1:18" ht="12" customHeight="1" x14ac:dyDescent="0.3">
      <c r="A29" s="30"/>
      <c r="B29" s="241"/>
      <c r="C29" s="243"/>
      <c r="D29" s="244"/>
      <c r="E29" s="247"/>
      <c r="F29" s="248"/>
      <c r="G29" s="223"/>
      <c r="H29" s="223"/>
      <c r="I29" s="27" t="s">
        <v>52</v>
      </c>
      <c r="J29" s="28"/>
      <c r="K29" s="28"/>
      <c r="L29" s="28"/>
      <c r="M29" s="28"/>
      <c r="N29" s="28"/>
      <c r="O29" s="28"/>
      <c r="P29" s="225"/>
      <c r="Q29" s="226"/>
      <c r="R29" s="31"/>
    </row>
    <row r="30" spans="1:18" ht="12" customHeight="1" x14ac:dyDescent="0.3">
      <c r="A30" s="30"/>
      <c r="B30" s="241"/>
      <c r="C30" s="245"/>
      <c r="D30" s="246"/>
      <c r="E30" s="249"/>
      <c r="F30" s="250"/>
      <c r="G30" s="223"/>
      <c r="H30" s="223"/>
      <c r="I30" s="27" t="s">
        <v>54</v>
      </c>
      <c r="J30" s="28"/>
      <c r="K30" s="28"/>
      <c r="L30" s="28"/>
      <c r="M30" s="28"/>
      <c r="N30" s="28"/>
      <c r="O30" s="28"/>
      <c r="P30" s="227"/>
      <c r="Q30" s="228"/>
      <c r="R30" s="31"/>
    </row>
    <row r="31" spans="1:18" ht="12" customHeight="1" x14ac:dyDescent="0.3">
      <c r="A31" s="30"/>
      <c r="B31" s="241"/>
      <c r="C31" s="245"/>
      <c r="D31" s="246"/>
      <c r="E31" s="249"/>
      <c r="F31" s="250"/>
      <c r="G31" s="223"/>
      <c r="H31" s="223"/>
      <c r="I31" s="27" t="s">
        <v>55</v>
      </c>
      <c r="J31" s="28"/>
      <c r="K31" s="28"/>
      <c r="L31" s="28"/>
      <c r="M31" s="28"/>
      <c r="N31" s="28"/>
      <c r="O31" s="28"/>
      <c r="P31" s="227"/>
      <c r="Q31" s="228"/>
      <c r="R31" s="31"/>
    </row>
    <row r="32" spans="1:18" ht="12" customHeight="1" x14ac:dyDescent="0.3">
      <c r="A32" s="30"/>
      <c r="B32" s="241"/>
      <c r="C32" s="245"/>
      <c r="D32" s="246"/>
      <c r="E32" s="249"/>
      <c r="F32" s="250"/>
      <c r="G32" s="223"/>
      <c r="H32" s="223"/>
      <c r="I32" s="27" t="s">
        <v>56</v>
      </c>
      <c r="J32" s="28"/>
      <c r="K32" s="28"/>
      <c r="L32" s="28"/>
      <c r="M32" s="28"/>
      <c r="N32" s="28"/>
      <c r="O32" s="28"/>
      <c r="P32" s="227"/>
      <c r="Q32" s="228"/>
      <c r="R32" s="31"/>
    </row>
    <row r="33" spans="1:18" ht="12" customHeight="1" x14ac:dyDescent="0.3">
      <c r="A33" s="30"/>
      <c r="B33" s="241"/>
      <c r="C33" s="245"/>
      <c r="D33" s="246"/>
      <c r="E33" s="249"/>
      <c r="F33" s="250"/>
      <c r="G33" s="223"/>
      <c r="H33" s="223"/>
      <c r="I33" s="27" t="s">
        <v>57</v>
      </c>
      <c r="J33" s="28"/>
      <c r="K33" s="28"/>
      <c r="L33" s="28"/>
      <c r="M33" s="28"/>
      <c r="N33" s="28"/>
      <c r="O33" s="28"/>
      <c r="P33" s="227"/>
      <c r="Q33" s="228"/>
      <c r="R33" s="31"/>
    </row>
    <row r="34" spans="1:18" ht="12" customHeight="1" x14ac:dyDescent="0.3">
      <c r="A34" s="30"/>
      <c r="B34" s="241"/>
      <c r="C34" s="251"/>
      <c r="D34" s="252"/>
      <c r="E34" s="253"/>
      <c r="F34" s="254"/>
      <c r="G34" s="223"/>
      <c r="H34" s="223"/>
      <c r="I34" s="32" t="s">
        <v>58</v>
      </c>
      <c r="J34" s="29"/>
      <c r="K34" s="29"/>
      <c r="L34" s="29"/>
      <c r="M34" s="29"/>
      <c r="N34" s="33"/>
      <c r="O34" s="33"/>
      <c r="P34" s="227"/>
      <c r="Q34" s="228"/>
      <c r="R34" s="31"/>
    </row>
    <row r="35" spans="1:18" ht="12" customHeight="1" x14ac:dyDescent="0.3">
      <c r="A35" s="30"/>
      <c r="B35" s="241"/>
      <c r="C35" s="243"/>
      <c r="D35" s="244"/>
      <c r="E35" s="247"/>
      <c r="F35" s="248"/>
      <c r="G35" s="223"/>
      <c r="H35" s="223"/>
      <c r="I35" s="27" t="s">
        <v>52</v>
      </c>
      <c r="J35" s="28"/>
      <c r="K35" s="28"/>
      <c r="L35" s="28"/>
      <c r="M35" s="28"/>
      <c r="N35" s="28"/>
      <c r="O35" s="28"/>
      <c r="P35" s="225"/>
      <c r="Q35" s="226"/>
      <c r="R35" s="31"/>
    </row>
    <row r="36" spans="1:18" ht="12" customHeight="1" x14ac:dyDescent="0.3">
      <c r="A36" s="30"/>
      <c r="B36" s="241"/>
      <c r="C36" s="245"/>
      <c r="D36" s="246"/>
      <c r="E36" s="249"/>
      <c r="F36" s="250"/>
      <c r="G36" s="223"/>
      <c r="H36" s="223"/>
      <c r="I36" s="27" t="s">
        <v>54</v>
      </c>
      <c r="J36" s="28"/>
      <c r="K36" s="28"/>
      <c r="L36" s="28"/>
      <c r="M36" s="28"/>
      <c r="N36" s="28"/>
      <c r="O36" s="28"/>
      <c r="P36" s="227"/>
      <c r="Q36" s="228"/>
      <c r="R36" s="31"/>
    </row>
    <row r="37" spans="1:18" ht="12" customHeight="1" x14ac:dyDescent="0.3">
      <c r="A37" s="30"/>
      <c r="B37" s="241"/>
      <c r="C37" s="245"/>
      <c r="D37" s="246"/>
      <c r="E37" s="249"/>
      <c r="F37" s="250"/>
      <c r="G37" s="223"/>
      <c r="H37" s="223"/>
      <c r="I37" s="27" t="s">
        <v>55</v>
      </c>
      <c r="J37" s="28"/>
      <c r="K37" s="28"/>
      <c r="L37" s="28"/>
      <c r="M37" s="28"/>
      <c r="N37" s="28"/>
      <c r="O37" s="28"/>
      <c r="P37" s="227"/>
      <c r="Q37" s="228"/>
      <c r="R37" s="31"/>
    </row>
    <row r="38" spans="1:18" ht="12" customHeight="1" x14ac:dyDescent="0.3">
      <c r="A38" s="30"/>
      <c r="B38" s="241"/>
      <c r="C38" s="245"/>
      <c r="D38" s="246"/>
      <c r="E38" s="249"/>
      <c r="F38" s="250"/>
      <c r="G38" s="223"/>
      <c r="H38" s="223"/>
      <c r="I38" s="27" t="s">
        <v>56</v>
      </c>
      <c r="J38" s="28"/>
      <c r="K38" s="28"/>
      <c r="L38" s="28"/>
      <c r="M38" s="28"/>
      <c r="N38" s="28"/>
      <c r="O38" s="28"/>
      <c r="P38" s="227"/>
      <c r="Q38" s="228"/>
      <c r="R38" s="31"/>
    </row>
    <row r="39" spans="1:18" ht="12" customHeight="1" x14ac:dyDescent="0.3">
      <c r="A39" s="30"/>
      <c r="B39" s="241"/>
      <c r="C39" s="245"/>
      <c r="D39" s="246"/>
      <c r="E39" s="249"/>
      <c r="F39" s="250"/>
      <c r="G39" s="223"/>
      <c r="H39" s="223"/>
      <c r="I39" s="27" t="s">
        <v>57</v>
      </c>
      <c r="J39" s="28"/>
      <c r="K39" s="28"/>
      <c r="L39" s="28"/>
      <c r="M39" s="28"/>
      <c r="N39" s="28"/>
      <c r="O39" s="28"/>
      <c r="P39" s="227"/>
      <c r="Q39" s="228"/>
      <c r="R39" s="31"/>
    </row>
    <row r="40" spans="1:18" ht="12" customHeight="1" x14ac:dyDescent="0.3">
      <c r="A40" s="30"/>
      <c r="B40" s="241"/>
      <c r="C40" s="251"/>
      <c r="D40" s="252"/>
      <c r="E40" s="253"/>
      <c r="F40" s="254"/>
      <c r="G40" s="223"/>
      <c r="H40" s="223"/>
      <c r="I40" s="32" t="s">
        <v>58</v>
      </c>
      <c r="J40" s="29"/>
      <c r="K40" s="29"/>
      <c r="L40" s="29"/>
      <c r="M40" s="29"/>
      <c r="N40" s="33"/>
      <c r="O40" s="33"/>
      <c r="P40" s="227"/>
      <c r="Q40" s="228"/>
      <c r="R40" s="31"/>
    </row>
    <row r="41" spans="1:18" ht="12" customHeight="1" x14ac:dyDescent="0.3">
      <c r="A41" s="30"/>
      <c r="B41" s="241"/>
      <c r="C41" s="243"/>
      <c r="D41" s="244"/>
      <c r="E41" s="247"/>
      <c r="F41" s="248"/>
      <c r="G41" s="223"/>
      <c r="H41" s="223"/>
      <c r="I41" s="27" t="s">
        <v>52</v>
      </c>
      <c r="J41" s="28"/>
      <c r="K41" s="28"/>
      <c r="L41" s="28"/>
      <c r="M41" s="28"/>
      <c r="N41" s="28"/>
      <c r="O41" s="28"/>
      <c r="P41" s="225"/>
      <c r="Q41" s="226"/>
      <c r="R41" s="31"/>
    </row>
    <row r="42" spans="1:18" ht="12" customHeight="1" x14ac:dyDescent="0.3">
      <c r="A42" s="30"/>
      <c r="B42" s="241"/>
      <c r="C42" s="245"/>
      <c r="D42" s="246"/>
      <c r="E42" s="249"/>
      <c r="F42" s="250"/>
      <c r="G42" s="223"/>
      <c r="H42" s="223"/>
      <c r="I42" s="27" t="s">
        <v>54</v>
      </c>
      <c r="J42" s="28"/>
      <c r="K42" s="28"/>
      <c r="L42" s="28"/>
      <c r="M42" s="28"/>
      <c r="N42" s="28"/>
      <c r="O42" s="28"/>
      <c r="P42" s="227"/>
      <c r="Q42" s="228"/>
      <c r="R42" s="31"/>
    </row>
    <row r="43" spans="1:18" ht="12" customHeight="1" x14ac:dyDescent="0.3">
      <c r="A43" s="30"/>
      <c r="B43" s="241"/>
      <c r="C43" s="245"/>
      <c r="D43" s="246"/>
      <c r="E43" s="249"/>
      <c r="F43" s="250"/>
      <c r="G43" s="223"/>
      <c r="H43" s="223"/>
      <c r="I43" s="27" t="s">
        <v>55</v>
      </c>
      <c r="J43" s="28"/>
      <c r="K43" s="28"/>
      <c r="L43" s="28"/>
      <c r="M43" s="28"/>
      <c r="N43" s="28"/>
      <c r="O43" s="28"/>
      <c r="P43" s="227"/>
      <c r="Q43" s="228"/>
      <c r="R43" s="31"/>
    </row>
    <row r="44" spans="1:18" ht="12" customHeight="1" x14ac:dyDescent="0.3">
      <c r="A44" s="30"/>
      <c r="B44" s="241"/>
      <c r="C44" s="245"/>
      <c r="D44" s="246"/>
      <c r="E44" s="249"/>
      <c r="F44" s="250"/>
      <c r="G44" s="223"/>
      <c r="H44" s="223"/>
      <c r="I44" s="27" t="s">
        <v>56</v>
      </c>
      <c r="J44" s="28"/>
      <c r="K44" s="28"/>
      <c r="L44" s="28"/>
      <c r="M44" s="28"/>
      <c r="N44" s="28"/>
      <c r="O44" s="28"/>
      <c r="P44" s="227"/>
      <c r="Q44" s="228"/>
      <c r="R44" s="31"/>
    </row>
    <row r="45" spans="1:18" ht="12" customHeight="1" x14ac:dyDescent="0.3">
      <c r="A45" s="30"/>
      <c r="B45" s="241"/>
      <c r="C45" s="245"/>
      <c r="D45" s="246"/>
      <c r="E45" s="249"/>
      <c r="F45" s="250"/>
      <c r="G45" s="223"/>
      <c r="H45" s="223"/>
      <c r="I45" s="27" t="s">
        <v>57</v>
      </c>
      <c r="J45" s="28"/>
      <c r="K45" s="28"/>
      <c r="L45" s="28"/>
      <c r="M45" s="28"/>
      <c r="N45" s="28"/>
      <c r="O45" s="28"/>
      <c r="P45" s="227"/>
      <c r="Q45" s="228"/>
      <c r="R45" s="31"/>
    </row>
    <row r="46" spans="1:18" ht="12" customHeight="1" x14ac:dyDescent="0.3">
      <c r="A46" s="30"/>
      <c r="B46" s="241"/>
      <c r="C46" s="251"/>
      <c r="D46" s="252"/>
      <c r="E46" s="253"/>
      <c r="F46" s="254"/>
      <c r="G46" s="223"/>
      <c r="H46" s="223"/>
      <c r="I46" s="32" t="s">
        <v>58</v>
      </c>
      <c r="J46" s="29"/>
      <c r="K46" s="29"/>
      <c r="L46" s="29"/>
      <c r="M46" s="29"/>
      <c r="N46" s="33"/>
      <c r="O46" s="33"/>
      <c r="P46" s="227"/>
      <c r="Q46" s="228"/>
      <c r="R46" s="31"/>
    </row>
    <row r="47" spans="1:18" ht="12" customHeight="1" x14ac:dyDescent="0.3">
      <c r="A47" s="30"/>
      <c r="B47" s="241"/>
      <c r="C47" s="243"/>
      <c r="D47" s="244"/>
      <c r="E47" s="247"/>
      <c r="F47" s="248"/>
      <c r="G47" s="223"/>
      <c r="H47" s="223"/>
      <c r="I47" s="27" t="s">
        <v>52</v>
      </c>
      <c r="J47" s="28"/>
      <c r="K47" s="28"/>
      <c r="L47" s="28"/>
      <c r="M47" s="28"/>
      <c r="N47" s="28"/>
      <c r="O47" s="28"/>
      <c r="P47" s="225"/>
      <c r="Q47" s="226"/>
      <c r="R47" s="31"/>
    </row>
    <row r="48" spans="1:18" ht="12" customHeight="1" x14ac:dyDescent="0.3">
      <c r="A48" s="30"/>
      <c r="B48" s="241"/>
      <c r="C48" s="245"/>
      <c r="D48" s="246"/>
      <c r="E48" s="249"/>
      <c r="F48" s="250"/>
      <c r="G48" s="223"/>
      <c r="H48" s="223"/>
      <c r="I48" s="27" t="s">
        <v>54</v>
      </c>
      <c r="J48" s="28"/>
      <c r="K48" s="28"/>
      <c r="L48" s="28"/>
      <c r="M48" s="28"/>
      <c r="N48" s="28"/>
      <c r="O48" s="28"/>
      <c r="P48" s="227"/>
      <c r="Q48" s="228"/>
      <c r="R48" s="31"/>
    </row>
    <row r="49" spans="1:18" ht="12" customHeight="1" x14ac:dyDescent="0.3">
      <c r="A49" s="30"/>
      <c r="B49" s="241"/>
      <c r="C49" s="245"/>
      <c r="D49" s="246"/>
      <c r="E49" s="249"/>
      <c r="F49" s="250"/>
      <c r="G49" s="223"/>
      <c r="H49" s="223"/>
      <c r="I49" s="27" t="s">
        <v>55</v>
      </c>
      <c r="J49" s="28"/>
      <c r="K49" s="28"/>
      <c r="L49" s="28"/>
      <c r="M49" s="28"/>
      <c r="N49" s="28"/>
      <c r="O49" s="28"/>
      <c r="P49" s="227"/>
      <c r="Q49" s="228"/>
      <c r="R49" s="31"/>
    </row>
    <row r="50" spans="1:18" ht="12" customHeight="1" x14ac:dyDescent="0.3">
      <c r="A50" s="30"/>
      <c r="B50" s="241"/>
      <c r="C50" s="245"/>
      <c r="D50" s="246"/>
      <c r="E50" s="249"/>
      <c r="F50" s="250"/>
      <c r="G50" s="223"/>
      <c r="H50" s="223"/>
      <c r="I50" s="27" t="s">
        <v>56</v>
      </c>
      <c r="J50" s="28"/>
      <c r="K50" s="28"/>
      <c r="L50" s="28"/>
      <c r="M50" s="28"/>
      <c r="N50" s="28"/>
      <c r="O50" s="28"/>
      <c r="P50" s="227"/>
      <c r="Q50" s="228"/>
      <c r="R50" s="31"/>
    </row>
    <row r="51" spans="1:18" ht="12" customHeight="1" x14ac:dyDescent="0.3">
      <c r="A51" s="30"/>
      <c r="B51" s="241"/>
      <c r="C51" s="245"/>
      <c r="D51" s="246"/>
      <c r="E51" s="249"/>
      <c r="F51" s="250"/>
      <c r="G51" s="223"/>
      <c r="H51" s="223"/>
      <c r="I51" s="27" t="s">
        <v>57</v>
      </c>
      <c r="J51" s="28"/>
      <c r="K51" s="28"/>
      <c r="L51" s="28"/>
      <c r="M51" s="28"/>
      <c r="N51" s="28"/>
      <c r="O51" s="28"/>
      <c r="P51" s="227"/>
      <c r="Q51" s="228"/>
      <c r="R51" s="31"/>
    </row>
    <row r="52" spans="1:18" ht="12" customHeight="1" x14ac:dyDescent="0.3">
      <c r="A52" s="30"/>
      <c r="B52" s="241"/>
      <c r="C52" s="251"/>
      <c r="D52" s="252"/>
      <c r="E52" s="253"/>
      <c r="F52" s="254"/>
      <c r="G52" s="223"/>
      <c r="H52" s="223"/>
      <c r="I52" s="32" t="s">
        <v>58</v>
      </c>
      <c r="J52" s="29"/>
      <c r="K52" s="29"/>
      <c r="L52" s="29"/>
      <c r="M52" s="29"/>
      <c r="N52" s="33"/>
      <c r="O52" s="33"/>
      <c r="P52" s="227"/>
      <c r="Q52" s="228"/>
      <c r="R52" s="31"/>
    </row>
    <row r="53" spans="1:18" ht="12" customHeight="1" x14ac:dyDescent="0.3">
      <c r="A53" s="30"/>
      <c r="B53" s="241"/>
      <c r="C53" s="243"/>
      <c r="D53" s="244"/>
      <c r="E53" s="247"/>
      <c r="F53" s="248"/>
      <c r="G53" s="223"/>
      <c r="H53" s="223"/>
      <c r="I53" s="27" t="s">
        <v>52</v>
      </c>
      <c r="J53" s="28"/>
      <c r="K53" s="28"/>
      <c r="L53" s="28"/>
      <c r="M53" s="28"/>
      <c r="N53" s="28"/>
      <c r="O53" s="28"/>
      <c r="P53" s="225"/>
      <c r="Q53" s="226"/>
      <c r="R53" s="31"/>
    </row>
    <row r="54" spans="1:18" ht="12" customHeight="1" x14ac:dyDescent="0.3">
      <c r="A54" s="30"/>
      <c r="B54" s="241"/>
      <c r="C54" s="245"/>
      <c r="D54" s="246"/>
      <c r="E54" s="249"/>
      <c r="F54" s="250"/>
      <c r="G54" s="223"/>
      <c r="H54" s="223"/>
      <c r="I54" s="27" t="s">
        <v>54</v>
      </c>
      <c r="J54" s="28"/>
      <c r="K54" s="28"/>
      <c r="L54" s="28"/>
      <c r="M54" s="28"/>
      <c r="N54" s="28"/>
      <c r="O54" s="28"/>
      <c r="P54" s="227"/>
      <c r="Q54" s="228"/>
      <c r="R54" s="31"/>
    </row>
    <row r="55" spans="1:18" ht="12" customHeight="1" x14ac:dyDescent="0.3">
      <c r="A55" s="30"/>
      <c r="B55" s="241"/>
      <c r="C55" s="245"/>
      <c r="D55" s="246"/>
      <c r="E55" s="249"/>
      <c r="F55" s="250"/>
      <c r="G55" s="223"/>
      <c r="H55" s="223"/>
      <c r="I55" s="27" t="s">
        <v>55</v>
      </c>
      <c r="J55" s="28"/>
      <c r="K55" s="28"/>
      <c r="L55" s="28"/>
      <c r="M55" s="28"/>
      <c r="N55" s="28"/>
      <c r="O55" s="28"/>
      <c r="P55" s="227"/>
      <c r="Q55" s="228"/>
      <c r="R55" s="31"/>
    </row>
    <row r="56" spans="1:18" ht="12" customHeight="1" x14ac:dyDescent="0.3">
      <c r="A56" s="30"/>
      <c r="B56" s="241"/>
      <c r="C56" s="245"/>
      <c r="D56" s="246"/>
      <c r="E56" s="249"/>
      <c r="F56" s="250"/>
      <c r="G56" s="223"/>
      <c r="H56" s="223"/>
      <c r="I56" s="27" t="s">
        <v>56</v>
      </c>
      <c r="J56" s="28"/>
      <c r="K56" s="28"/>
      <c r="L56" s="28"/>
      <c r="M56" s="28"/>
      <c r="N56" s="28"/>
      <c r="O56" s="28"/>
      <c r="P56" s="227"/>
      <c r="Q56" s="228"/>
      <c r="R56" s="31"/>
    </row>
    <row r="57" spans="1:18" ht="12" customHeight="1" x14ac:dyDescent="0.3">
      <c r="A57" s="30"/>
      <c r="B57" s="241"/>
      <c r="C57" s="245"/>
      <c r="D57" s="246"/>
      <c r="E57" s="249"/>
      <c r="F57" s="250"/>
      <c r="G57" s="223"/>
      <c r="H57" s="223"/>
      <c r="I57" s="27" t="s">
        <v>57</v>
      </c>
      <c r="J57" s="28"/>
      <c r="K57" s="28"/>
      <c r="L57" s="28"/>
      <c r="M57" s="28"/>
      <c r="N57" s="28"/>
      <c r="O57" s="28"/>
      <c r="P57" s="227"/>
      <c r="Q57" s="228"/>
      <c r="R57" s="31"/>
    </row>
    <row r="58" spans="1:18" ht="12" customHeight="1" x14ac:dyDescent="0.3">
      <c r="A58" s="30"/>
      <c r="B58" s="241"/>
      <c r="C58" s="251"/>
      <c r="D58" s="252"/>
      <c r="E58" s="249"/>
      <c r="F58" s="250"/>
      <c r="G58" s="223"/>
      <c r="H58" s="223"/>
      <c r="I58" s="32" t="s">
        <v>58</v>
      </c>
      <c r="J58" s="29"/>
      <c r="K58" s="29"/>
      <c r="L58" s="29"/>
      <c r="M58" s="29"/>
      <c r="N58" s="33"/>
      <c r="O58" s="33"/>
      <c r="P58" s="227"/>
      <c r="Q58" s="228"/>
      <c r="R58" s="31"/>
    </row>
    <row r="59" spans="1:18" ht="12" customHeight="1" x14ac:dyDescent="0.3">
      <c r="A59" s="30"/>
      <c r="B59" s="34"/>
      <c r="C59" s="34"/>
      <c r="D59" s="34"/>
      <c r="E59" s="35"/>
      <c r="F59" s="35"/>
      <c r="G59" s="36"/>
      <c r="H59" s="36"/>
      <c r="I59" s="37"/>
      <c r="J59" s="38"/>
      <c r="K59" s="38"/>
      <c r="L59" s="38"/>
      <c r="M59" s="38"/>
      <c r="N59" s="38"/>
      <c r="O59" s="38"/>
      <c r="P59" s="39"/>
      <c r="Q59" s="39"/>
      <c r="R59" s="31"/>
    </row>
    <row r="60" spans="1:18" ht="12" customHeight="1" x14ac:dyDescent="0.3">
      <c r="A60" s="30"/>
      <c r="B60" s="40"/>
      <c r="C60" s="40"/>
      <c r="D60" s="40"/>
      <c r="E60" s="41"/>
      <c r="F60" s="41"/>
      <c r="G60" s="42"/>
      <c r="H60" s="42"/>
      <c r="I60" s="43"/>
      <c r="J60" s="44"/>
      <c r="K60" s="44"/>
      <c r="L60" s="44"/>
      <c r="M60" s="44"/>
      <c r="N60" s="44"/>
      <c r="O60" s="44"/>
      <c r="P60" s="45"/>
      <c r="Q60" s="45"/>
      <c r="R60" s="31"/>
    </row>
    <row r="61" spans="1:18" s="54" customFormat="1" ht="14.1" customHeight="1" x14ac:dyDescent="0.3">
      <c r="A61" s="61"/>
      <c r="B61" s="40"/>
      <c r="C61" s="40"/>
      <c r="D61" s="40"/>
      <c r="E61" s="41"/>
      <c r="F61" s="41"/>
      <c r="G61" s="42"/>
      <c r="H61" s="42"/>
      <c r="I61" s="43"/>
      <c r="J61" s="44"/>
      <c r="K61" s="44"/>
      <c r="L61" s="44"/>
      <c r="M61" s="44"/>
      <c r="N61" s="44"/>
      <c r="O61" s="44"/>
      <c r="P61" s="45"/>
      <c r="Q61" s="45"/>
      <c r="R61" s="62"/>
    </row>
    <row r="62" spans="1:18" ht="12" customHeight="1" x14ac:dyDescent="0.3">
      <c r="A62" s="30"/>
      <c r="B62" s="40"/>
      <c r="C62" s="240" t="s">
        <v>135</v>
      </c>
      <c r="D62" s="240"/>
      <c r="E62" s="41"/>
      <c r="F62" s="41"/>
      <c r="G62" s="42"/>
      <c r="H62" s="42"/>
      <c r="I62" s="43"/>
      <c r="J62" s="44"/>
      <c r="K62" s="44"/>
      <c r="L62" s="44"/>
      <c r="M62" s="38"/>
      <c r="N62" s="118" t="s">
        <v>136</v>
      </c>
      <c r="O62" s="38"/>
      <c r="P62" s="45"/>
      <c r="Q62" s="45"/>
      <c r="R62" s="31"/>
    </row>
    <row r="63" spans="1:18" ht="12" customHeight="1" x14ac:dyDescent="0.3">
      <c r="A63" s="46"/>
      <c r="B63" s="47"/>
      <c r="C63" s="47"/>
      <c r="D63" s="47"/>
      <c r="E63" s="48"/>
      <c r="F63" s="48"/>
      <c r="G63" s="49"/>
      <c r="H63" s="49"/>
      <c r="I63" s="50"/>
      <c r="J63" s="51"/>
      <c r="K63" s="51"/>
      <c r="L63" s="51"/>
      <c r="M63" s="51"/>
      <c r="N63" s="51"/>
      <c r="O63" s="51"/>
      <c r="P63" s="52"/>
      <c r="Q63" s="52"/>
      <c r="R63" s="53"/>
    </row>
    <row r="64" spans="1:18" ht="15.9" customHeight="1" x14ac:dyDescent="0.3">
      <c r="B64" s="40"/>
      <c r="C64" s="40"/>
      <c r="D64" s="40"/>
      <c r="E64" s="41"/>
      <c r="F64" s="41"/>
      <c r="G64" s="42"/>
      <c r="H64" s="42"/>
      <c r="I64" s="43"/>
      <c r="J64" s="44"/>
      <c r="K64" s="44"/>
      <c r="L64" s="44"/>
      <c r="M64" s="44"/>
      <c r="N64" s="44"/>
      <c r="O64" s="44"/>
      <c r="P64" s="45"/>
      <c r="Q64" s="45"/>
    </row>
    <row r="65" spans="2:17" ht="15.9" customHeight="1" x14ac:dyDescent="0.3">
      <c r="B65" s="40"/>
      <c r="C65" s="40"/>
      <c r="D65" s="40"/>
      <c r="E65" s="41"/>
      <c r="F65" s="41"/>
      <c r="G65" s="42"/>
      <c r="H65" s="42"/>
      <c r="I65" s="43"/>
      <c r="J65" s="63"/>
      <c r="K65" s="63"/>
      <c r="L65" s="63"/>
      <c r="M65" s="63"/>
      <c r="N65" s="63"/>
      <c r="O65" s="63"/>
      <c r="P65" s="45"/>
      <c r="Q65" s="45"/>
    </row>
    <row r="66" spans="2:17" ht="15.9" customHeight="1" x14ac:dyDescent="0.3"/>
    <row r="67" spans="2:17" ht="15.9" customHeight="1" x14ac:dyDescent="0.3"/>
    <row r="68" spans="2:17" ht="15.9" customHeight="1" x14ac:dyDescent="0.3"/>
    <row r="69" spans="2:17" ht="15.9" customHeight="1" x14ac:dyDescent="0.3"/>
    <row r="70" spans="2:17" ht="15.9" customHeight="1" x14ac:dyDescent="0.3"/>
    <row r="71" spans="2:17" ht="15.9" customHeight="1" x14ac:dyDescent="0.3"/>
    <row r="72" spans="2:17" ht="15.9" customHeight="1" x14ac:dyDescent="0.3"/>
    <row r="73" spans="2:17" ht="15.9" customHeight="1" x14ac:dyDescent="0.3"/>
    <row r="74" spans="2:17" ht="15.9" customHeight="1" x14ac:dyDescent="0.3"/>
    <row r="75" spans="2:17" ht="15.9" customHeight="1" x14ac:dyDescent="0.3"/>
    <row r="76" spans="2:17" ht="15.9" customHeight="1" x14ac:dyDescent="0.3"/>
    <row r="77" spans="2:17" ht="15.9" customHeight="1" x14ac:dyDescent="0.3"/>
    <row r="78" spans="2:17" ht="15.9" customHeight="1" x14ac:dyDescent="0.3"/>
    <row r="79" spans="2:17" ht="15.9" customHeight="1" x14ac:dyDescent="0.3"/>
    <row r="80" spans="2:17" ht="15.9" customHeight="1" x14ac:dyDescent="0.3"/>
    <row r="81" ht="15.9" customHeight="1" x14ac:dyDescent="0.3"/>
    <row r="82" ht="15.9" customHeight="1" x14ac:dyDescent="0.3"/>
    <row r="83" ht="15.9" customHeight="1" x14ac:dyDescent="0.3"/>
    <row r="84" ht="15.9" customHeight="1" x14ac:dyDescent="0.3"/>
    <row r="85" ht="15.9" customHeight="1" x14ac:dyDescent="0.3"/>
    <row r="86" ht="15.9" customHeight="1" x14ac:dyDescent="0.3"/>
    <row r="87" ht="15.9" customHeight="1" x14ac:dyDescent="0.3"/>
    <row r="88" ht="15.9" customHeight="1" x14ac:dyDescent="0.3"/>
    <row r="89" ht="15.9" customHeight="1" x14ac:dyDescent="0.3"/>
    <row r="90" ht="15.9" customHeight="1" x14ac:dyDescent="0.3"/>
    <row r="91" ht="15.9" customHeight="1" x14ac:dyDescent="0.3"/>
    <row r="92" ht="15.9" customHeight="1" x14ac:dyDescent="0.3"/>
    <row r="93" ht="15.9" customHeight="1" x14ac:dyDescent="0.3"/>
    <row r="94" ht="15.9" customHeight="1" x14ac:dyDescent="0.3"/>
    <row r="95" ht="15.9" customHeight="1" x14ac:dyDescent="0.3"/>
    <row r="96" ht="15.9" customHeight="1" x14ac:dyDescent="0.3"/>
    <row r="97" ht="15.9" customHeight="1" x14ac:dyDescent="0.3"/>
    <row r="98" ht="15.9" customHeight="1" x14ac:dyDescent="0.3"/>
    <row r="99" ht="15.9" customHeight="1" x14ac:dyDescent="0.3"/>
    <row r="100" ht="15.9" customHeight="1" x14ac:dyDescent="0.3"/>
    <row r="101" ht="15.9" customHeight="1" x14ac:dyDescent="0.3"/>
    <row r="102" ht="15.9" customHeight="1" x14ac:dyDescent="0.3"/>
    <row r="103" ht="15.9" customHeight="1" x14ac:dyDescent="0.3"/>
    <row r="104" ht="15.9" customHeight="1" x14ac:dyDescent="0.3"/>
    <row r="105" ht="15.9" customHeight="1" x14ac:dyDescent="0.3"/>
    <row r="106" ht="15.9" customHeight="1" x14ac:dyDescent="0.3"/>
    <row r="107" ht="15.9" customHeight="1" x14ac:dyDescent="0.3"/>
    <row r="108" ht="15.9" customHeight="1" x14ac:dyDescent="0.3"/>
    <row r="109" ht="15.9" customHeight="1" x14ac:dyDescent="0.3"/>
    <row r="110" ht="15.9" customHeight="1" x14ac:dyDescent="0.3"/>
    <row r="111" ht="15.9" customHeight="1" x14ac:dyDescent="0.3"/>
    <row r="112" ht="15.9" customHeight="1" x14ac:dyDescent="0.3"/>
    <row r="113" ht="15.9" customHeight="1" x14ac:dyDescent="0.3"/>
    <row r="114" ht="15.9" customHeight="1" x14ac:dyDescent="0.3"/>
    <row r="115" ht="15.9" customHeight="1" x14ac:dyDescent="0.3"/>
    <row r="116" ht="15.9" customHeight="1" x14ac:dyDescent="0.3"/>
    <row r="117" ht="15.9" customHeight="1" x14ac:dyDescent="0.3"/>
    <row r="118" ht="15.9" customHeight="1" x14ac:dyDescent="0.3"/>
    <row r="119" ht="15.9" customHeight="1" x14ac:dyDescent="0.3"/>
    <row r="120" ht="15.9" customHeight="1" x14ac:dyDescent="0.3"/>
    <row r="121" ht="15.9" customHeight="1" x14ac:dyDescent="0.3"/>
    <row r="122" ht="15.9" customHeight="1" x14ac:dyDescent="0.3"/>
    <row r="123" ht="15.9" customHeight="1" x14ac:dyDescent="0.3"/>
    <row r="124" ht="15.9" customHeight="1" x14ac:dyDescent="0.3"/>
    <row r="125" ht="15.9" customHeight="1" x14ac:dyDescent="0.3"/>
    <row r="126" ht="15.9" customHeight="1" x14ac:dyDescent="0.3"/>
    <row r="127" ht="15.9" customHeight="1" x14ac:dyDescent="0.3"/>
    <row r="128" ht="15.9" customHeight="1" x14ac:dyDescent="0.3"/>
    <row r="129" ht="15.9" customHeight="1" x14ac:dyDescent="0.3"/>
    <row r="130" ht="15.9" customHeight="1" x14ac:dyDescent="0.3"/>
    <row r="131" ht="15.9" customHeight="1" x14ac:dyDescent="0.3"/>
    <row r="132" ht="15.9" customHeight="1" x14ac:dyDescent="0.3"/>
    <row r="133" ht="15.9" customHeight="1" x14ac:dyDescent="0.3"/>
    <row r="134" ht="15.9" customHeight="1" x14ac:dyDescent="0.3"/>
    <row r="135" ht="15.9" customHeight="1" x14ac:dyDescent="0.3"/>
    <row r="136" ht="15.9" customHeight="1" x14ac:dyDescent="0.3"/>
    <row r="137" ht="15.9" customHeight="1" x14ac:dyDescent="0.3"/>
    <row r="138" ht="15.9" customHeight="1" x14ac:dyDescent="0.3"/>
    <row r="139" ht="15.9" customHeight="1" x14ac:dyDescent="0.3"/>
    <row r="140" ht="15.9" customHeight="1" x14ac:dyDescent="0.3"/>
    <row r="141" ht="15.9" customHeight="1" x14ac:dyDescent="0.3"/>
    <row r="142" ht="15.9" customHeight="1" x14ac:dyDescent="0.3"/>
    <row r="143" ht="15.9" customHeight="1" x14ac:dyDescent="0.3"/>
    <row r="144" ht="15.9" customHeight="1" x14ac:dyDescent="0.3"/>
    <row r="145" ht="15.9" customHeight="1" x14ac:dyDescent="0.3"/>
    <row r="146" ht="15.9" customHeight="1" x14ac:dyDescent="0.3"/>
    <row r="147" ht="15.9" customHeight="1" x14ac:dyDescent="0.3"/>
    <row r="148" ht="15.9" customHeight="1" x14ac:dyDescent="0.3"/>
    <row r="149" ht="15.9" customHeight="1" x14ac:dyDescent="0.3"/>
    <row r="150" ht="15.9" customHeight="1" x14ac:dyDescent="0.3"/>
    <row r="151" ht="15.9" customHeight="1" x14ac:dyDescent="0.3"/>
    <row r="152" ht="15.9" customHeight="1" x14ac:dyDescent="0.3"/>
    <row r="153" ht="15.9" customHeight="1" x14ac:dyDescent="0.3"/>
    <row r="154" ht="15.9" customHeight="1" x14ac:dyDescent="0.3"/>
    <row r="155" ht="15.9" customHeight="1" x14ac:dyDescent="0.3"/>
    <row r="156" ht="15.9" customHeight="1" x14ac:dyDescent="0.3"/>
    <row r="157" ht="15.9" customHeight="1" x14ac:dyDescent="0.3"/>
    <row r="158" ht="15.9" customHeight="1" x14ac:dyDescent="0.3"/>
    <row r="159" ht="15.9" customHeight="1" x14ac:dyDescent="0.3"/>
    <row r="160" ht="15.9" customHeight="1" x14ac:dyDescent="0.3"/>
    <row r="161" ht="15.9" customHeight="1" x14ac:dyDescent="0.3"/>
    <row r="162" ht="15.9" customHeight="1" x14ac:dyDescent="0.3"/>
    <row r="163" ht="15.9" customHeight="1" x14ac:dyDescent="0.3"/>
    <row r="164" ht="15.9" customHeight="1" x14ac:dyDescent="0.3"/>
    <row r="165" ht="15.9" customHeight="1" x14ac:dyDescent="0.3"/>
    <row r="166" ht="15.9" customHeight="1" x14ac:dyDescent="0.3"/>
    <row r="167" ht="15.9" customHeight="1" x14ac:dyDescent="0.3"/>
    <row r="168" ht="15.9" customHeight="1" x14ac:dyDescent="0.3"/>
    <row r="169" ht="15.9" customHeight="1" x14ac:dyDescent="0.3"/>
    <row r="170" ht="15.9" customHeight="1" x14ac:dyDescent="0.3"/>
    <row r="171" ht="15.9" customHeight="1" x14ac:dyDescent="0.3"/>
    <row r="172" ht="15.9" customHeight="1" x14ac:dyDescent="0.3"/>
    <row r="173" ht="15.9" customHeight="1" x14ac:dyDescent="0.3"/>
    <row r="174" ht="15.9" customHeight="1" x14ac:dyDescent="0.3"/>
    <row r="175" ht="15.9" customHeight="1" x14ac:dyDescent="0.3"/>
    <row r="176" ht="15.9" customHeight="1" x14ac:dyDescent="0.3"/>
    <row r="177" ht="15.9" customHeight="1" x14ac:dyDescent="0.3"/>
    <row r="178" ht="15.9" customHeight="1" x14ac:dyDescent="0.3"/>
    <row r="179" ht="15.9" customHeight="1" x14ac:dyDescent="0.3"/>
    <row r="180" ht="15.9" customHeight="1" x14ac:dyDescent="0.3"/>
    <row r="181" ht="15.9" customHeight="1" x14ac:dyDescent="0.3"/>
    <row r="182" ht="15.9" customHeight="1" x14ac:dyDescent="0.3"/>
    <row r="183" ht="15.9" customHeight="1" x14ac:dyDescent="0.3"/>
    <row r="184" ht="15.9" customHeight="1" x14ac:dyDescent="0.3"/>
    <row r="185" ht="15.9" customHeight="1" x14ac:dyDescent="0.3"/>
    <row r="186" ht="15.9" customHeight="1" x14ac:dyDescent="0.3"/>
    <row r="187" ht="15.9" customHeight="1" x14ac:dyDescent="0.3"/>
    <row r="188" ht="15.9" customHeight="1" x14ac:dyDescent="0.3"/>
    <row r="189" ht="15.9" customHeight="1" x14ac:dyDescent="0.3"/>
    <row r="190" ht="15.9" customHeight="1" x14ac:dyDescent="0.3"/>
    <row r="191" ht="15.9" customHeight="1" x14ac:dyDescent="0.3"/>
    <row r="192" ht="15.9" customHeight="1" x14ac:dyDescent="0.3"/>
    <row r="193" ht="15.9" customHeight="1" x14ac:dyDescent="0.3"/>
    <row r="194" ht="15.9" customHeight="1" x14ac:dyDescent="0.3"/>
    <row r="195" ht="15.9" customHeight="1" x14ac:dyDescent="0.3"/>
    <row r="196" ht="15.9" customHeight="1" x14ac:dyDescent="0.3"/>
    <row r="197" ht="15.9" customHeight="1" x14ac:dyDescent="0.3"/>
    <row r="198" ht="15.9" customHeight="1" x14ac:dyDescent="0.3"/>
    <row r="199" ht="15.9" customHeight="1" x14ac:dyDescent="0.3"/>
    <row r="200" ht="15.9" customHeight="1" x14ac:dyDescent="0.3"/>
    <row r="201" ht="15.9" customHeight="1" x14ac:dyDescent="0.3"/>
    <row r="202" ht="15.9" customHeight="1" x14ac:dyDescent="0.3"/>
    <row r="203" ht="15.9" customHeight="1" x14ac:dyDescent="0.3"/>
    <row r="204" ht="15.9" customHeight="1" x14ac:dyDescent="0.3"/>
    <row r="205" ht="15.9" customHeight="1" x14ac:dyDescent="0.3"/>
    <row r="206" ht="15.9" customHeight="1" x14ac:dyDescent="0.3"/>
    <row r="207" ht="15.9" customHeight="1" x14ac:dyDescent="0.3"/>
    <row r="208" ht="15.9" customHeight="1" x14ac:dyDescent="0.3"/>
    <row r="209" ht="15.9" customHeight="1" x14ac:dyDescent="0.3"/>
    <row r="210" ht="15.9" customHeight="1" x14ac:dyDescent="0.3"/>
    <row r="211" ht="15.9" customHeight="1" x14ac:dyDescent="0.3"/>
    <row r="212" ht="15.9" customHeight="1" x14ac:dyDescent="0.3"/>
    <row r="213" ht="15.9" customHeight="1" x14ac:dyDescent="0.3"/>
    <row r="214" ht="15.9" customHeight="1" x14ac:dyDescent="0.3"/>
    <row r="215" ht="15.9" customHeight="1" x14ac:dyDescent="0.3"/>
    <row r="216" ht="15.9" customHeight="1" x14ac:dyDescent="0.3"/>
    <row r="217" ht="15.9" customHeight="1" x14ac:dyDescent="0.3"/>
    <row r="218" ht="15.9" customHeight="1" x14ac:dyDescent="0.3"/>
    <row r="219" ht="15.9" customHeight="1" x14ac:dyDescent="0.3"/>
    <row r="220" ht="15.9" customHeight="1" x14ac:dyDescent="0.3"/>
    <row r="221" ht="15.9" customHeight="1" x14ac:dyDescent="0.3"/>
    <row r="222" ht="15.9" customHeight="1" x14ac:dyDescent="0.3"/>
    <row r="223" ht="15.9" customHeight="1" x14ac:dyDescent="0.3"/>
    <row r="224" ht="15.9" customHeight="1" x14ac:dyDescent="0.3"/>
    <row r="225" ht="15.9" customHeight="1" x14ac:dyDescent="0.3"/>
    <row r="226" ht="15.9" customHeight="1" x14ac:dyDescent="0.3"/>
    <row r="227" ht="15.9" customHeight="1" x14ac:dyDescent="0.3"/>
    <row r="228" ht="15.9" customHeight="1" x14ac:dyDescent="0.3"/>
    <row r="229" ht="15.9" customHeight="1" x14ac:dyDescent="0.3"/>
    <row r="230" ht="15.9" customHeight="1" x14ac:dyDescent="0.3"/>
    <row r="231" ht="15.9" customHeight="1" x14ac:dyDescent="0.3"/>
    <row r="232" ht="15.9" customHeight="1" x14ac:dyDescent="0.3"/>
    <row r="233" ht="15.9" customHeight="1" x14ac:dyDescent="0.3"/>
    <row r="234" ht="15.9" customHeight="1" x14ac:dyDescent="0.3"/>
    <row r="235" ht="15.9" customHeight="1" x14ac:dyDescent="0.3"/>
    <row r="236" ht="15.9" customHeight="1" x14ac:dyDescent="0.3"/>
    <row r="237" ht="15.9" customHeight="1" x14ac:dyDescent="0.3"/>
    <row r="238" ht="15.9" customHeight="1" x14ac:dyDescent="0.3"/>
    <row r="239" ht="15.9" customHeight="1" x14ac:dyDescent="0.3"/>
    <row r="240" ht="15.9" customHeight="1" x14ac:dyDescent="0.3"/>
    <row r="241" ht="15.9" customHeight="1" x14ac:dyDescent="0.3"/>
    <row r="242" ht="15.9" customHeight="1" x14ac:dyDescent="0.3"/>
    <row r="243" ht="15.9" customHeight="1" x14ac:dyDescent="0.3"/>
    <row r="244" ht="15.9" customHeight="1" x14ac:dyDescent="0.3"/>
    <row r="245" ht="15.9" customHeight="1" x14ac:dyDescent="0.3"/>
    <row r="246" ht="15.9" customHeight="1" x14ac:dyDescent="0.3"/>
    <row r="247" ht="15.9" customHeight="1" x14ac:dyDescent="0.3"/>
    <row r="248" ht="15.9" customHeight="1" x14ac:dyDescent="0.3"/>
    <row r="249" ht="15.9" customHeight="1" x14ac:dyDescent="0.3"/>
    <row r="250" ht="15.9" customHeight="1" x14ac:dyDescent="0.3"/>
    <row r="251" ht="15.9" customHeight="1" x14ac:dyDescent="0.3"/>
    <row r="252" ht="15.9" customHeight="1" x14ac:dyDescent="0.3"/>
    <row r="253" ht="15.9" customHeight="1" x14ac:dyDescent="0.3"/>
    <row r="254" ht="15.9" customHeight="1" x14ac:dyDescent="0.3"/>
    <row r="255" ht="15.9" customHeight="1" x14ac:dyDescent="0.3"/>
    <row r="256" ht="15.9" customHeight="1" x14ac:dyDescent="0.3"/>
    <row r="257" ht="15.9" customHeight="1" x14ac:dyDescent="0.3"/>
    <row r="258" ht="15.9" customHeight="1" x14ac:dyDescent="0.3"/>
    <row r="259" ht="15.9" customHeight="1" x14ac:dyDescent="0.3"/>
    <row r="260" ht="15.9" customHeight="1" x14ac:dyDescent="0.3"/>
    <row r="261" ht="15.9" customHeight="1" x14ac:dyDescent="0.3"/>
    <row r="262" ht="15.9" customHeight="1" x14ac:dyDescent="0.3"/>
    <row r="263" ht="15.9" customHeight="1" x14ac:dyDescent="0.3"/>
    <row r="264" ht="15.9" customHeight="1" x14ac:dyDescent="0.3"/>
    <row r="265" ht="15.9" customHeight="1" x14ac:dyDescent="0.3"/>
    <row r="266" ht="15.9" customHeight="1" x14ac:dyDescent="0.3"/>
    <row r="267" ht="15.9" customHeight="1" x14ac:dyDescent="0.3"/>
    <row r="268" ht="15.9" customHeight="1" x14ac:dyDescent="0.3"/>
    <row r="269" ht="15.9" customHeight="1" x14ac:dyDescent="0.3"/>
    <row r="270" ht="15.9" customHeight="1" x14ac:dyDescent="0.3"/>
    <row r="271" ht="15.9" customHeight="1" x14ac:dyDescent="0.3"/>
    <row r="272" ht="15.9" customHeight="1" x14ac:dyDescent="0.3"/>
    <row r="273" ht="15.9" customHeight="1" x14ac:dyDescent="0.3"/>
    <row r="274" ht="15.9" customHeight="1" x14ac:dyDescent="0.3"/>
    <row r="275" ht="15.9" customHeight="1" x14ac:dyDescent="0.3"/>
    <row r="276" ht="15.9" customHeight="1" x14ac:dyDescent="0.3"/>
    <row r="277" ht="15.9" customHeight="1" x14ac:dyDescent="0.3"/>
    <row r="278" ht="15.9" customHeight="1" x14ac:dyDescent="0.3"/>
    <row r="279" ht="15.9" customHeight="1" x14ac:dyDescent="0.3"/>
    <row r="280" ht="15.9" customHeight="1" x14ac:dyDescent="0.3"/>
    <row r="281" ht="15.9" customHeight="1" x14ac:dyDescent="0.3"/>
    <row r="282" ht="15.9" customHeight="1" x14ac:dyDescent="0.3"/>
    <row r="283" ht="15.9" customHeight="1" x14ac:dyDescent="0.3"/>
    <row r="284" ht="15.9" customHeight="1" x14ac:dyDescent="0.3"/>
    <row r="285" ht="15.9" customHeight="1" x14ac:dyDescent="0.3"/>
    <row r="286" ht="15.9" customHeight="1" x14ac:dyDescent="0.3"/>
    <row r="287" ht="15.9" customHeight="1" x14ac:dyDescent="0.3"/>
    <row r="288" ht="15.9" customHeight="1" x14ac:dyDescent="0.3"/>
    <row r="289" ht="15.9" customHeight="1" x14ac:dyDescent="0.3"/>
    <row r="290" ht="15.9" customHeight="1" x14ac:dyDescent="0.3"/>
    <row r="291" ht="15.9" customHeight="1" x14ac:dyDescent="0.3"/>
    <row r="292" ht="15.9" customHeight="1" x14ac:dyDescent="0.3"/>
    <row r="293" ht="15.9" customHeight="1" x14ac:dyDescent="0.3"/>
    <row r="294" ht="15.9" customHeight="1" x14ac:dyDescent="0.3"/>
    <row r="295" ht="15.9" customHeight="1" x14ac:dyDescent="0.3"/>
    <row r="296" ht="15.9" customHeight="1" x14ac:dyDescent="0.3"/>
    <row r="297" ht="15.9" customHeight="1" x14ac:dyDescent="0.3"/>
    <row r="298" ht="15.9" customHeight="1" x14ac:dyDescent="0.3"/>
    <row r="299" ht="15.9" customHeight="1" x14ac:dyDescent="0.3"/>
    <row r="300" ht="15.9" customHeight="1" x14ac:dyDescent="0.3"/>
    <row r="301" ht="15.9" customHeight="1" x14ac:dyDescent="0.3"/>
    <row r="302" ht="15.9" customHeight="1" x14ac:dyDescent="0.3"/>
    <row r="303" ht="15.9" customHeight="1" x14ac:dyDescent="0.3"/>
    <row r="304" ht="15.9" customHeight="1" x14ac:dyDescent="0.3"/>
    <row r="305" ht="15.9" customHeight="1" x14ac:dyDescent="0.3"/>
    <row r="306" ht="15.9" customHeight="1" x14ac:dyDescent="0.3"/>
    <row r="307" ht="15.9" customHeight="1" x14ac:dyDescent="0.3"/>
    <row r="308" ht="15.9" customHeight="1" x14ac:dyDescent="0.3"/>
    <row r="309" ht="15.9" customHeight="1" x14ac:dyDescent="0.3"/>
    <row r="310" ht="15.9" customHeight="1" x14ac:dyDescent="0.3"/>
    <row r="311" ht="15.9" customHeight="1" x14ac:dyDescent="0.3"/>
    <row r="312" ht="15.9" customHeight="1" x14ac:dyDescent="0.3"/>
    <row r="313" ht="15.9" customHeight="1" x14ac:dyDescent="0.3"/>
    <row r="314" ht="15.9" customHeight="1" x14ac:dyDescent="0.3"/>
    <row r="315" ht="15.9" customHeight="1" x14ac:dyDescent="0.3"/>
    <row r="316" ht="15.9" customHeight="1" x14ac:dyDescent="0.3"/>
    <row r="317" ht="15.9" customHeight="1" x14ac:dyDescent="0.3"/>
    <row r="318" ht="15.9" customHeight="1" x14ac:dyDescent="0.3"/>
    <row r="319" ht="15.9" customHeight="1" x14ac:dyDescent="0.3"/>
    <row r="320" ht="15.9" customHeight="1" x14ac:dyDescent="0.3"/>
    <row r="321" ht="15.9" customHeight="1" x14ac:dyDescent="0.3"/>
    <row r="322" ht="15.9" customHeight="1" x14ac:dyDescent="0.3"/>
    <row r="323" ht="15.9" customHeight="1" x14ac:dyDescent="0.3"/>
    <row r="324" ht="15.9" customHeight="1" x14ac:dyDescent="0.3"/>
    <row r="325" ht="15.9" customHeight="1" x14ac:dyDescent="0.3"/>
    <row r="326" ht="15.9" customHeight="1" x14ac:dyDescent="0.3"/>
    <row r="327" ht="15.9" customHeight="1" x14ac:dyDescent="0.3"/>
    <row r="328" ht="15.9" customHeight="1" x14ac:dyDescent="0.3"/>
    <row r="329" ht="15.9" customHeight="1" x14ac:dyDescent="0.3"/>
    <row r="330" ht="15.9" customHeight="1" x14ac:dyDescent="0.3"/>
    <row r="331" ht="15.9" customHeight="1" x14ac:dyDescent="0.3"/>
    <row r="332" ht="15.9" customHeight="1" x14ac:dyDescent="0.3"/>
    <row r="333" ht="15.9" customHeight="1" x14ac:dyDescent="0.3"/>
    <row r="334" ht="15.9" customHeight="1" x14ac:dyDescent="0.3"/>
    <row r="335" ht="15.9" customHeight="1" x14ac:dyDescent="0.3"/>
    <row r="336" ht="15.9" customHeight="1" x14ac:dyDescent="0.3"/>
    <row r="337" ht="15.9" customHeight="1" x14ac:dyDescent="0.3"/>
    <row r="338" ht="15.9" customHeight="1" x14ac:dyDescent="0.3"/>
    <row r="339" ht="15.9" customHeight="1" x14ac:dyDescent="0.3"/>
    <row r="340" ht="15.9" customHeight="1" x14ac:dyDescent="0.3"/>
    <row r="341" ht="15.9" customHeight="1" x14ac:dyDescent="0.3"/>
    <row r="342" ht="15.9" customHeight="1" x14ac:dyDescent="0.3"/>
    <row r="343" ht="15.9" customHeight="1" x14ac:dyDescent="0.3"/>
    <row r="344" ht="15.9" customHeight="1" x14ac:dyDescent="0.3"/>
    <row r="345" ht="15.9" customHeight="1" x14ac:dyDescent="0.3"/>
    <row r="346" ht="15.9" customHeight="1" x14ac:dyDescent="0.3"/>
    <row r="347" ht="15.9" customHeight="1" x14ac:dyDescent="0.3"/>
    <row r="348" ht="15.9" customHeight="1" x14ac:dyDescent="0.3"/>
    <row r="349" ht="15.9" customHeight="1" x14ac:dyDescent="0.3"/>
    <row r="350" ht="15.9" customHeight="1" x14ac:dyDescent="0.3"/>
    <row r="351" ht="15.9" customHeight="1" x14ac:dyDescent="0.3"/>
    <row r="352" ht="15.9" customHeight="1" x14ac:dyDescent="0.3"/>
    <row r="353" ht="15.9" customHeight="1" x14ac:dyDescent="0.3"/>
    <row r="354" ht="15.9" customHeight="1" x14ac:dyDescent="0.3"/>
    <row r="355" ht="15.9" customHeight="1" x14ac:dyDescent="0.3"/>
    <row r="356" ht="15.9" customHeight="1" x14ac:dyDescent="0.3"/>
    <row r="357" ht="15.9" customHeight="1" x14ac:dyDescent="0.3"/>
    <row r="358" ht="15.9" customHeight="1" x14ac:dyDescent="0.3"/>
    <row r="359" ht="15.9" customHeight="1" x14ac:dyDescent="0.3"/>
    <row r="360" ht="15.9" customHeight="1" x14ac:dyDescent="0.3"/>
    <row r="361" ht="15.9" customHeight="1" x14ac:dyDescent="0.3"/>
    <row r="362" ht="15.9" customHeight="1" x14ac:dyDescent="0.3"/>
    <row r="363" ht="15.9" customHeight="1" x14ac:dyDescent="0.3"/>
    <row r="364" ht="15.9" customHeight="1" x14ac:dyDescent="0.3"/>
    <row r="365" ht="15.9" customHeight="1" x14ac:dyDescent="0.3"/>
    <row r="366" ht="15.9" customHeight="1" x14ac:dyDescent="0.3"/>
    <row r="367" ht="15.9" customHeight="1" x14ac:dyDescent="0.3"/>
    <row r="368" ht="15.9" customHeight="1" x14ac:dyDescent="0.3"/>
    <row r="369" ht="15.9" customHeight="1" x14ac:dyDescent="0.3"/>
    <row r="370" ht="15.9" customHeight="1" x14ac:dyDescent="0.3"/>
    <row r="371" ht="15.9" customHeight="1" x14ac:dyDescent="0.3"/>
    <row r="372" ht="15.9" customHeight="1" x14ac:dyDescent="0.3"/>
    <row r="373" ht="15.9" customHeight="1" x14ac:dyDescent="0.3"/>
    <row r="374" ht="15.9" customHeight="1" x14ac:dyDescent="0.3"/>
    <row r="375" ht="15.9" customHeight="1" x14ac:dyDescent="0.3"/>
    <row r="376" ht="15.9" customHeight="1" x14ac:dyDescent="0.3"/>
    <row r="377" ht="15.9" customHeight="1" x14ac:dyDescent="0.3"/>
    <row r="378" ht="15.9" customHeight="1" x14ac:dyDescent="0.3"/>
    <row r="379" ht="15.9" customHeight="1" x14ac:dyDescent="0.3"/>
    <row r="380" ht="15.9" customHeight="1" x14ac:dyDescent="0.3"/>
    <row r="381" ht="15.9" customHeight="1" x14ac:dyDescent="0.3"/>
    <row r="382" ht="15.9" customHeight="1" x14ac:dyDescent="0.3"/>
    <row r="383" ht="15.9" customHeight="1" x14ac:dyDescent="0.3"/>
    <row r="384" ht="15.9" customHeight="1" x14ac:dyDescent="0.3"/>
    <row r="385" ht="15.9" customHeight="1" x14ac:dyDescent="0.3"/>
    <row r="386" ht="15.9" customHeight="1" x14ac:dyDescent="0.3"/>
    <row r="387" ht="15.9" customHeight="1" x14ac:dyDescent="0.3"/>
    <row r="388" ht="15.9" customHeight="1" x14ac:dyDescent="0.3"/>
    <row r="389" ht="15.9" customHeight="1" x14ac:dyDescent="0.3"/>
    <row r="390" ht="15.9" customHeight="1" x14ac:dyDescent="0.3"/>
    <row r="391" ht="15.9" customHeight="1" x14ac:dyDescent="0.3"/>
    <row r="392" ht="15.9" customHeight="1" x14ac:dyDescent="0.3"/>
    <row r="393" ht="15.9" customHeight="1" x14ac:dyDescent="0.3"/>
    <row r="394" ht="15.9" customHeight="1" x14ac:dyDescent="0.3"/>
    <row r="395" ht="15.9" customHeight="1" x14ac:dyDescent="0.3"/>
    <row r="396" ht="15.9" customHeight="1" x14ac:dyDescent="0.3"/>
    <row r="397" ht="15.9" customHeight="1" x14ac:dyDescent="0.3"/>
    <row r="398" ht="15.9" customHeight="1" x14ac:dyDescent="0.3"/>
    <row r="399" ht="15.9" customHeight="1" x14ac:dyDescent="0.3"/>
    <row r="400" ht="15.9" customHeight="1" x14ac:dyDescent="0.3"/>
    <row r="401" ht="15.9" customHeight="1" x14ac:dyDescent="0.3"/>
    <row r="402" ht="15.9" customHeight="1" x14ac:dyDescent="0.3"/>
    <row r="403" ht="15.9" customHeight="1" x14ac:dyDescent="0.3"/>
    <row r="404" ht="15.9" customHeight="1" x14ac:dyDescent="0.3"/>
    <row r="405" ht="15.9" customHeight="1" x14ac:dyDescent="0.3"/>
    <row r="406" ht="15.9" customHeight="1" x14ac:dyDescent="0.3"/>
    <row r="407" ht="15.9" customHeight="1" x14ac:dyDescent="0.3"/>
    <row r="408" ht="15.9" customHeight="1" x14ac:dyDescent="0.3"/>
    <row r="409" ht="15.9" customHeight="1" x14ac:dyDescent="0.3"/>
    <row r="410" ht="15.9" customHeight="1" x14ac:dyDescent="0.3"/>
    <row r="411" ht="15.9" customHeight="1" x14ac:dyDescent="0.3"/>
    <row r="412" ht="15.9" customHeight="1" x14ac:dyDescent="0.3"/>
    <row r="413" ht="15.9" customHeight="1" x14ac:dyDescent="0.3"/>
    <row r="414" ht="15.9" customHeight="1" x14ac:dyDescent="0.3"/>
    <row r="415" ht="15.9" customHeight="1" x14ac:dyDescent="0.3"/>
    <row r="416" ht="15.9" customHeight="1" x14ac:dyDescent="0.3"/>
    <row r="417" ht="15.9" customHeight="1" x14ac:dyDescent="0.3"/>
    <row r="418" ht="15.9" customHeight="1" x14ac:dyDescent="0.3"/>
    <row r="419" ht="15.9" customHeight="1" x14ac:dyDescent="0.3"/>
    <row r="420" ht="15.9" customHeight="1" x14ac:dyDescent="0.3"/>
    <row r="421" ht="15.9" customHeight="1" x14ac:dyDescent="0.3"/>
    <row r="422" ht="15.9" customHeight="1" x14ac:dyDescent="0.3"/>
    <row r="423" ht="15.9" customHeight="1" x14ac:dyDescent="0.3"/>
    <row r="424" ht="15.9" customHeight="1" x14ac:dyDescent="0.3"/>
    <row r="425" ht="15.9" customHeight="1" x14ac:dyDescent="0.3"/>
    <row r="426" ht="15.9" customHeight="1" x14ac:dyDescent="0.3"/>
    <row r="427" ht="15.9" customHeight="1" x14ac:dyDescent="0.3"/>
    <row r="428" ht="15.9" customHeight="1" x14ac:dyDescent="0.3"/>
    <row r="429" ht="15.9" customHeight="1" x14ac:dyDescent="0.3"/>
    <row r="430" ht="15.9" customHeight="1" x14ac:dyDescent="0.3"/>
    <row r="431" ht="15.9" customHeight="1" x14ac:dyDescent="0.3"/>
    <row r="432" ht="15.9" customHeight="1" x14ac:dyDescent="0.3"/>
    <row r="433" ht="15.9" customHeight="1" x14ac:dyDescent="0.3"/>
    <row r="434" ht="15.9" customHeight="1" x14ac:dyDescent="0.3"/>
    <row r="435" ht="15.9" customHeight="1" x14ac:dyDescent="0.3"/>
    <row r="436" ht="15.9" customHeight="1" x14ac:dyDescent="0.3"/>
    <row r="437" ht="15.9" customHeight="1" x14ac:dyDescent="0.3"/>
    <row r="438" ht="15.9" customHeight="1" x14ac:dyDescent="0.3"/>
    <row r="439" ht="15.9" customHeight="1" x14ac:dyDescent="0.3"/>
    <row r="440" ht="15.9" customHeight="1" x14ac:dyDescent="0.3"/>
    <row r="441" ht="15.9" customHeight="1" x14ac:dyDescent="0.3"/>
    <row r="442" ht="15.9" customHeight="1" x14ac:dyDescent="0.3"/>
    <row r="443" ht="15.9" customHeight="1" x14ac:dyDescent="0.3"/>
    <row r="444" ht="15.9" customHeight="1" x14ac:dyDescent="0.3"/>
    <row r="445" ht="15.9" customHeight="1" x14ac:dyDescent="0.3"/>
    <row r="446" ht="15.9" customHeight="1" x14ac:dyDescent="0.3"/>
    <row r="447" ht="15.9" customHeight="1" x14ac:dyDescent="0.3"/>
    <row r="448" ht="15.9" customHeight="1" x14ac:dyDescent="0.3"/>
    <row r="449" ht="15.9" customHeight="1" x14ac:dyDescent="0.3"/>
    <row r="450" ht="15.9" customHeight="1" x14ac:dyDescent="0.3"/>
    <row r="451" ht="15.9" customHeight="1" x14ac:dyDescent="0.3"/>
    <row r="452" ht="15.9" customHeight="1" x14ac:dyDescent="0.3"/>
    <row r="453" ht="15.9" customHeight="1" x14ac:dyDescent="0.3"/>
    <row r="454" ht="15.9" customHeight="1" x14ac:dyDescent="0.3"/>
    <row r="455" ht="15.9" customHeight="1" x14ac:dyDescent="0.3"/>
    <row r="456" ht="15.9" customHeight="1" x14ac:dyDescent="0.3"/>
    <row r="457" ht="15.9" customHeight="1" x14ac:dyDescent="0.3"/>
    <row r="458" ht="15.9" customHeight="1" x14ac:dyDescent="0.3"/>
    <row r="459" ht="15.9" customHeight="1" x14ac:dyDescent="0.3"/>
    <row r="460" ht="15.9" customHeight="1" x14ac:dyDescent="0.3"/>
    <row r="461" ht="15.9" customHeight="1" x14ac:dyDescent="0.3"/>
    <row r="462" ht="15.9" customHeight="1" x14ac:dyDescent="0.3"/>
    <row r="463" ht="15.9" customHeight="1" x14ac:dyDescent="0.3"/>
    <row r="464" ht="15.9" customHeight="1" x14ac:dyDescent="0.3"/>
    <row r="465" ht="15.9" customHeight="1" x14ac:dyDescent="0.3"/>
    <row r="466" ht="15.9" customHeight="1" x14ac:dyDescent="0.3"/>
    <row r="467" ht="15.9" customHeight="1" x14ac:dyDescent="0.3"/>
    <row r="468" ht="15.9" customHeight="1" x14ac:dyDescent="0.3"/>
    <row r="469" ht="15.9" customHeight="1" x14ac:dyDescent="0.3"/>
    <row r="470" ht="15.9" customHeight="1" x14ac:dyDescent="0.3"/>
    <row r="471" ht="15.9" customHeight="1" x14ac:dyDescent="0.3"/>
    <row r="472" ht="15.9" customHeight="1" x14ac:dyDescent="0.3"/>
    <row r="473" ht="15.9" customHeight="1" x14ac:dyDescent="0.3"/>
    <row r="474" ht="15.9" customHeight="1" x14ac:dyDescent="0.3"/>
    <row r="475" ht="15.9" customHeight="1" x14ac:dyDescent="0.3"/>
    <row r="476" ht="15.9" customHeight="1" x14ac:dyDescent="0.3"/>
    <row r="477" ht="15.9" customHeight="1" x14ac:dyDescent="0.3"/>
    <row r="478" ht="15.9" customHeight="1" x14ac:dyDescent="0.3"/>
    <row r="479" ht="15.9" customHeight="1" x14ac:dyDescent="0.3"/>
    <row r="480" ht="15.9" customHeight="1" x14ac:dyDescent="0.3"/>
    <row r="481" ht="15.9" customHeight="1" x14ac:dyDescent="0.3"/>
    <row r="482" ht="15.9" customHeight="1" x14ac:dyDescent="0.3"/>
    <row r="483" ht="15.9" customHeight="1" x14ac:dyDescent="0.3"/>
    <row r="484" ht="15.9" customHeight="1" x14ac:dyDescent="0.3"/>
    <row r="485" ht="15.9" customHeight="1" x14ac:dyDescent="0.3"/>
    <row r="486" ht="15.9" customHeight="1" x14ac:dyDescent="0.3"/>
    <row r="487" ht="15.9" customHeight="1" x14ac:dyDescent="0.3"/>
    <row r="488" ht="15.9" customHeight="1" x14ac:dyDescent="0.3"/>
    <row r="489" ht="15.9" customHeight="1" x14ac:dyDescent="0.3"/>
    <row r="490" ht="15.9" customHeight="1" x14ac:dyDescent="0.3"/>
    <row r="491" ht="15.9" customHeight="1" x14ac:dyDescent="0.3"/>
    <row r="492" ht="15.9" customHeight="1" x14ac:dyDescent="0.3"/>
    <row r="493" ht="15.9" customHeight="1" x14ac:dyDescent="0.3"/>
    <row r="494" ht="15.9" customHeight="1" x14ac:dyDescent="0.3"/>
    <row r="495" ht="15.9" customHeight="1" x14ac:dyDescent="0.3"/>
    <row r="496" ht="15.9" customHeight="1" x14ac:dyDescent="0.3"/>
    <row r="497" ht="15.9" customHeight="1" x14ac:dyDescent="0.3"/>
    <row r="498" ht="15.9" customHeight="1" x14ac:dyDescent="0.3"/>
    <row r="499" ht="15.9" customHeight="1" x14ac:dyDescent="0.3"/>
    <row r="500" ht="15.9" customHeight="1" x14ac:dyDescent="0.3"/>
    <row r="501" ht="15.9" customHeight="1" x14ac:dyDescent="0.3"/>
    <row r="502" ht="15.9" customHeight="1" x14ac:dyDescent="0.3"/>
    <row r="503" ht="15.9" customHeight="1" x14ac:dyDescent="0.3"/>
    <row r="504" ht="15.9" customHeight="1" x14ac:dyDescent="0.3"/>
    <row r="505" ht="15.9" customHeight="1" x14ac:dyDescent="0.3"/>
    <row r="506" ht="15.9" customHeight="1" x14ac:dyDescent="0.3"/>
    <row r="507" ht="15.9" customHeight="1" x14ac:dyDescent="0.3"/>
    <row r="508" ht="15.9" customHeight="1" x14ac:dyDescent="0.3"/>
    <row r="509" ht="15.9" customHeight="1" x14ac:dyDescent="0.3"/>
    <row r="510" ht="15.9" customHeight="1" x14ac:dyDescent="0.3"/>
    <row r="511" ht="15.9" customHeight="1" x14ac:dyDescent="0.3"/>
    <row r="512" ht="15.9" customHeight="1" x14ac:dyDescent="0.3"/>
    <row r="513" ht="15.9" customHeight="1" x14ac:dyDescent="0.3"/>
    <row r="514" ht="15.9" customHeight="1" x14ac:dyDescent="0.3"/>
    <row r="515" ht="15.9" customHeight="1" x14ac:dyDescent="0.3"/>
    <row r="516" ht="15.9" customHeight="1" x14ac:dyDescent="0.3"/>
    <row r="517" ht="15.9" customHeight="1" x14ac:dyDescent="0.3"/>
    <row r="518" ht="15.9" customHeight="1" x14ac:dyDescent="0.3"/>
    <row r="519" ht="15.9" customHeight="1" x14ac:dyDescent="0.3"/>
    <row r="520" ht="15.9" customHeight="1" x14ac:dyDescent="0.3"/>
    <row r="521" ht="15.9" customHeight="1" x14ac:dyDescent="0.3"/>
    <row r="522" ht="15.9" customHeight="1" x14ac:dyDescent="0.3"/>
    <row r="523" ht="15.9" customHeight="1" x14ac:dyDescent="0.3"/>
    <row r="524" ht="15.9" customHeight="1" x14ac:dyDescent="0.3"/>
    <row r="525" ht="15.9" customHeight="1" x14ac:dyDescent="0.3"/>
    <row r="526" ht="15.9" customHeight="1" x14ac:dyDescent="0.3"/>
    <row r="527" ht="15.9" customHeight="1" x14ac:dyDescent="0.3"/>
    <row r="528" ht="15.9" customHeight="1" x14ac:dyDescent="0.3"/>
    <row r="529" ht="15.9" customHeight="1" x14ac:dyDescent="0.3"/>
    <row r="530" ht="15.9" customHeight="1" x14ac:dyDescent="0.3"/>
    <row r="531" ht="15.9" customHeight="1" x14ac:dyDescent="0.3"/>
    <row r="532" ht="15.9" customHeight="1" x14ac:dyDescent="0.3"/>
    <row r="533" ht="15.9" customHeight="1" x14ac:dyDescent="0.3"/>
    <row r="534" ht="15.9" customHeight="1" x14ac:dyDescent="0.3"/>
    <row r="535" ht="15.9" customHeight="1" x14ac:dyDescent="0.3"/>
    <row r="536" ht="15.9" customHeight="1" x14ac:dyDescent="0.3"/>
    <row r="537" ht="15.9" customHeight="1" x14ac:dyDescent="0.3"/>
    <row r="538" ht="15.9" customHeight="1" x14ac:dyDescent="0.3"/>
    <row r="539" ht="15.9" customHeight="1" x14ac:dyDescent="0.3"/>
    <row r="540" ht="15.9" customHeight="1" x14ac:dyDescent="0.3"/>
    <row r="541" ht="15.9" customHeight="1" x14ac:dyDescent="0.3"/>
    <row r="542" ht="15.9" customHeight="1" x14ac:dyDescent="0.3"/>
    <row r="543" ht="15.9" customHeight="1" x14ac:dyDescent="0.3"/>
    <row r="544" ht="15.9" customHeight="1" x14ac:dyDescent="0.3"/>
    <row r="545" ht="15.9" customHeight="1" x14ac:dyDescent="0.3"/>
    <row r="546" ht="15.9" customHeight="1" x14ac:dyDescent="0.3"/>
  </sheetData>
  <mergeCells count="78">
    <mergeCell ref="C62:D62"/>
    <mergeCell ref="B53:B58"/>
    <mergeCell ref="C53:D58"/>
    <mergeCell ref="E53:F58"/>
    <mergeCell ref="G53:G58"/>
    <mergeCell ref="H53:H58"/>
    <mergeCell ref="P53:Q58"/>
    <mergeCell ref="B47:B52"/>
    <mergeCell ref="C47:D52"/>
    <mergeCell ref="E47:F52"/>
    <mergeCell ref="G47:G52"/>
    <mergeCell ref="H47:H52"/>
    <mergeCell ref="P47:Q52"/>
    <mergeCell ref="P41:Q46"/>
    <mergeCell ref="B35:B40"/>
    <mergeCell ref="C35:D40"/>
    <mergeCell ref="E35:F40"/>
    <mergeCell ref="G35:G40"/>
    <mergeCell ref="H35:H40"/>
    <mergeCell ref="P35:Q40"/>
    <mergeCell ref="B41:B46"/>
    <mergeCell ref="C41:D46"/>
    <mergeCell ref="E41:F46"/>
    <mergeCell ref="G41:G46"/>
    <mergeCell ref="H41:H46"/>
    <mergeCell ref="P29:Q34"/>
    <mergeCell ref="B23:B28"/>
    <mergeCell ref="C23:D28"/>
    <mergeCell ref="E23:F28"/>
    <mergeCell ref="G23:G28"/>
    <mergeCell ref="H23:H28"/>
    <mergeCell ref="P23:Q28"/>
    <mergeCell ref="B29:B34"/>
    <mergeCell ref="C29:D34"/>
    <mergeCell ref="E29:F34"/>
    <mergeCell ref="G29:G34"/>
    <mergeCell ref="H29:H34"/>
    <mergeCell ref="P17:Q22"/>
    <mergeCell ref="B11:B16"/>
    <mergeCell ref="C11:D16"/>
    <mergeCell ref="E11:F16"/>
    <mergeCell ref="G11:G16"/>
    <mergeCell ref="H11:H16"/>
    <mergeCell ref="P11:Q16"/>
    <mergeCell ref="B17:B22"/>
    <mergeCell ref="C17:D22"/>
    <mergeCell ref="E17:F22"/>
    <mergeCell ref="G17:G22"/>
    <mergeCell ref="H17:H22"/>
    <mergeCell ref="P9:Q10"/>
    <mergeCell ref="B7:C7"/>
    <mergeCell ref="D7:H7"/>
    <mergeCell ref="I7:J7"/>
    <mergeCell ref="K7:L7"/>
    <mergeCell ref="P7:Q7"/>
    <mergeCell ref="B8:C8"/>
    <mergeCell ref="F8:H8"/>
    <mergeCell ref="I8:J8"/>
    <mergeCell ref="K8:O8"/>
    <mergeCell ref="B9:B10"/>
    <mergeCell ref="C9:D10"/>
    <mergeCell ref="E9:F10"/>
    <mergeCell ref="G9:G10"/>
    <mergeCell ref="H9:H10"/>
    <mergeCell ref="P6:Q6"/>
    <mergeCell ref="A2:D2"/>
    <mergeCell ref="E2:N3"/>
    <mergeCell ref="O2:R2"/>
    <mergeCell ref="A3:D3"/>
    <mergeCell ref="O3:R3"/>
    <mergeCell ref="B5:C5"/>
    <mergeCell ref="D5:H5"/>
    <mergeCell ref="I5:O5"/>
    <mergeCell ref="B6:C6"/>
    <mergeCell ref="D6:H6"/>
    <mergeCell ref="I6:J6"/>
    <mergeCell ref="K6:L6"/>
    <mergeCell ref="M6:O6"/>
  </mergeCells>
  <printOptions horizontalCentered="1"/>
  <pageMargins left="0.3" right="0.3" top="0.45" bottom="0.75" header="0.3" footer="0.3"/>
  <pageSetup paperSize="9" scale="93" orientation="landscape" r:id="rId1"/>
  <headerFooter>
    <oddFooter>&amp;L&amp;1#&amp;"Calibri"&amp;8 Sensitivity: LNT Construction Internal Use</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tabColor rgb="FFFF0000"/>
  </sheetPr>
  <dimension ref="A1:AA503"/>
  <sheetViews>
    <sheetView showGridLines="0" zoomScaleNormal="100" zoomScaleSheetLayoutView="100" workbookViewId="0">
      <selection activeCell="A5" sqref="A5:XFD5"/>
    </sheetView>
  </sheetViews>
  <sheetFormatPr defaultColWidth="10.44140625" defaultRowHeight="15.6" x14ac:dyDescent="0.3"/>
  <cols>
    <col min="1" max="1" width="1.88671875" style="12" customWidth="1"/>
    <col min="2" max="2" width="6.44140625" style="12" customWidth="1"/>
    <col min="3" max="4" width="12.5546875" style="12" customWidth="1"/>
    <col min="5" max="5" width="7.88671875" style="12" customWidth="1"/>
    <col min="6" max="6" width="30.44140625" style="12" customWidth="1"/>
    <col min="7" max="8" width="6.109375" style="12" customWidth="1"/>
    <col min="9" max="9" width="10.5546875" style="12" customWidth="1"/>
    <col min="10" max="11" width="9" style="12" bestFit="1" customWidth="1"/>
    <col min="12" max="12" width="7.88671875" style="12" customWidth="1"/>
    <col min="13" max="13" width="9" style="12" bestFit="1" customWidth="1"/>
    <col min="14" max="14" width="7.88671875" style="12" customWidth="1"/>
    <col min="15" max="15" width="7.5546875" style="12" customWidth="1"/>
    <col min="16" max="16" width="6.5546875" style="12" customWidth="1"/>
    <col min="17" max="17" width="10.5546875" style="12" customWidth="1"/>
    <col min="18" max="18" width="1.88671875" style="12" customWidth="1"/>
    <col min="19" max="20" width="6.44140625" style="12" customWidth="1"/>
    <col min="21" max="21" width="19.109375" style="12" bestFit="1" customWidth="1"/>
    <col min="22" max="22" width="10.44140625" style="12" bestFit="1" customWidth="1"/>
    <col min="23" max="32" width="6.44140625" style="12" customWidth="1"/>
    <col min="33" max="16384" width="10.44140625" style="12"/>
  </cols>
  <sheetData>
    <row r="1" spans="1:27" ht="50.1" customHeight="1" x14ac:dyDescent="0.3">
      <c r="A1" s="56"/>
      <c r="B1" s="57"/>
      <c r="C1" s="57"/>
      <c r="D1" s="57"/>
      <c r="E1" s="57"/>
      <c r="F1" s="57"/>
      <c r="G1" s="57"/>
      <c r="H1" s="57"/>
      <c r="I1" s="57"/>
      <c r="J1" s="57"/>
      <c r="K1" s="57"/>
      <c r="L1" s="57"/>
      <c r="M1" s="57"/>
      <c r="N1" s="57"/>
      <c r="O1" s="57"/>
      <c r="P1" s="57"/>
      <c r="Q1" s="57"/>
      <c r="R1" s="58"/>
    </row>
    <row r="2" spans="1:27" ht="18" customHeight="1" x14ac:dyDescent="0.3">
      <c r="A2" s="184" t="s">
        <v>23</v>
      </c>
      <c r="B2" s="185"/>
      <c r="C2" s="185"/>
      <c r="D2" s="186"/>
      <c r="E2" s="187" t="s">
        <v>24</v>
      </c>
      <c r="F2" s="188"/>
      <c r="G2" s="188"/>
      <c r="H2" s="188"/>
      <c r="I2" s="188"/>
      <c r="J2" s="188"/>
      <c r="K2" s="188"/>
      <c r="L2" s="188"/>
      <c r="M2" s="188"/>
      <c r="N2" s="189"/>
      <c r="O2" s="193" t="s">
        <v>129</v>
      </c>
      <c r="P2" s="193"/>
      <c r="Q2" s="193"/>
      <c r="R2" s="193"/>
    </row>
    <row r="3" spans="1:27" ht="18" customHeight="1" x14ac:dyDescent="0.3">
      <c r="A3" s="194" t="s">
        <v>25</v>
      </c>
      <c r="B3" s="195"/>
      <c r="C3" s="195"/>
      <c r="D3" s="196"/>
      <c r="E3" s="190"/>
      <c r="F3" s="191"/>
      <c r="G3" s="191"/>
      <c r="H3" s="191"/>
      <c r="I3" s="191"/>
      <c r="J3" s="191"/>
      <c r="K3" s="191"/>
      <c r="L3" s="191"/>
      <c r="M3" s="191"/>
      <c r="N3" s="192"/>
      <c r="O3" s="197" t="s">
        <v>130</v>
      </c>
      <c r="P3" s="197"/>
      <c r="Q3" s="197"/>
      <c r="R3" s="197"/>
    </row>
    <row r="4" spans="1:27" s="5" customFormat="1" ht="7.5" customHeight="1" x14ac:dyDescent="0.3">
      <c r="A4" s="2"/>
      <c r="B4" s="13"/>
      <c r="C4" s="13"/>
      <c r="D4" s="13"/>
      <c r="E4" s="13"/>
      <c r="F4" s="13"/>
      <c r="G4" s="13"/>
      <c r="H4" s="13"/>
      <c r="I4" s="13"/>
      <c r="J4" s="13"/>
      <c r="K4" s="13"/>
      <c r="L4" s="13"/>
      <c r="M4" s="13"/>
      <c r="N4" s="13"/>
      <c r="O4" s="13"/>
      <c r="P4" s="13"/>
      <c r="Q4" s="13"/>
      <c r="R4" s="14"/>
      <c r="S4" s="4"/>
    </row>
    <row r="5" spans="1:27" ht="12" customHeight="1" x14ac:dyDescent="0.25">
      <c r="A5" s="2"/>
      <c r="B5" s="198" t="s">
        <v>26</v>
      </c>
      <c r="C5" s="199"/>
      <c r="D5" s="200" t="s">
        <v>27</v>
      </c>
      <c r="E5" s="201"/>
      <c r="F5" s="201"/>
      <c r="G5" s="201"/>
      <c r="H5" s="202"/>
      <c r="I5" s="203" t="s">
        <v>28</v>
      </c>
      <c r="J5" s="204"/>
      <c r="K5" s="204"/>
      <c r="L5" s="204"/>
      <c r="M5" s="204"/>
      <c r="N5" s="204"/>
      <c r="O5" s="205"/>
      <c r="P5" s="116" t="s">
        <v>131</v>
      </c>
      <c r="Q5" s="117"/>
      <c r="R5" s="3"/>
      <c r="U5" s="6"/>
      <c r="V5" s="15"/>
      <c r="W5" s="15"/>
    </row>
    <row r="6" spans="1:27" s="16" customFormat="1" ht="12" customHeight="1" x14ac:dyDescent="0.3">
      <c r="A6" s="7"/>
      <c r="B6" s="214" t="s">
        <v>29</v>
      </c>
      <c r="C6" s="215"/>
      <c r="D6" s="216" t="s">
        <v>30</v>
      </c>
      <c r="E6" s="216"/>
      <c r="F6" s="216"/>
      <c r="G6" s="216"/>
      <c r="H6" s="216"/>
      <c r="I6" s="217" t="s">
        <v>31</v>
      </c>
      <c r="J6" s="218"/>
      <c r="K6" s="218" t="s">
        <v>32</v>
      </c>
      <c r="L6" s="218"/>
      <c r="M6" s="219"/>
      <c r="N6" s="219"/>
      <c r="O6" s="220"/>
      <c r="P6" s="182" t="s">
        <v>33</v>
      </c>
      <c r="Q6" s="183"/>
      <c r="R6" s="8"/>
      <c r="U6"/>
      <c r="V6" s="59"/>
      <c r="W6" s="60"/>
    </row>
    <row r="7" spans="1:27" s="16" customFormat="1" ht="12" customHeight="1" x14ac:dyDescent="0.3">
      <c r="A7" s="7"/>
      <c r="B7" s="206" t="s">
        <v>35</v>
      </c>
      <c r="C7" s="207"/>
      <c r="D7" s="208" t="s">
        <v>132</v>
      </c>
      <c r="E7" s="209"/>
      <c r="F7" s="209"/>
      <c r="G7" s="209"/>
      <c r="H7" s="210"/>
      <c r="I7" s="217" t="s">
        <v>36</v>
      </c>
      <c r="J7" s="218"/>
      <c r="K7" s="218" t="s">
        <v>37</v>
      </c>
      <c r="L7" s="218"/>
      <c r="M7" s="17"/>
      <c r="N7" s="17"/>
      <c r="O7" s="18"/>
      <c r="P7" s="221"/>
      <c r="Q7" s="222"/>
      <c r="R7" s="8"/>
      <c r="U7"/>
      <c r="V7" s="59"/>
      <c r="W7" s="60"/>
    </row>
    <row r="8" spans="1:27" ht="12" customHeight="1" x14ac:dyDescent="0.3">
      <c r="A8" s="9"/>
      <c r="B8" s="206" t="s">
        <v>39</v>
      </c>
      <c r="C8" s="207"/>
      <c r="D8" s="19" t="s">
        <v>40</v>
      </c>
      <c r="E8" s="20" t="s">
        <v>41</v>
      </c>
      <c r="F8" s="208" t="s">
        <v>62</v>
      </c>
      <c r="G8" s="209"/>
      <c r="H8" s="210"/>
      <c r="I8" s="211" t="s">
        <v>42</v>
      </c>
      <c r="J8" s="212"/>
      <c r="K8" s="212" t="s">
        <v>43</v>
      </c>
      <c r="L8" s="212"/>
      <c r="M8" s="212"/>
      <c r="N8" s="212"/>
      <c r="O8" s="213"/>
      <c r="P8" s="20" t="s">
        <v>129</v>
      </c>
      <c r="Q8" s="21"/>
      <c r="R8" s="10"/>
      <c r="U8"/>
      <c r="V8" s="59"/>
      <c r="W8" s="6"/>
      <c r="X8" s="22"/>
      <c r="Y8" s="22"/>
      <c r="Z8" s="22"/>
      <c r="AA8" s="22"/>
    </row>
    <row r="9" spans="1:27" ht="15.6" customHeight="1" x14ac:dyDescent="0.3">
      <c r="A9" s="9"/>
      <c r="B9" s="229" t="s">
        <v>44</v>
      </c>
      <c r="C9" s="231" t="s">
        <v>45</v>
      </c>
      <c r="D9" s="231"/>
      <c r="E9" s="232" t="s">
        <v>46</v>
      </c>
      <c r="F9" s="233"/>
      <c r="G9" s="236" t="s">
        <v>61</v>
      </c>
      <c r="H9" s="231" t="s">
        <v>47</v>
      </c>
      <c r="I9" s="23"/>
      <c r="J9" s="24" t="s">
        <v>137</v>
      </c>
      <c r="K9" s="24" t="s">
        <v>137</v>
      </c>
      <c r="L9" s="24" t="s">
        <v>137</v>
      </c>
      <c r="M9" s="24" t="s">
        <v>137</v>
      </c>
      <c r="N9" s="24" t="s">
        <v>137</v>
      </c>
      <c r="O9" s="24" t="s">
        <v>137</v>
      </c>
      <c r="P9" s="232" t="s">
        <v>48</v>
      </c>
      <c r="Q9" s="238"/>
      <c r="R9" s="10"/>
      <c r="U9"/>
      <c r="V9" s="59"/>
      <c r="W9" s="6"/>
      <c r="X9" s="22"/>
      <c r="Y9" s="22"/>
      <c r="Z9" s="22"/>
      <c r="AA9" s="22"/>
    </row>
    <row r="10" spans="1:27" ht="17.399999999999999" customHeight="1" x14ac:dyDescent="0.3">
      <c r="A10" s="9"/>
      <c r="B10" s="230"/>
      <c r="C10" s="231"/>
      <c r="D10" s="231"/>
      <c r="E10" s="234"/>
      <c r="F10" s="235"/>
      <c r="G10" s="237"/>
      <c r="H10" s="231"/>
      <c r="I10" s="25"/>
      <c r="J10" s="26" t="s">
        <v>51</v>
      </c>
      <c r="K10" s="26" t="s">
        <v>66</v>
      </c>
      <c r="L10" s="26"/>
      <c r="M10" s="26">
        <v>0</v>
      </c>
      <c r="N10" s="26">
        <v>1</v>
      </c>
      <c r="O10" s="26">
        <v>2</v>
      </c>
      <c r="P10" s="234"/>
      <c r="Q10" s="239"/>
      <c r="R10" s="10"/>
      <c r="U10"/>
      <c r="V10" s="59"/>
      <c r="W10" s="11"/>
      <c r="X10" s="22"/>
      <c r="Y10" s="22"/>
      <c r="Z10" s="22"/>
      <c r="AA10" s="22"/>
    </row>
    <row r="11" spans="1:27" ht="12" customHeight="1" x14ac:dyDescent="0.3">
      <c r="A11" s="30"/>
      <c r="B11" s="241"/>
      <c r="C11" s="243"/>
      <c r="D11" s="244"/>
      <c r="E11" s="247"/>
      <c r="F11" s="248"/>
      <c r="G11" s="223"/>
      <c r="H11" s="223"/>
      <c r="I11" s="27"/>
      <c r="J11" s="28"/>
      <c r="K11" s="28"/>
      <c r="L11" s="28"/>
      <c r="M11" s="28"/>
      <c r="N11" s="28"/>
      <c r="O11" s="28"/>
      <c r="P11" s="225"/>
      <c r="Q11" s="226"/>
      <c r="R11" s="31"/>
    </row>
    <row r="12" spans="1:27" ht="12" customHeight="1" x14ac:dyDescent="0.3">
      <c r="A12" s="30"/>
      <c r="B12" s="241"/>
      <c r="C12" s="245"/>
      <c r="D12" s="246"/>
      <c r="E12" s="249"/>
      <c r="F12" s="250"/>
      <c r="G12" s="223"/>
      <c r="H12" s="223"/>
      <c r="I12" s="27"/>
      <c r="J12" s="28"/>
      <c r="K12" s="28"/>
      <c r="L12" s="28"/>
      <c r="M12" s="28"/>
      <c r="N12" s="28"/>
      <c r="O12" s="28"/>
      <c r="P12" s="227"/>
      <c r="Q12" s="228"/>
      <c r="R12" s="31"/>
    </row>
    <row r="13" spans="1:27" ht="12" customHeight="1" x14ac:dyDescent="0.3">
      <c r="A13" s="30"/>
      <c r="B13" s="241"/>
      <c r="C13" s="245"/>
      <c r="D13" s="246"/>
      <c r="E13" s="249"/>
      <c r="F13" s="250"/>
      <c r="G13" s="223"/>
      <c r="H13" s="223"/>
      <c r="I13" s="27"/>
      <c r="J13" s="28"/>
      <c r="K13" s="28"/>
      <c r="L13" s="28"/>
      <c r="M13" s="28"/>
      <c r="N13" s="28"/>
      <c r="O13" s="28"/>
      <c r="P13" s="227"/>
      <c r="Q13" s="228"/>
      <c r="R13" s="31"/>
    </row>
    <row r="14" spans="1:27" ht="12" customHeight="1" x14ac:dyDescent="0.3">
      <c r="A14" s="30"/>
      <c r="B14" s="241"/>
      <c r="C14" s="245"/>
      <c r="D14" s="246"/>
      <c r="E14" s="249"/>
      <c r="F14" s="250"/>
      <c r="G14" s="223"/>
      <c r="H14" s="223"/>
      <c r="I14" s="27"/>
      <c r="J14" s="28"/>
      <c r="K14" s="28"/>
      <c r="L14" s="28"/>
      <c r="M14" s="28"/>
      <c r="N14" s="28"/>
      <c r="O14" s="28"/>
      <c r="P14" s="227"/>
      <c r="Q14" s="228"/>
      <c r="R14" s="31"/>
    </row>
    <row r="15" spans="1:27" ht="12" customHeight="1" x14ac:dyDescent="0.3">
      <c r="A15" s="30"/>
      <c r="B15" s="241"/>
      <c r="C15" s="245"/>
      <c r="D15" s="246"/>
      <c r="E15" s="249"/>
      <c r="F15" s="250"/>
      <c r="G15" s="223"/>
      <c r="H15" s="223"/>
      <c r="I15" s="27"/>
      <c r="J15" s="28"/>
      <c r="K15" s="28"/>
      <c r="L15" s="28"/>
      <c r="M15" s="28"/>
      <c r="N15" s="28"/>
      <c r="O15" s="28"/>
      <c r="P15" s="227"/>
      <c r="Q15" s="228"/>
      <c r="R15" s="31"/>
    </row>
    <row r="16" spans="1:27" ht="12" customHeight="1" x14ac:dyDescent="0.3">
      <c r="A16" s="30"/>
      <c r="B16" s="242"/>
      <c r="C16" s="245"/>
      <c r="D16" s="246"/>
      <c r="E16" s="249"/>
      <c r="F16" s="250"/>
      <c r="G16" s="224"/>
      <c r="H16" s="224"/>
      <c r="I16" s="32"/>
      <c r="J16" s="33"/>
      <c r="K16" s="33"/>
      <c r="L16" s="33"/>
      <c r="M16" s="33"/>
      <c r="N16" s="33"/>
      <c r="O16" s="33"/>
      <c r="P16" s="227"/>
      <c r="Q16" s="228"/>
      <c r="R16" s="31"/>
    </row>
    <row r="17" spans="1:18" ht="12" customHeight="1" x14ac:dyDescent="0.3">
      <c r="A17" s="30"/>
      <c r="B17" s="34"/>
      <c r="C17" s="34"/>
      <c r="D17" s="34"/>
      <c r="E17" s="35"/>
      <c r="F17" s="35"/>
      <c r="G17" s="36"/>
      <c r="H17" s="36"/>
      <c r="I17" s="37"/>
      <c r="J17" s="38"/>
      <c r="K17" s="38"/>
      <c r="L17" s="38"/>
      <c r="M17" s="38"/>
      <c r="N17" s="38"/>
      <c r="O17" s="38"/>
      <c r="P17" s="39"/>
      <c r="Q17" s="39"/>
      <c r="R17" s="31"/>
    </row>
    <row r="18" spans="1:18" s="54" customFormat="1" ht="14.1" customHeight="1" x14ac:dyDescent="0.3">
      <c r="A18" s="61"/>
      <c r="B18" s="40"/>
      <c r="C18" s="40"/>
      <c r="D18" s="40"/>
      <c r="E18" s="41"/>
      <c r="F18" s="41"/>
      <c r="G18" s="42"/>
      <c r="H18" s="42"/>
      <c r="I18" s="43"/>
      <c r="J18" s="44"/>
      <c r="K18" s="44"/>
      <c r="L18" s="44"/>
      <c r="M18" s="44"/>
      <c r="N18" s="44"/>
      <c r="O18" s="44"/>
      <c r="P18" s="45"/>
      <c r="Q18" s="45"/>
      <c r="R18" s="62"/>
    </row>
    <row r="19" spans="1:18" ht="12" customHeight="1" x14ac:dyDescent="0.3">
      <c r="A19" s="30"/>
      <c r="B19" s="40"/>
      <c r="C19" s="240" t="s">
        <v>135</v>
      </c>
      <c r="D19" s="240"/>
      <c r="E19" s="41"/>
      <c r="F19" s="41"/>
      <c r="G19" s="42"/>
      <c r="H19" s="42"/>
      <c r="I19" s="43"/>
      <c r="J19" s="44"/>
      <c r="K19" s="44"/>
      <c r="L19" s="44"/>
      <c r="M19" s="38"/>
      <c r="N19" s="118" t="s">
        <v>136</v>
      </c>
      <c r="O19" s="38"/>
      <c r="P19" s="45"/>
      <c r="Q19" s="45"/>
      <c r="R19" s="31"/>
    </row>
    <row r="20" spans="1:18" ht="12" customHeight="1" x14ac:dyDescent="0.3">
      <c r="A20" s="46"/>
      <c r="B20" s="47"/>
      <c r="C20" s="47"/>
      <c r="D20" s="47"/>
      <c r="E20" s="48"/>
      <c r="F20" s="48"/>
      <c r="G20" s="49"/>
      <c r="H20" s="49"/>
      <c r="I20" s="50"/>
      <c r="J20" s="51"/>
      <c r="K20" s="51"/>
      <c r="L20" s="51"/>
      <c r="M20" s="51"/>
      <c r="N20" s="51"/>
      <c r="O20" s="51"/>
      <c r="P20" s="52"/>
      <c r="Q20" s="52"/>
      <c r="R20" s="53"/>
    </row>
    <row r="21" spans="1:18" ht="15.9" customHeight="1" x14ac:dyDescent="0.3">
      <c r="B21" s="40"/>
      <c r="C21" s="40"/>
      <c r="D21" s="40"/>
      <c r="E21" s="41"/>
      <c r="F21" s="41"/>
      <c r="G21" s="42"/>
      <c r="H21" s="42"/>
      <c r="I21" s="43"/>
      <c r="J21" s="44"/>
      <c r="K21" s="44"/>
      <c r="L21" s="44"/>
      <c r="M21" s="44"/>
      <c r="N21" s="44"/>
      <c r="O21" s="44"/>
      <c r="P21" s="45"/>
      <c r="Q21" s="45"/>
    </row>
    <row r="22" spans="1:18" ht="15.9" customHeight="1" x14ac:dyDescent="0.3">
      <c r="B22" s="40"/>
      <c r="C22" s="40"/>
      <c r="D22" s="40"/>
      <c r="E22" s="41"/>
      <c r="F22" s="41"/>
      <c r="G22" s="42"/>
      <c r="H22" s="42"/>
      <c r="I22" s="43"/>
      <c r="J22" s="63"/>
      <c r="K22" s="63"/>
      <c r="L22" s="63"/>
      <c r="M22" s="63"/>
      <c r="N22" s="63"/>
      <c r="O22" s="63"/>
      <c r="P22" s="45"/>
      <c r="Q22" s="45"/>
    </row>
    <row r="23" spans="1:18" ht="15.9" customHeight="1" x14ac:dyDescent="0.3"/>
    <row r="24" spans="1:18" ht="15.9" customHeight="1" x14ac:dyDescent="0.3"/>
    <row r="25" spans="1:18" ht="15.9" customHeight="1" x14ac:dyDescent="0.3"/>
    <row r="26" spans="1:18" ht="15.9" customHeight="1" x14ac:dyDescent="0.3"/>
    <row r="27" spans="1:18" ht="15.9" customHeight="1" x14ac:dyDescent="0.3"/>
    <row r="28" spans="1:18" ht="15.9" customHeight="1" x14ac:dyDescent="0.3"/>
    <row r="29" spans="1:18" ht="15.9" customHeight="1" x14ac:dyDescent="0.3"/>
    <row r="30" spans="1:18" ht="15.9" customHeight="1" x14ac:dyDescent="0.3"/>
    <row r="31" spans="1:18" ht="15.9" customHeight="1" x14ac:dyDescent="0.3"/>
    <row r="32" spans="1:18" ht="15.9" customHeight="1" x14ac:dyDescent="0.3"/>
    <row r="33" ht="15.9" customHeight="1" x14ac:dyDescent="0.3"/>
    <row r="34" ht="15.9" customHeight="1" x14ac:dyDescent="0.3"/>
    <row r="35" ht="15.9" customHeight="1" x14ac:dyDescent="0.3"/>
    <row r="36" ht="15.9" customHeight="1" x14ac:dyDescent="0.3"/>
    <row r="37" ht="15.9" customHeight="1" x14ac:dyDescent="0.3"/>
    <row r="38" ht="15.9" customHeight="1" x14ac:dyDescent="0.3"/>
    <row r="39" ht="15.9" customHeight="1" x14ac:dyDescent="0.3"/>
    <row r="40" ht="15.9" customHeight="1" x14ac:dyDescent="0.3"/>
    <row r="41" ht="15.9" customHeight="1" x14ac:dyDescent="0.3"/>
    <row r="42" ht="15.9" customHeight="1" x14ac:dyDescent="0.3"/>
    <row r="43" ht="15.9" customHeight="1" x14ac:dyDescent="0.3"/>
    <row r="44" ht="15.9" customHeight="1" x14ac:dyDescent="0.3"/>
    <row r="45" ht="15.9" customHeight="1" x14ac:dyDescent="0.3"/>
    <row r="46" ht="15.9" customHeight="1" x14ac:dyDescent="0.3"/>
    <row r="47" ht="15.9" customHeight="1" x14ac:dyDescent="0.3"/>
    <row r="48" ht="15.9" customHeight="1" x14ac:dyDescent="0.3"/>
    <row r="49" ht="15.9" customHeight="1" x14ac:dyDescent="0.3"/>
    <row r="50" ht="15.9" customHeight="1" x14ac:dyDescent="0.3"/>
    <row r="51" ht="15.9" customHeight="1" x14ac:dyDescent="0.3"/>
    <row r="52" ht="15.9" customHeight="1" x14ac:dyDescent="0.3"/>
    <row r="53" ht="15.9" customHeight="1" x14ac:dyDescent="0.3"/>
    <row r="54" ht="15.9" customHeight="1" x14ac:dyDescent="0.3"/>
    <row r="55" ht="15.9" customHeight="1" x14ac:dyDescent="0.3"/>
    <row r="56" ht="15.9" customHeight="1" x14ac:dyDescent="0.3"/>
    <row r="57" ht="15.9" customHeight="1" x14ac:dyDescent="0.3"/>
    <row r="58" ht="15.9" customHeight="1" x14ac:dyDescent="0.3"/>
    <row r="59" ht="15.9" customHeight="1" x14ac:dyDescent="0.3"/>
    <row r="60" ht="15.9" customHeight="1" x14ac:dyDescent="0.3"/>
    <row r="61" ht="15.9" customHeight="1" x14ac:dyDescent="0.3"/>
    <row r="62" ht="15.9" customHeight="1" x14ac:dyDescent="0.3"/>
    <row r="63" ht="15.9" customHeight="1" x14ac:dyDescent="0.3"/>
    <row r="64" ht="15.9" customHeight="1" x14ac:dyDescent="0.3"/>
    <row r="65" ht="15.9" customHeight="1" x14ac:dyDescent="0.3"/>
    <row r="66" ht="15.9" customHeight="1" x14ac:dyDescent="0.3"/>
    <row r="67" ht="15.9" customHeight="1" x14ac:dyDescent="0.3"/>
    <row r="68" ht="15.9" customHeight="1" x14ac:dyDescent="0.3"/>
    <row r="69" ht="15.9" customHeight="1" x14ac:dyDescent="0.3"/>
    <row r="70" ht="15.9" customHeight="1" x14ac:dyDescent="0.3"/>
    <row r="71" ht="15.9" customHeight="1" x14ac:dyDescent="0.3"/>
    <row r="72" ht="15.9" customHeight="1" x14ac:dyDescent="0.3"/>
    <row r="73" ht="15.9" customHeight="1" x14ac:dyDescent="0.3"/>
    <row r="74" ht="15.9" customHeight="1" x14ac:dyDescent="0.3"/>
    <row r="75" ht="15.9" customHeight="1" x14ac:dyDescent="0.3"/>
    <row r="76" ht="15.9" customHeight="1" x14ac:dyDescent="0.3"/>
    <row r="77" ht="15.9" customHeight="1" x14ac:dyDescent="0.3"/>
    <row r="78" ht="15.9" customHeight="1" x14ac:dyDescent="0.3"/>
    <row r="79" ht="15.9" customHeight="1" x14ac:dyDescent="0.3"/>
    <row r="80" ht="15.9" customHeight="1" x14ac:dyDescent="0.3"/>
    <row r="81" ht="15.9" customHeight="1" x14ac:dyDescent="0.3"/>
    <row r="82" ht="15.9" customHeight="1" x14ac:dyDescent="0.3"/>
    <row r="83" ht="15.9" customHeight="1" x14ac:dyDescent="0.3"/>
    <row r="84" ht="15.9" customHeight="1" x14ac:dyDescent="0.3"/>
    <row r="85" ht="15.9" customHeight="1" x14ac:dyDescent="0.3"/>
    <row r="86" ht="15.9" customHeight="1" x14ac:dyDescent="0.3"/>
    <row r="87" ht="15.9" customHeight="1" x14ac:dyDescent="0.3"/>
    <row r="88" ht="15.9" customHeight="1" x14ac:dyDescent="0.3"/>
    <row r="89" ht="15.9" customHeight="1" x14ac:dyDescent="0.3"/>
    <row r="90" ht="15.9" customHeight="1" x14ac:dyDescent="0.3"/>
    <row r="91" ht="15.9" customHeight="1" x14ac:dyDescent="0.3"/>
    <row r="92" ht="15.9" customHeight="1" x14ac:dyDescent="0.3"/>
    <row r="93" ht="15.9" customHeight="1" x14ac:dyDescent="0.3"/>
    <row r="94" ht="15.9" customHeight="1" x14ac:dyDescent="0.3"/>
    <row r="95" ht="15.9" customHeight="1" x14ac:dyDescent="0.3"/>
    <row r="96" ht="15.9" customHeight="1" x14ac:dyDescent="0.3"/>
    <row r="97" ht="15.9" customHeight="1" x14ac:dyDescent="0.3"/>
    <row r="98" ht="15.9" customHeight="1" x14ac:dyDescent="0.3"/>
    <row r="99" ht="15.9" customHeight="1" x14ac:dyDescent="0.3"/>
    <row r="100" ht="15.9" customHeight="1" x14ac:dyDescent="0.3"/>
    <row r="101" ht="15.9" customHeight="1" x14ac:dyDescent="0.3"/>
    <row r="102" ht="15.9" customHeight="1" x14ac:dyDescent="0.3"/>
    <row r="103" ht="15.9" customHeight="1" x14ac:dyDescent="0.3"/>
    <row r="104" ht="15.9" customHeight="1" x14ac:dyDescent="0.3"/>
    <row r="105" ht="15.9" customHeight="1" x14ac:dyDescent="0.3"/>
    <row r="106" ht="15.9" customHeight="1" x14ac:dyDescent="0.3"/>
    <row r="107" ht="15.9" customHeight="1" x14ac:dyDescent="0.3"/>
    <row r="108" ht="15.9" customHeight="1" x14ac:dyDescent="0.3"/>
    <row r="109" ht="15.9" customHeight="1" x14ac:dyDescent="0.3"/>
    <row r="110" ht="15.9" customHeight="1" x14ac:dyDescent="0.3"/>
    <row r="111" ht="15.9" customHeight="1" x14ac:dyDescent="0.3"/>
    <row r="112" ht="15.9" customHeight="1" x14ac:dyDescent="0.3"/>
    <row r="113" ht="15.9" customHeight="1" x14ac:dyDescent="0.3"/>
    <row r="114" ht="15.9" customHeight="1" x14ac:dyDescent="0.3"/>
    <row r="115" ht="15.9" customHeight="1" x14ac:dyDescent="0.3"/>
    <row r="116" ht="15.9" customHeight="1" x14ac:dyDescent="0.3"/>
    <row r="117" ht="15.9" customHeight="1" x14ac:dyDescent="0.3"/>
    <row r="118" ht="15.9" customHeight="1" x14ac:dyDescent="0.3"/>
    <row r="119" ht="15.9" customHeight="1" x14ac:dyDescent="0.3"/>
    <row r="120" ht="15.9" customHeight="1" x14ac:dyDescent="0.3"/>
    <row r="121" ht="15.9" customHeight="1" x14ac:dyDescent="0.3"/>
    <row r="122" ht="15.9" customHeight="1" x14ac:dyDescent="0.3"/>
    <row r="123" ht="15.9" customHeight="1" x14ac:dyDescent="0.3"/>
    <row r="124" ht="15.9" customHeight="1" x14ac:dyDescent="0.3"/>
    <row r="125" ht="15.9" customHeight="1" x14ac:dyDescent="0.3"/>
    <row r="126" ht="15.9" customHeight="1" x14ac:dyDescent="0.3"/>
    <row r="127" ht="15.9" customHeight="1" x14ac:dyDescent="0.3"/>
    <row r="128" ht="15.9" customHeight="1" x14ac:dyDescent="0.3"/>
    <row r="129" ht="15.9" customHeight="1" x14ac:dyDescent="0.3"/>
    <row r="130" ht="15.9" customHeight="1" x14ac:dyDescent="0.3"/>
    <row r="131" ht="15.9" customHeight="1" x14ac:dyDescent="0.3"/>
    <row r="132" ht="15.9" customHeight="1" x14ac:dyDescent="0.3"/>
    <row r="133" ht="15.9" customHeight="1" x14ac:dyDescent="0.3"/>
    <row r="134" ht="15.9" customHeight="1" x14ac:dyDescent="0.3"/>
    <row r="135" ht="15.9" customHeight="1" x14ac:dyDescent="0.3"/>
    <row r="136" ht="15.9" customHeight="1" x14ac:dyDescent="0.3"/>
    <row r="137" ht="15.9" customHeight="1" x14ac:dyDescent="0.3"/>
    <row r="138" ht="15.9" customHeight="1" x14ac:dyDescent="0.3"/>
    <row r="139" ht="15.9" customHeight="1" x14ac:dyDescent="0.3"/>
    <row r="140" ht="15.9" customHeight="1" x14ac:dyDescent="0.3"/>
    <row r="141" ht="15.9" customHeight="1" x14ac:dyDescent="0.3"/>
    <row r="142" ht="15.9" customHeight="1" x14ac:dyDescent="0.3"/>
    <row r="143" ht="15.9" customHeight="1" x14ac:dyDescent="0.3"/>
    <row r="144" ht="15.9" customHeight="1" x14ac:dyDescent="0.3"/>
    <row r="145" ht="15.9" customHeight="1" x14ac:dyDescent="0.3"/>
    <row r="146" ht="15.9" customHeight="1" x14ac:dyDescent="0.3"/>
    <row r="147" ht="15.9" customHeight="1" x14ac:dyDescent="0.3"/>
    <row r="148" ht="15.9" customHeight="1" x14ac:dyDescent="0.3"/>
    <row r="149" ht="15.9" customHeight="1" x14ac:dyDescent="0.3"/>
    <row r="150" ht="15.9" customHeight="1" x14ac:dyDescent="0.3"/>
    <row r="151" ht="15.9" customHeight="1" x14ac:dyDescent="0.3"/>
    <row r="152" ht="15.9" customHeight="1" x14ac:dyDescent="0.3"/>
    <row r="153" ht="15.9" customHeight="1" x14ac:dyDescent="0.3"/>
    <row r="154" ht="15.9" customHeight="1" x14ac:dyDescent="0.3"/>
    <row r="155" ht="15.9" customHeight="1" x14ac:dyDescent="0.3"/>
    <row r="156" ht="15.9" customHeight="1" x14ac:dyDescent="0.3"/>
    <row r="157" ht="15.9" customHeight="1" x14ac:dyDescent="0.3"/>
    <row r="158" ht="15.9" customHeight="1" x14ac:dyDescent="0.3"/>
    <row r="159" ht="15.9" customHeight="1" x14ac:dyDescent="0.3"/>
    <row r="160" ht="15.9" customHeight="1" x14ac:dyDescent="0.3"/>
    <row r="161" ht="15.9" customHeight="1" x14ac:dyDescent="0.3"/>
    <row r="162" ht="15.9" customHeight="1" x14ac:dyDescent="0.3"/>
    <row r="163" ht="15.9" customHeight="1" x14ac:dyDescent="0.3"/>
    <row r="164" ht="15.9" customHeight="1" x14ac:dyDescent="0.3"/>
    <row r="165" ht="15.9" customHeight="1" x14ac:dyDescent="0.3"/>
    <row r="166" ht="15.9" customHeight="1" x14ac:dyDescent="0.3"/>
    <row r="167" ht="15.9" customHeight="1" x14ac:dyDescent="0.3"/>
    <row r="168" ht="15.9" customHeight="1" x14ac:dyDescent="0.3"/>
    <row r="169" ht="15.9" customHeight="1" x14ac:dyDescent="0.3"/>
    <row r="170" ht="15.9" customHeight="1" x14ac:dyDescent="0.3"/>
    <row r="171" ht="15.9" customHeight="1" x14ac:dyDescent="0.3"/>
    <row r="172" ht="15.9" customHeight="1" x14ac:dyDescent="0.3"/>
    <row r="173" ht="15.9" customHeight="1" x14ac:dyDescent="0.3"/>
    <row r="174" ht="15.9" customHeight="1" x14ac:dyDescent="0.3"/>
    <row r="175" ht="15.9" customHeight="1" x14ac:dyDescent="0.3"/>
    <row r="176" ht="15.9" customHeight="1" x14ac:dyDescent="0.3"/>
    <row r="177" ht="15.9" customHeight="1" x14ac:dyDescent="0.3"/>
    <row r="178" ht="15.9" customHeight="1" x14ac:dyDescent="0.3"/>
    <row r="179" ht="15.9" customHeight="1" x14ac:dyDescent="0.3"/>
    <row r="180" ht="15.9" customHeight="1" x14ac:dyDescent="0.3"/>
    <row r="181" ht="15.9" customHeight="1" x14ac:dyDescent="0.3"/>
    <row r="182" ht="15.9" customHeight="1" x14ac:dyDescent="0.3"/>
    <row r="183" ht="15.9" customHeight="1" x14ac:dyDescent="0.3"/>
    <row r="184" ht="15.9" customHeight="1" x14ac:dyDescent="0.3"/>
    <row r="185" ht="15.9" customHeight="1" x14ac:dyDescent="0.3"/>
    <row r="186" ht="15.9" customHeight="1" x14ac:dyDescent="0.3"/>
    <row r="187" ht="15.9" customHeight="1" x14ac:dyDescent="0.3"/>
    <row r="188" ht="15.9" customHeight="1" x14ac:dyDescent="0.3"/>
    <row r="189" ht="15.9" customHeight="1" x14ac:dyDescent="0.3"/>
    <row r="190" ht="15.9" customHeight="1" x14ac:dyDescent="0.3"/>
    <row r="191" ht="15.9" customHeight="1" x14ac:dyDescent="0.3"/>
    <row r="192" ht="15.9" customHeight="1" x14ac:dyDescent="0.3"/>
    <row r="193" ht="15.9" customHeight="1" x14ac:dyDescent="0.3"/>
    <row r="194" ht="15.9" customHeight="1" x14ac:dyDescent="0.3"/>
    <row r="195" ht="15.9" customHeight="1" x14ac:dyDescent="0.3"/>
    <row r="196" ht="15.9" customHeight="1" x14ac:dyDescent="0.3"/>
    <row r="197" ht="15.9" customHeight="1" x14ac:dyDescent="0.3"/>
    <row r="198" ht="15.9" customHeight="1" x14ac:dyDescent="0.3"/>
    <row r="199" ht="15.9" customHeight="1" x14ac:dyDescent="0.3"/>
    <row r="200" ht="15.9" customHeight="1" x14ac:dyDescent="0.3"/>
    <row r="201" ht="15.9" customHeight="1" x14ac:dyDescent="0.3"/>
    <row r="202" ht="15.9" customHeight="1" x14ac:dyDescent="0.3"/>
    <row r="203" ht="15.9" customHeight="1" x14ac:dyDescent="0.3"/>
    <row r="204" ht="15.9" customHeight="1" x14ac:dyDescent="0.3"/>
    <row r="205" ht="15.9" customHeight="1" x14ac:dyDescent="0.3"/>
    <row r="206" ht="15.9" customHeight="1" x14ac:dyDescent="0.3"/>
    <row r="207" ht="15.9" customHeight="1" x14ac:dyDescent="0.3"/>
    <row r="208" ht="15.9" customHeight="1" x14ac:dyDescent="0.3"/>
    <row r="209" ht="15.9" customHeight="1" x14ac:dyDescent="0.3"/>
    <row r="210" ht="15.9" customHeight="1" x14ac:dyDescent="0.3"/>
    <row r="211" ht="15.9" customHeight="1" x14ac:dyDescent="0.3"/>
    <row r="212" ht="15.9" customHeight="1" x14ac:dyDescent="0.3"/>
    <row r="213" ht="15.9" customHeight="1" x14ac:dyDescent="0.3"/>
    <row r="214" ht="15.9" customHeight="1" x14ac:dyDescent="0.3"/>
    <row r="215" ht="15.9" customHeight="1" x14ac:dyDescent="0.3"/>
    <row r="216" ht="15.9" customHeight="1" x14ac:dyDescent="0.3"/>
    <row r="217" ht="15.9" customHeight="1" x14ac:dyDescent="0.3"/>
    <row r="218" ht="15.9" customHeight="1" x14ac:dyDescent="0.3"/>
    <row r="219" ht="15.9" customHeight="1" x14ac:dyDescent="0.3"/>
    <row r="220" ht="15.9" customHeight="1" x14ac:dyDescent="0.3"/>
    <row r="221" ht="15.9" customHeight="1" x14ac:dyDescent="0.3"/>
    <row r="222" ht="15.9" customHeight="1" x14ac:dyDescent="0.3"/>
    <row r="223" ht="15.9" customHeight="1" x14ac:dyDescent="0.3"/>
    <row r="224" ht="15.9" customHeight="1" x14ac:dyDescent="0.3"/>
    <row r="225" ht="15.9" customHeight="1" x14ac:dyDescent="0.3"/>
    <row r="226" ht="15.9" customHeight="1" x14ac:dyDescent="0.3"/>
    <row r="227" ht="15.9" customHeight="1" x14ac:dyDescent="0.3"/>
    <row r="228" ht="15.9" customHeight="1" x14ac:dyDescent="0.3"/>
    <row r="229" ht="15.9" customHeight="1" x14ac:dyDescent="0.3"/>
    <row r="230" ht="15.9" customHeight="1" x14ac:dyDescent="0.3"/>
    <row r="231" ht="15.9" customHeight="1" x14ac:dyDescent="0.3"/>
    <row r="232" ht="15.9" customHeight="1" x14ac:dyDescent="0.3"/>
    <row r="233" ht="15.9" customHeight="1" x14ac:dyDescent="0.3"/>
    <row r="234" ht="15.9" customHeight="1" x14ac:dyDescent="0.3"/>
    <row r="235" ht="15.9" customHeight="1" x14ac:dyDescent="0.3"/>
    <row r="236" ht="15.9" customHeight="1" x14ac:dyDescent="0.3"/>
    <row r="237" ht="15.9" customHeight="1" x14ac:dyDescent="0.3"/>
    <row r="238" ht="15.9" customHeight="1" x14ac:dyDescent="0.3"/>
    <row r="239" ht="15.9" customHeight="1" x14ac:dyDescent="0.3"/>
    <row r="240" ht="15.9" customHeight="1" x14ac:dyDescent="0.3"/>
    <row r="241" ht="15.9" customHeight="1" x14ac:dyDescent="0.3"/>
    <row r="242" ht="15.9" customHeight="1" x14ac:dyDescent="0.3"/>
    <row r="243" ht="15.9" customHeight="1" x14ac:dyDescent="0.3"/>
    <row r="244" ht="15.9" customHeight="1" x14ac:dyDescent="0.3"/>
    <row r="245" ht="15.9" customHeight="1" x14ac:dyDescent="0.3"/>
    <row r="246" ht="15.9" customHeight="1" x14ac:dyDescent="0.3"/>
    <row r="247" ht="15.9" customHeight="1" x14ac:dyDescent="0.3"/>
    <row r="248" ht="15.9" customHeight="1" x14ac:dyDescent="0.3"/>
    <row r="249" ht="15.9" customHeight="1" x14ac:dyDescent="0.3"/>
    <row r="250" ht="15.9" customHeight="1" x14ac:dyDescent="0.3"/>
    <row r="251" ht="15.9" customHeight="1" x14ac:dyDescent="0.3"/>
    <row r="252" ht="15.9" customHeight="1" x14ac:dyDescent="0.3"/>
    <row r="253" ht="15.9" customHeight="1" x14ac:dyDescent="0.3"/>
    <row r="254" ht="15.9" customHeight="1" x14ac:dyDescent="0.3"/>
    <row r="255" ht="15.9" customHeight="1" x14ac:dyDescent="0.3"/>
    <row r="256" ht="15.9" customHeight="1" x14ac:dyDescent="0.3"/>
    <row r="257" ht="15.9" customHeight="1" x14ac:dyDescent="0.3"/>
    <row r="258" ht="15.9" customHeight="1" x14ac:dyDescent="0.3"/>
    <row r="259" ht="15.9" customHeight="1" x14ac:dyDescent="0.3"/>
    <row r="260" ht="15.9" customHeight="1" x14ac:dyDescent="0.3"/>
    <row r="261" ht="15.9" customHeight="1" x14ac:dyDescent="0.3"/>
    <row r="262" ht="15.9" customHeight="1" x14ac:dyDescent="0.3"/>
    <row r="263" ht="15.9" customHeight="1" x14ac:dyDescent="0.3"/>
    <row r="264" ht="15.9" customHeight="1" x14ac:dyDescent="0.3"/>
    <row r="265" ht="15.9" customHeight="1" x14ac:dyDescent="0.3"/>
    <row r="266" ht="15.9" customHeight="1" x14ac:dyDescent="0.3"/>
    <row r="267" ht="15.9" customHeight="1" x14ac:dyDescent="0.3"/>
    <row r="268" ht="15.9" customHeight="1" x14ac:dyDescent="0.3"/>
    <row r="269" ht="15.9" customHeight="1" x14ac:dyDescent="0.3"/>
    <row r="270" ht="15.9" customHeight="1" x14ac:dyDescent="0.3"/>
    <row r="271" ht="15.9" customHeight="1" x14ac:dyDescent="0.3"/>
    <row r="272" ht="15.9" customHeight="1" x14ac:dyDescent="0.3"/>
    <row r="273" ht="15.9" customHeight="1" x14ac:dyDescent="0.3"/>
    <row r="274" ht="15.9" customHeight="1" x14ac:dyDescent="0.3"/>
    <row r="275" ht="15.9" customHeight="1" x14ac:dyDescent="0.3"/>
    <row r="276" ht="15.9" customHeight="1" x14ac:dyDescent="0.3"/>
    <row r="277" ht="15.9" customHeight="1" x14ac:dyDescent="0.3"/>
    <row r="278" ht="15.9" customHeight="1" x14ac:dyDescent="0.3"/>
    <row r="279" ht="15.9" customHeight="1" x14ac:dyDescent="0.3"/>
    <row r="280" ht="15.9" customHeight="1" x14ac:dyDescent="0.3"/>
    <row r="281" ht="15.9" customHeight="1" x14ac:dyDescent="0.3"/>
    <row r="282" ht="15.9" customHeight="1" x14ac:dyDescent="0.3"/>
    <row r="283" ht="15.9" customHeight="1" x14ac:dyDescent="0.3"/>
    <row r="284" ht="15.9" customHeight="1" x14ac:dyDescent="0.3"/>
    <row r="285" ht="15.9" customHeight="1" x14ac:dyDescent="0.3"/>
    <row r="286" ht="15.9" customHeight="1" x14ac:dyDescent="0.3"/>
    <row r="287" ht="15.9" customHeight="1" x14ac:dyDescent="0.3"/>
    <row r="288" ht="15.9" customHeight="1" x14ac:dyDescent="0.3"/>
    <row r="289" ht="15.9" customHeight="1" x14ac:dyDescent="0.3"/>
    <row r="290" ht="15.9" customHeight="1" x14ac:dyDescent="0.3"/>
    <row r="291" ht="15.9" customHeight="1" x14ac:dyDescent="0.3"/>
    <row r="292" ht="15.9" customHeight="1" x14ac:dyDescent="0.3"/>
    <row r="293" ht="15.9" customHeight="1" x14ac:dyDescent="0.3"/>
    <row r="294" ht="15.9" customHeight="1" x14ac:dyDescent="0.3"/>
    <row r="295" ht="15.9" customHeight="1" x14ac:dyDescent="0.3"/>
    <row r="296" ht="15.9" customHeight="1" x14ac:dyDescent="0.3"/>
    <row r="297" ht="15.9" customHeight="1" x14ac:dyDescent="0.3"/>
    <row r="298" ht="15.9" customHeight="1" x14ac:dyDescent="0.3"/>
    <row r="299" ht="15.9" customHeight="1" x14ac:dyDescent="0.3"/>
    <row r="300" ht="15.9" customHeight="1" x14ac:dyDescent="0.3"/>
    <row r="301" ht="15.9" customHeight="1" x14ac:dyDescent="0.3"/>
    <row r="302" ht="15.9" customHeight="1" x14ac:dyDescent="0.3"/>
    <row r="303" ht="15.9" customHeight="1" x14ac:dyDescent="0.3"/>
    <row r="304" ht="15.9" customHeight="1" x14ac:dyDescent="0.3"/>
    <row r="305" ht="15.9" customHeight="1" x14ac:dyDescent="0.3"/>
    <row r="306" ht="15.9" customHeight="1" x14ac:dyDescent="0.3"/>
    <row r="307" ht="15.9" customHeight="1" x14ac:dyDescent="0.3"/>
    <row r="308" ht="15.9" customHeight="1" x14ac:dyDescent="0.3"/>
    <row r="309" ht="15.9" customHeight="1" x14ac:dyDescent="0.3"/>
    <row r="310" ht="15.9" customHeight="1" x14ac:dyDescent="0.3"/>
    <row r="311" ht="15.9" customHeight="1" x14ac:dyDescent="0.3"/>
    <row r="312" ht="15.9" customHeight="1" x14ac:dyDescent="0.3"/>
    <row r="313" ht="15.9" customHeight="1" x14ac:dyDescent="0.3"/>
    <row r="314" ht="15.9" customHeight="1" x14ac:dyDescent="0.3"/>
    <row r="315" ht="15.9" customHeight="1" x14ac:dyDescent="0.3"/>
    <row r="316" ht="15.9" customHeight="1" x14ac:dyDescent="0.3"/>
    <row r="317" ht="15.9" customHeight="1" x14ac:dyDescent="0.3"/>
    <row r="318" ht="15.9" customHeight="1" x14ac:dyDescent="0.3"/>
    <row r="319" ht="15.9" customHeight="1" x14ac:dyDescent="0.3"/>
    <row r="320" ht="15.9" customHeight="1" x14ac:dyDescent="0.3"/>
    <row r="321" ht="15.9" customHeight="1" x14ac:dyDescent="0.3"/>
    <row r="322" ht="15.9" customHeight="1" x14ac:dyDescent="0.3"/>
    <row r="323" ht="15.9" customHeight="1" x14ac:dyDescent="0.3"/>
    <row r="324" ht="15.9" customHeight="1" x14ac:dyDescent="0.3"/>
    <row r="325" ht="15.9" customHeight="1" x14ac:dyDescent="0.3"/>
    <row r="326" ht="15.9" customHeight="1" x14ac:dyDescent="0.3"/>
    <row r="327" ht="15.9" customHeight="1" x14ac:dyDescent="0.3"/>
    <row r="328" ht="15.9" customHeight="1" x14ac:dyDescent="0.3"/>
    <row r="329" ht="15.9" customHeight="1" x14ac:dyDescent="0.3"/>
    <row r="330" ht="15.9" customHeight="1" x14ac:dyDescent="0.3"/>
    <row r="331" ht="15.9" customHeight="1" x14ac:dyDescent="0.3"/>
    <row r="332" ht="15.9" customHeight="1" x14ac:dyDescent="0.3"/>
    <row r="333" ht="15.9" customHeight="1" x14ac:dyDescent="0.3"/>
    <row r="334" ht="15.9" customHeight="1" x14ac:dyDescent="0.3"/>
    <row r="335" ht="15.9" customHeight="1" x14ac:dyDescent="0.3"/>
    <row r="336" ht="15.9" customHeight="1" x14ac:dyDescent="0.3"/>
    <row r="337" ht="15.9" customHeight="1" x14ac:dyDescent="0.3"/>
    <row r="338" ht="15.9" customHeight="1" x14ac:dyDescent="0.3"/>
    <row r="339" ht="15.9" customHeight="1" x14ac:dyDescent="0.3"/>
    <row r="340" ht="15.9" customHeight="1" x14ac:dyDescent="0.3"/>
    <row r="341" ht="15.9" customHeight="1" x14ac:dyDescent="0.3"/>
    <row r="342" ht="15.9" customHeight="1" x14ac:dyDescent="0.3"/>
    <row r="343" ht="15.9" customHeight="1" x14ac:dyDescent="0.3"/>
    <row r="344" ht="15.9" customHeight="1" x14ac:dyDescent="0.3"/>
    <row r="345" ht="15.9" customHeight="1" x14ac:dyDescent="0.3"/>
    <row r="346" ht="15.9" customHeight="1" x14ac:dyDescent="0.3"/>
    <row r="347" ht="15.9" customHeight="1" x14ac:dyDescent="0.3"/>
    <row r="348" ht="15.9" customHeight="1" x14ac:dyDescent="0.3"/>
    <row r="349" ht="15.9" customHeight="1" x14ac:dyDescent="0.3"/>
    <row r="350" ht="15.9" customHeight="1" x14ac:dyDescent="0.3"/>
    <row r="351" ht="15.9" customHeight="1" x14ac:dyDescent="0.3"/>
    <row r="352" ht="15.9" customHeight="1" x14ac:dyDescent="0.3"/>
    <row r="353" ht="15.9" customHeight="1" x14ac:dyDescent="0.3"/>
    <row r="354" ht="15.9" customHeight="1" x14ac:dyDescent="0.3"/>
    <row r="355" ht="15.9" customHeight="1" x14ac:dyDescent="0.3"/>
    <row r="356" ht="15.9" customHeight="1" x14ac:dyDescent="0.3"/>
    <row r="357" ht="15.9" customHeight="1" x14ac:dyDescent="0.3"/>
    <row r="358" ht="15.9" customHeight="1" x14ac:dyDescent="0.3"/>
    <row r="359" ht="15.9" customHeight="1" x14ac:dyDescent="0.3"/>
    <row r="360" ht="15.9" customHeight="1" x14ac:dyDescent="0.3"/>
    <row r="361" ht="15.9" customHeight="1" x14ac:dyDescent="0.3"/>
    <row r="362" ht="15.9" customHeight="1" x14ac:dyDescent="0.3"/>
    <row r="363" ht="15.9" customHeight="1" x14ac:dyDescent="0.3"/>
    <row r="364" ht="15.9" customHeight="1" x14ac:dyDescent="0.3"/>
    <row r="365" ht="15.9" customHeight="1" x14ac:dyDescent="0.3"/>
    <row r="366" ht="15.9" customHeight="1" x14ac:dyDescent="0.3"/>
    <row r="367" ht="15.9" customHeight="1" x14ac:dyDescent="0.3"/>
    <row r="368" ht="15.9" customHeight="1" x14ac:dyDescent="0.3"/>
    <row r="369" ht="15.9" customHeight="1" x14ac:dyDescent="0.3"/>
    <row r="370" ht="15.9" customHeight="1" x14ac:dyDescent="0.3"/>
    <row r="371" ht="15.9" customHeight="1" x14ac:dyDescent="0.3"/>
    <row r="372" ht="15.9" customHeight="1" x14ac:dyDescent="0.3"/>
    <row r="373" ht="15.9" customHeight="1" x14ac:dyDescent="0.3"/>
    <row r="374" ht="15.9" customHeight="1" x14ac:dyDescent="0.3"/>
    <row r="375" ht="15.9" customHeight="1" x14ac:dyDescent="0.3"/>
    <row r="376" ht="15.9" customHeight="1" x14ac:dyDescent="0.3"/>
    <row r="377" ht="15.9" customHeight="1" x14ac:dyDescent="0.3"/>
    <row r="378" ht="15.9" customHeight="1" x14ac:dyDescent="0.3"/>
    <row r="379" ht="15.9" customHeight="1" x14ac:dyDescent="0.3"/>
    <row r="380" ht="15.9" customHeight="1" x14ac:dyDescent="0.3"/>
    <row r="381" ht="15.9" customHeight="1" x14ac:dyDescent="0.3"/>
    <row r="382" ht="15.9" customHeight="1" x14ac:dyDescent="0.3"/>
    <row r="383" ht="15.9" customHeight="1" x14ac:dyDescent="0.3"/>
    <row r="384" ht="15.9" customHeight="1" x14ac:dyDescent="0.3"/>
    <row r="385" ht="15.9" customHeight="1" x14ac:dyDescent="0.3"/>
    <row r="386" ht="15.9" customHeight="1" x14ac:dyDescent="0.3"/>
    <row r="387" ht="15.9" customHeight="1" x14ac:dyDescent="0.3"/>
    <row r="388" ht="15.9" customHeight="1" x14ac:dyDescent="0.3"/>
    <row r="389" ht="15.9" customHeight="1" x14ac:dyDescent="0.3"/>
    <row r="390" ht="15.9" customHeight="1" x14ac:dyDescent="0.3"/>
    <row r="391" ht="15.9" customHeight="1" x14ac:dyDescent="0.3"/>
    <row r="392" ht="15.9" customHeight="1" x14ac:dyDescent="0.3"/>
    <row r="393" ht="15.9" customHeight="1" x14ac:dyDescent="0.3"/>
    <row r="394" ht="15.9" customHeight="1" x14ac:dyDescent="0.3"/>
    <row r="395" ht="15.9" customHeight="1" x14ac:dyDescent="0.3"/>
    <row r="396" ht="15.9" customHeight="1" x14ac:dyDescent="0.3"/>
    <row r="397" ht="15.9" customHeight="1" x14ac:dyDescent="0.3"/>
    <row r="398" ht="15.9" customHeight="1" x14ac:dyDescent="0.3"/>
    <row r="399" ht="15.9" customHeight="1" x14ac:dyDescent="0.3"/>
    <row r="400" ht="15.9" customHeight="1" x14ac:dyDescent="0.3"/>
    <row r="401" ht="15.9" customHeight="1" x14ac:dyDescent="0.3"/>
    <row r="402" ht="15.9" customHeight="1" x14ac:dyDescent="0.3"/>
    <row r="403" ht="15.9" customHeight="1" x14ac:dyDescent="0.3"/>
    <row r="404" ht="15.9" customHeight="1" x14ac:dyDescent="0.3"/>
    <row r="405" ht="15.9" customHeight="1" x14ac:dyDescent="0.3"/>
    <row r="406" ht="15.9" customHeight="1" x14ac:dyDescent="0.3"/>
    <row r="407" ht="15.9" customHeight="1" x14ac:dyDescent="0.3"/>
    <row r="408" ht="15.9" customHeight="1" x14ac:dyDescent="0.3"/>
    <row r="409" ht="15.9" customHeight="1" x14ac:dyDescent="0.3"/>
    <row r="410" ht="15.9" customHeight="1" x14ac:dyDescent="0.3"/>
    <row r="411" ht="15.9" customHeight="1" x14ac:dyDescent="0.3"/>
    <row r="412" ht="15.9" customHeight="1" x14ac:dyDescent="0.3"/>
    <row r="413" ht="15.9" customHeight="1" x14ac:dyDescent="0.3"/>
    <row r="414" ht="15.9" customHeight="1" x14ac:dyDescent="0.3"/>
    <row r="415" ht="15.9" customHeight="1" x14ac:dyDescent="0.3"/>
    <row r="416" ht="15.9" customHeight="1" x14ac:dyDescent="0.3"/>
    <row r="417" ht="15.9" customHeight="1" x14ac:dyDescent="0.3"/>
    <row r="418" ht="15.9" customHeight="1" x14ac:dyDescent="0.3"/>
    <row r="419" ht="15.9" customHeight="1" x14ac:dyDescent="0.3"/>
    <row r="420" ht="15.9" customHeight="1" x14ac:dyDescent="0.3"/>
    <row r="421" ht="15.9" customHeight="1" x14ac:dyDescent="0.3"/>
    <row r="422" ht="15.9" customHeight="1" x14ac:dyDescent="0.3"/>
    <row r="423" ht="15.9" customHeight="1" x14ac:dyDescent="0.3"/>
    <row r="424" ht="15.9" customHeight="1" x14ac:dyDescent="0.3"/>
    <row r="425" ht="15.9" customHeight="1" x14ac:dyDescent="0.3"/>
    <row r="426" ht="15.9" customHeight="1" x14ac:dyDescent="0.3"/>
    <row r="427" ht="15.9" customHeight="1" x14ac:dyDescent="0.3"/>
    <row r="428" ht="15.9" customHeight="1" x14ac:dyDescent="0.3"/>
    <row r="429" ht="15.9" customHeight="1" x14ac:dyDescent="0.3"/>
    <row r="430" ht="15.9" customHeight="1" x14ac:dyDescent="0.3"/>
    <row r="431" ht="15.9" customHeight="1" x14ac:dyDescent="0.3"/>
    <row r="432" ht="15.9" customHeight="1" x14ac:dyDescent="0.3"/>
    <row r="433" ht="15.9" customHeight="1" x14ac:dyDescent="0.3"/>
    <row r="434" ht="15.9" customHeight="1" x14ac:dyDescent="0.3"/>
    <row r="435" ht="15.9" customHeight="1" x14ac:dyDescent="0.3"/>
    <row r="436" ht="15.9" customHeight="1" x14ac:dyDescent="0.3"/>
    <row r="437" ht="15.9" customHeight="1" x14ac:dyDescent="0.3"/>
    <row r="438" ht="15.9" customHeight="1" x14ac:dyDescent="0.3"/>
    <row r="439" ht="15.9" customHeight="1" x14ac:dyDescent="0.3"/>
    <row r="440" ht="15.9" customHeight="1" x14ac:dyDescent="0.3"/>
    <row r="441" ht="15.9" customHeight="1" x14ac:dyDescent="0.3"/>
    <row r="442" ht="15.9" customHeight="1" x14ac:dyDescent="0.3"/>
    <row r="443" ht="15.9" customHeight="1" x14ac:dyDescent="0.3"/>
    <row r="444" ht="15.9" customHeight="1" x14ac:dyDescent="0.3"/>
    <row r="445" ht="15.9" customHeight="1" x14ac:dyDescent="0.3"/>
    <row r="446" ht="15.9" customHeight="1" x14ac:dyDescent="0.3"/>
    <row r="447" ht="15.9" customHeight="1" x14ac:dyDescent="0.3"/>
    <row r="448" ht="15.9" customHeight="1" x14ac:dyDescent="0.3"/>
    <row r="449" ht="15.9" customHeight="1" x14ac:dyDescent="0.3"/>
    <row r="450" ht="15.9" customHeight="1" x14ac:dyDescent="0.3"/>
    <row r="451" ht="15.9" customHeight="1" x14ac:dyDescent="0.3"/>
    <row r="452" ht="15.9" customHeight="1" x14ac:dyDescent="0.3"/>
    <row r="453" ht="15.9" customHeight="1" x14ac:dyDescent="0.3"/>
    <row r="454" ht="15.9" customHeight="1" x14ac:dyDescent="0.3"/>
    <row r="455" ht="15.9" customHeight="1" x14ac:dyDescent="0.3"/>
    <row r="456" ht="15.9" customHeight="1" x14ac:dyDescent="0.3"/>
    <row r="457" ht="15.9" customHeight="1" x14ac:dyDescent="0.3"/>
    <row r="458" ht="15.9" customHeight="1" x14ac:dyDescent="0.3"/>
    <row r="459" ht="15.9" customHeight="1" x14ac:dyDescent="0.3"/>
    <row r="460" ht="15.9" customHeight="1" x14ac:dyDescent="0.3"/>
    <row r="461" ht="15.9" customHeight="1" x14ac:dyDescent="0.3"/>
    <row r="462" ht="15.9" customHeight="1" x14ac:dyDescent="0.3"/>
    <row r="463" ht="15.9" customHeight="1" x14ac:dyDescent="0.3"/>
    <row r="464" ht="15.9" customHeight="1" x14ac:dyDescent="0.3"/>
    <row r="465" ht="15.9" customHeight="1" x14ac:dyDescent="0.3"/>
    <row r="466" ht="15.9" customHeight="1" x14ac:dyDescent="0.3"/>
    <row r="467" ht="15.9" customHeight="1" x14ac:dyDescent="0.3"/>
    <row r="468" ht="15.9" customHeight="1" x14ac:dyDescent="0.3"/>
    <row r="469" ht="15.9" customHeight="1" x14ac:dyDescent="0.3"/>
    <row r="470" ht="15.9" customHeight="1" x14ac:dyDescent="0.3"/>
    <row r="471" ht="15.9" customHeight="1" x14ac:dyDescent="0.3"/>
    <row r="472" ht="15.9" customHeight="1" x14ac:dyDescent="0.3"/>
    <row r="473" ht="15.9" customHeight="1" x14ac:dyDescent="0.3"/>
    <row r="474" ht="15.9" customHeight="1" x14ac:dyDescent="0.3"/>
    <row r="475" ht="15.9" customHeight="1" x14ac:dyDescent="0.3"/>
    <row r="476" ht="15.9" customHeight="1" x14ac:dyDescent="0.3"/>
    <row r="477" ht="15.9" customHeight="1" x14ac:dyDescent="0.3"/>
    <row r="478" ht="15.9" customHeight="1" x14ac:dyDescent="0.3"/>
    <row r="479" ht="15.9" customHeight="1" x14ac:dyDescent="0.3"/>
    <row r="480" ht="15.9" customHeight="1" x14ac:dyDescent="0.3"/>
    <row r="481" ht="15.9" customHeight="1" x14ac:dyDescent="0.3"/>
    <row r="482" ht="15.9" customHeight="1" x14ac:dyDescent="0.3"/>
    <row r="483" ht="15.9" customHeight="1" x14ac:dyDescent="0.3"/>
    <row r="484" ht="15.9" customHeight="1" x14ac:dyDescent="0.3"/>
    <row r="485" ht="15.9" customHeight="1" x14ac:dyDescent="0.3"/>
    <row r="486" ht="15.9" customHeight="1" x14ac:dyDescent="0.3"/>
    <row r="487" ht="15.9" customHeight="1" x14ac:dyDescent="0.3"/>
    <row r="488" ht="15.9" customHeight="1" x14ac:dyDescent="0.3"/>
    <row r="489" ht="15.9" customHeight="1" x14ac:dyDescent="0.3"/>
    <row r="490" ht="15.9" customHeight="1" x14ac:dyDescent="0.3"/>
    <row r="491" ht="15.9" customHeight="1" x14ac:dyDescent="0.3"/>
    <row r="492" ht="15.9" customHeight="1" x14ac:dyDescent="0.3"/>
    <row r="493" ht="15.9" customHeight="1" x14ac:dyDescent="0.3"/>
    <row r="494" ht="15.9" customHeight="1" x14ac:dyDescent="0.3"/>
    <row r="495" ht="15.9" customHeight="1" x14ac:dyDescent="0.3"/>
    <row r="496" ht="15.9" customHeight="1" x14ac:dyDescent="0.3"/>
    <row r="497" ht="15.9" customHeight="1" x14ac:dyDescent="0.3"/>
    <row r="498" ht="15.9" customHeight="1" x14ac:dyDescent="0.3"/>
    <row r="499" ht="15.9" customHeight="1" x14ac:dyDescent="0.3"/>
    <row r="500" ht="15.9" customHeight="1" x14ac:dyDescent="0.3"/>
    <row r="501" ht="15.9" customHeight="1" x14ac:dyDescent="0.3"/>
    <row r="502" ht="15.9" customHeight="1" x14ac:dyDescent="0.3"/>
    <row r="503" ht="15.9" customHeight="1" x14ac:dyDescent="0.3"/>
  </sheetData>
  <mergeCells count="36">
    <mergeCell ref="C19:D19"/>
    <mergeCell ref="B11:B16"/>
    <mergeCell ref="C11:D16"/>
    <mergeCell ref="E11:F16"/>
    <mergeCell ref="G11:G16"/>
    <mergeCell ref="P7:Q7"/>
    <mergeCell ref="H11:H16"/>
    <mergeCell ref="P11:Q16"/>
    <mergeCell ref="B9:B10"/>
    <mergeCell ref="C9:D10"/>
    <mergeCell ref="E9:F10"/>
    <mergeCell ref="G9:G10"/>
    <mergeCell ref="H9:H10"/>
    <mergeCell ref="P9:Q10"/>
    <mergeCell ref="B8:C8"/>
    <mergeCell ref="F8:H8"/>
    <mergeCell ref="I8:J8"/>
    <mergeCell ref="K8:O8"/>
    <mergeCell ref="B6:C6"/>
    <mergeCell ref="D6:H6"/>
    <mergeCell ref="I6:J6"/>
    <mergeCell ref="K6:L6"/>
    <mergeCell ref="M6:O6"/>
    <mergeCell ref="B7:C7"/>
    <mergeCell ref="D7:H7"/>
    <mergeCell ref="I7:J7"/>
    <mergeCell ref="K7:L7"/>
    <mergeCell ref="P6:Q6"/>
    <mergeCell ref="A2:D2"/>
    <mergeCell ref="E2:N3"/>
    <mergeCell ref="O2:R2"/>
    <mergeCell ref="A3:D3"/>
    <mergeCell ref="O3:R3"/>
    <mergeCell ref="B5:C5"/>
    <mergeCell ref="D5:H5"/>
    <mergeCell ref="I5:O5"/>
  </mergeCells>
  <printOptions horizontalCentered="1"/>
  <pageMargins left="0.3" right="0.3" top="0.45" bottom="0.75" header="0.3" footer="0.3"/>
  <pageSetup paperSize="9" scale="93" orientation="landscape" r:id="rId1"/>
  <headerFooter>
    <oddFooter>&amp;L&amp;1#&amp;"Calibri"&amp;8 Sensitivity: LNT Construction Internal Use</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tabColor rgb="FFFF0000"/>
  </sheetPr>
  <dimension ref="A1:AA546"/>
  <sheetViews>
    <sheetView showGridLines="0" zoomScaleNormal="100" zoomScaleSheetLayoutView="100" workbookViewId="0">
      <selection activeCell="G17" sqref="G17:G22"/>
    </sheetView>
  </sheetViews>
  <sheetFormatPr defaultColWidth="10.44140625" defaultRowHeight="15.6" x14ac:dyDescent="0.3"/>
  <cols>
    <col min="1" max="1" width="1.88671875" style="12" customWidth="1"/>
    <col min="2" max="2" width="6.44140625" style="12" customWidth="1"/>
    <col min="3" max="4" width="12.5546875" style="12" customWidth="1"/>
    <col min="5" max="5" width="7.88671875" style="12" customWidth="1"/>
    <col min="6" max="6" width="30.44140625" style="12" customWidth="1"/>
    <col min="7" max="8" width="6.109375" style="12" customWidth="1"/>
    <col min="9" max="9" width="10.5546875" style="12" customWidth="1"/>
    <col min="10" max="11" width="9" style="12" bestFit="1" customWidth="1"/>
    <col min="12" max="12" width="7.88671875" style="12" customWidth="1"/>
    <col min="13" max="13" width="9" style="12" bestFit="1" customWidth="1"/>
    <col min="14" max="14" width="7.88671875" style="12" customWidth="1"/>
    <col min="15" max="15" width="7.5546875" style="12" customWidth="1"/>
    <col min="16" max="16" width="6.5546875" style="12" customWidth="1"/>
    <col min="17" max="17" width="10.5546875" style="12" customWidth="1"/>
    <col min="18" max="18" width="1.88671875" style="12" customWidth="1"/>
    <col min="19" max="20" width="6.44140625" style="12" customWidth="1"/>
    <col min="21" max="21" width="20.44140625" style="12" customWidth="1"/>
    <col min="22" max="22" width="10.44140625" style="12" customWidth="1"/>
    <col min="23" max="32" width="6.44140625" style="12" customWidth="1"/>
    <col min="33" max="16384" width="10.44140625" style="12"/>
  </cols>
  <sheetData>
    <row r="1" spans="1:27" ht="50.1" customHeight="1" x14ac:dyDescent="0.3">
      <c r="A1" s="56"/>
      <c r="B1" s="57"/>
      <c r="C1" s="57"/>
      <c r="D1" s="57"/>
      <c r="E1" s="57"/>
      <c r="F1" s="57"/>
      <c r="G1" s="57"/>
      <c r="H1" s="57"/>
      <c r="I1" s="57"/>
      <c r="J1" s="57"/>
      <c r="K1" s="57"/>
      <c r="L1" s="57"/>
      <c r="M1" s="57"/>
      <c r="N1" s="57"/>
      <c r="O1" s="57"/>
      <c r="P1" s="57"/>
      <c r="Q1" s="57"/>
      <c r="R1" s="58"/>
    </row>
    <row r="2" spans="1:27" ht="18" customHeight="1" x14ac:dyDescent="0.3">
      <c r="A2" s="184" t="s">
        <v>23</v>
      </c>
      <c r="B2" s="185"/>
      <c r="C2" s="185"/>
      <c r="D2" s="186"/>
      <c r="E2" s="187" t="s">
        <v>24</v>
      </c>
      <c r="F2" s="188"/>
      <c r="G2" s="188"/>
      <c r="H2" s="188"/>
      <c r="I2" s="188"/>
      <c r="J2" s="188"/>
      <c r="K2" s="188"/>
      <c r="L2" s="188"/>
      <c r="M2" s="188"/>
      <c r="N2" s="189"/>
      <c r="O2" s="193" t="s">
        <v>129</v>
      </c>
      <c r="P2" s="193"/>
      <c r="Q2" s="193"/>
      <c r="R2" s="193"/>
    </row>
    <row r="3" spans="1:27" ht="18" customHeight="1" x14ac:dyDescent="0.3">
      <c r="A3" s="194" t="s">
        <v>25</v>
      </c>
      <c r="B3" s="195"/>
      <c r="C3" s="195"/>
      <c r="D3" s="196"/>
      <c r="E3" s="190"/>
      <c r="F3" s="191"/>
      <c r="G3" s="191"/>
      <c r="H3" s="191"/>
      <c r="I3" s="191"/>
      <c r="J3" s="191"/>
      <c r="K3" s="191"/>
      <c r="L3" s="191"/>
      <c r="M3" s="191"/>
      <c r="N3" s="192"/>
      <c r="O3" s="197" t="s">
        <v>130</v>
      </c>
      <c r="P3" s="197"/>
      <c r="Q3" s="197"/>
      <c r="R3" s="197"/>
    </row>
    <row r="4" spans="1:27" s="5" customFormat="1" ht="7.5" customHeight="1" x14ac:dyDescent="0.3">
      <c r="A4" s="2"/>
      <c r="B4" s="13"/>
      <c r="C4" s="13"/>
      <c r="D4" s="13"/>
      <c r="E4" s="13"/>
      <c r="F4" s="13"/>
      <c r="G4" s="13"/>
      <c r="H4" s="13"/>
      <c r="I4" s="13"/>
      <c r="J4" s="13"/>
      <c r="K4" s="13"/>
      <c r="L4" s="13"/>
      <c r="M4" s="13"/>
      <c r="N4" s="13"/>
      <c r="O4" s="13"/>
      <c r="P4" s="13"/>
      <c r="Q4" s="13"/>
      <c r="R4" s="14"/>
      <c r="S4" s="4"/>
    </row>
    <row r="5" spans="1:27" ht="12" customHeight="1" x14ac:dyDescent="0.25">
      <c r="A5" s="2"/>
      <c r="B5" s="198" t="s">
        <v>26</v>
      </c>
      <c r="C5" s="199"/>
      <c r="D5" s="200" t="s">
        <v>27</v>
      </c>
      <c r="E5" s="201"/>
      <c r="F5" s="201"/>
      <c r="G5" s="201"/>
      <c r="H5" s="202"/>
      <c r="I5" s="203" t="s">
        <v>28</v>
      </c>
      <c r="J5" s="204"/>
      <c r="K5" s="204"/>
      <c r="L5" s="204"/>
      <c r="M5" s="204"/>
      <c r="N5" s="204"/>
      <c r="O5" s="205"/>
      <c r="P5" s="119" t="s">
        <v>131</v>
      </c>
      <c r="Q5" s="117"/>
      <c r="R5" s="3"/>
      <c r="U5" s="6"/>
      <c r="V5" s="15"/>
      <c r="W5" s="15"/>
    </row>
    <row r="6" spans="1:27" s="16" customFormat="1" ht="12" customHeight="1" x14ac:dyDescent="0.3">
      <c r="A6" s="7"/>
      <c r="B6" s="214" t="s">
        <v>29</v>
      </c>
      <c r="C6" s="215"/>
      <c r="D6" s="216" t="s">
        <v>30</v>
      </c>
      <c r="E6" s="216"/>
      <c r="F6" s="216"/>
      <c r="G6" s="216"/>
      <c r="H6" s="216"/>
      <c r="I6" s="217" t="s">
        <v>31</v>
      </c>
      <c r="J6" s="218"/>
      <c r="K6" s="218" t="s">
        <v>32</v>
      </c>
      <c r="L6" s="218"/>
      <c r="M6" s="219"/>
      <c r="N6" s="219"/>
      <c r="O6" s="220"/>
      <c r="P6" s="182" t="s">
        <v>33</v>
      </c>
      <c r="Q6" s="183"/>
      <c r="R6" s="8"/>
      <c r="U6" t="s">
        <v>34</v>
      </c>
      <c r="V6" s="59">
        <v>43179</v>
      </c>
      <c r="W6" s="60"/>
    </row>
    <row r="7" spans="1:27" s="16" customFormat="1" ht="12" customHeight="1" x14ac:dyDescent="0.3">
      <c r="A7" s="7"/>
      <c r="B7" s="206" t="s">
        <v>35</v>
      </c>
      <c r="C7" s="207"/>
      <c r="D7" s="208" t="s">
        <v>132</v>
      </c>
      <c r="E7" s="209"/>
      <c r="F7" s="209"/>
      <c r="G7" s="209"/>
      <c r="H7" s="210"/>
      <c r="I7" s="217" t="s">
        <v>36</v>
      </c>
      <c r="J7" s="218"/>
      <c r="K7" s="218" t="s">
        <v>37</v>
      </c>
      <c r="L7" s="218"/>
      <c r="M7" s="17"/>
      <c r="N7" s="17"/>
      <c r="O7" s="18"/>
      <c r="P7" s="221"/>
      <c r="Q7" s="222"/>
      <c r="R7" s="8"/>
      <c r="U7" t="s">
        <v>38</v>
      </c>
      <c r="V7" s="59">
        <v>43207</v>
      </c>
      <c r="W7" s="60"/>
    </row>
    <row r="8" spans="1:27" ht="12" customHeight="1" x14ac:dyDescent="0.3">
      <c r="A8" s="9"/>
      <c r="B8" s="206" t="s">
        <v>39</v>
      </c>
      <c r="C8" s="207"/>
      <c r="D8" s="19" t="s">
        <v>40</v>
      </c>
      <c r="E8" s="20" t="s">
        <v>41</v>
      </c>
      <c r="F8" s="208" t="s">
        <v>138</v>
      </c>
      <c r="G8" s="209"/>
      <c r="H8" s="210"/>
      <c r="I8" s="211" t="s">
        <v>42</v>
      </c>
      <c r="J8" s="212"/>
      <c r="K8" s="212" t="s">
        <v>43</v>
      </c>
      <c r="L8" s="212"/>
      <c r="M8" s="212"/>
      <c r="N8" s="212"/>
      <c r="O8" s="213"/>
      <c r="P8" s="20" t="s">
        <v>129</v>
      </c>
      <c r="Q8" s="21"/>
      <c r="R8" s="10"/>
      <c r="U8" t="s">
        <v>60</v>
      </c>
      <c r="V8" s="59">
        <v>43207</v>
      </c>
      <c r="W8" s="6"/>
      <c r="X8" s="22"/>
      <c r="Y8" s="22"/>
      <c r="Z8" s="22"/>
      <c r="AA8" s="22"/>
    </row>
    <row r="9" spans="1:27" ht="15.6" customHeight="1" x14ac:dyDescent="0.3">
      <c r="A9" s="9"/>
      <c r="B9" s="229" t="s">
        <v>44</v>
      </c>
      <c r="C9" s="231" t="s">
        <v>45</v>
      </c>
      <c r="D9" s="231"/>
      <c r="E9" s="232" t="s">
        <v>46</v>
      </c>
      <c r="F9" s="233"/>
      <c r="G9" s="236" t="s">
        <v>61</v>
      </c>
      <c r="H9" s="231" t="s">
        <v>47</v>
      </c>
      <c r="I9" s="23"/>
      <c r="J9" s="24" t="s">
        <v>137</v>
      </c>
      <c r="K9" s="24" t="s">
        <v>137</v>
      </c>
      <c r="L9" s="24" t="s">
        <v>137</v>
      </c>
      <c r="M9" s="24" t="s">
        <v>137</v>
      </c>
      <c r="N9" s="24" t="s">
        <v>137</v>
      </c>
      <c r="O9" s="24" t="s">
        <v>137</v>
      </c>
      <c r="P9" s="232" t="s">
        <v>48</v>
      </c>
      <c r="Q9" s="238"/>
      <c r="R9" s="10"/>
      <c r="U9" t="s">
        <v>49</v>
      </c>
      <c r="V9" s="59">
        <v>43242</v>
      </c>
      <c r="W9" s="6"/>
      <c r="X9" s="22"/>
      <c r="Y9" s="22"/>
      <c r="Z9" s="22"/>
      <c r="AA9" s="22"/>
    </row>
    <row r="10" spans="1:27" ht="17.399999999999999" customHeight="1" x14ac:dyDescent="0.3">
      <c r="A10" s="9"/>
      <c r="B10" s="230"/>
      <c r="C10" s="231"/>
      <c r="D10" s="231"/>
      <c r="E10" s="234"/>
      <c r="F10" s="235"/>
      <c r="G10" s="237"/>
      <c r="H10" s="231"/>
      <c r="I10" s="25"/>
      <c r="J10" s="26" t="s">
        <v>51</v>
      </c>
      <c r="K10" s="26" t="s">
        <v>66</v>
      </c>
      <c r="L10" s="26"/>
      <c r="M10" s="26">
        <v>0</v>
      </c>
      <c r="N10" s="26">
        <v>1</v>
      </c>
      <c r="O10" s="26">
        <v>2</v>
      </c>
      <c r="P10" s="234"/>
      <c r="Q10" s="239"/>
      <c r="R10" s="10"/>
      <c r="U10" t="s">
        <v>50</v>
      </c>
      <c r="V10" s="59">
        <v>43242</v>
      </c>
      <c r="W10" s="11"/>
      <c r="X10" s="22"/>
      <c r="Y10" s="22"/>
      <c r="Z10" s="22"/>
      <c r="AA10" s="22"/>
    </row>
    <row r="11" spans="1:27" ht="12" customHeight="1" x14ac:dyDescent="0.3">
      <c r="A11" s="30"/>
      <c r="B11" s="241"/>
      <c r="C11" s="243"/>
      <c r="D11" s="244"/>
      <c r="E11" s="247"/>
      <c r="F11" s="248"/>
      <c r="G11" s="223"/>
      <c r="H11" s="223"/>
      <c r="I11" s="27" t="s">
        <v>52</v>
      </c>
      <c r="J11" s="28"/>
      <c r="K11" s="28"/>
      <c r="L11" s="28"/>
      <c r="M11" s="28"/>
      <c r="N11" s="28"/>
      <c r="O11" s="28"/>
      <c r="P11" s="225"/>
      <c r="Q11" s="226"/>
      <c r="R11" s="31"/>
    </row>
    <row r="12" spans="1:27" ht="12" customHeight="1" x14ac:dyDescent="0.3">
      <c r="A12" s="30"/>
      <c r="B12" s="241"/>
      <c r="C12" s="245"/>
      <c r="D12" s="246"/>
      <c r="E12" s="249"/>
      <c r="F12" s="250"/>
      <c r="G12" s="223"/>
      <c r="H12" s="223"/>
      <c r="I12" s="27" t="s">
        <v>54</v>
      </c>
      <c r="J12" s="28"/>
      <c r="K12" s="28"/>
      <c r="L12" s="28"/>
      <c r="M12" s="28"/>
      <c r="N12" s="28"/>
      <c r="O12" s="28"/>
      <c r="P12" s="227"/>
      <c r="Q12" s="228"/>
      <c r="R12" s="31"/>
    </row>
    <row r="13" spans="1:27" ht="12" customHeight="1" x14ac:dyDescent="0.3">
      <c r="A13" s="30"/>
      <c r="B13" s="241"/>
      <c r="C13" s="245"/>
      <c r="D13" s="246"/>
      <c r="E13" s="249"/>
      <c r="F13" s="250"/>
      <c r="G13" s="223"/>
      <c r="H13" s="223"/>
      <c r="I13" s="27" t="s">
        <v>55</v>
      </c>
      <c r="J13" s="28"/>
      <c r="K13" s="28"/>
      <c r="L13" s="28"/>
      <c r="M13" s="28"/>
      <c r="N13" s="28"/>
      <c r="O13" s="28"/>
      <c r="P13" s="227"/>
      <c r="Q13" s="228"/>
      <c r="R13" s="31"/>
    </row>
    <row r="14" spans="1:27" ht="12" customHeight="1" x14ac:dyDescent="0.3">
      <c r="A14" s="30"/>
      <c r="B14" s="241"/>
      <c r="C14" s="245"/>
      <c r="D14" s="246"/>
      <c r="E14" s="249"/>
      <c r="F14" s="250"/>
      <c r="G14" s="223"/>
      <c r="H14" s="223"/>
      <c r="I14" s="27" t="s">
        <v>56</v>
      </c>
      <c r="J14" s="28"/>
      <c r="K14" s="28"/>
      <c r="L14" s="28"/>
      <c r="M14" s="28"/>
      <c r="N14" s="28"/>
      <c r="O14" s="28"/>
      <c r="P14" s="227"/>
      <c r="Q14" s="228"/>
      <c r="R14" s="31"/>
    </row>
    <row r="15" spans="1:27" ht="12" customHeight="1" x14ac:dyDescent="0.3">
      <c r="A15" s="30"/>
      <c r="B15" s="241"/>
      <c r="C15" s="245"/>
      <c r="D15" s="246"/>
      <c r="E15" s="249"/>
      <c r="F15" s="250"/>
      <c r="G15" s="223"/>
      <c r="H15" s="223"/>
      <c r="I15" s="27" t="s">
        <v>57</v>
      </c>
      <c r="J15" s="28"/>
      <c r="K15" s="28"/>
      <c r="L15" s="28"/>
      <c r="M15" s="28"/>
      <c r="N15" s="28"/>
      <c r="O15" s="28"/>
      <c r="P15" s="227"/>
      <c r="Q15" s="228"/>
      <c r="R15" s="31"/>
    </row>
    <row r="16" spans="1:27" ht="12" customHeight="1" x14ac:dyDescent="0.3">
      <c r="A16" s="30"/>
      <c r="B16" s="241"/>
      <c r="C16" s="251"/>
      <c r="D16" s="252"/>
      <c r="E16" s="253"/>
      <c r="F16" s="254"/>
      <c r="G16" s="223"/>
      <c r="H16" s="223"/>
      <c r="I16" s="32" t="s">
        <v>58</v>
      </c>
      <c r="J16" s="29"/>
      <c r="K16" s="29"/>
      <c r="L16" s="29"/>
      <c r="M16" s="29"/>
      <c r="N16" s="33"/>
      <c r="O16" s="33"/>
      <c r="P16" s="227"/>
      <c r="Q16" s="228"/>
      <c r="R16" s="31"/>
    </row>
    <row r="17" spans="1:18" ht="12" customHeight="1" x14ac:dyDescent="0.3">
      <c r="A17" s="30"/>
      <c r="B17" s="241"/>
      <c r="C17" s="243"/>
      <c r="D17" s="244"/>
      <c r="E17" s="247"/>
      <c r="F17" s="248"/>
      <c r="G17" s="223"/>
      <c r="H17" s="223"/>
      <c r="I17" s="27" t="s">
        <v>52</v>
      </c>
      <c r="J17" s="28"/>
      <c r="K17" s="28"/>
      <c r="L17" s="28"/>
      <c r="M17" s="28"/>
      <c r="N17" s="28"/>
      <c r="O17" s="28"/>
      <c r="P17" s="225"/>
      <c r="Q17" s="226"/>
      <c r="R17" s="31"/>
    </row>
    <row r="18" spans="1:18" ht="12" customHeight="1" x14ac:dyDescent="0.3">
      <c r="A18" s="30"/>
      <c r="B18" s="241"/>
      <c r="C18" s="245"/>
      <c r="D18" s="246"/>
      <c r="E18" s="249"/>
      <c r="F18" s="250"/>
      <c r="G18" s="223"/>
      <c r="H18" s="223"/>
      <c r="I18" s="27" t="s">
        <v>54</v>
      </c>
      <c r="J18" s="28"/>
      <c r="K18" s="28"/>
      <c r="L18" s="28"/>
      <c r="M18" s="28"/>
      <c r="N18" s="28"/>
      <c r="O18" s="28"/>
      <c r="P18" s="227"/>
      <c r="Q18" s="228"/>
      <c r="R18" s="31"/>
    </row>
    <row r="19" spans="1:18" ht="12" customHeight="1" x14ac:dyDescent="0.3">
      <c r="A19" s="30"/>
      <c r="B19" s="241"/>
      <c r="C19" s="245"/>
      <c r="D19" s="246"/>
      <c r="E19" s="249"/>
      <c r="F19" s="250"/>
      <c r="G19" s="223"/>
      <c r="H19" s="223"/>
      <c r="I19" s="27" t="s">
        <v>55</v>
      </c>
      <c r="J19" s="28"/>
      <c r="K19" s="28"/>
      <c r="L19" s="28"/>
      <c r="M19" s="28"/>
      <c r="N19" s="28"/>
      <c r="O19" s="28"/>
      <c r="P19" s="227"/>
      <c r="Q19" s="228"/>
      <c r="R19" s="31"/>
    </row>
    <row r="20" spans="1:18" ht="12" customHeight="1" x14ac:dyDescent="0.3">
      <c r="A20" s="30"/>
      <c r="B20" s="241"/>
      <c r="C20" s="245"/>
      <c r="D20" s="246"/>
      <c r="E20" s="249"/>
      <c r="F20" s="250"/>
      <c r="G20" s="223"/>
      <c r="H20" s="223"/>
      <c r="I20" s="27" t="s">
        <v>56</v>
      </c>
      <c r="J20" s="28"/>
      <c r="K20" s="28"/>
      <c r="L20" s="28"/>
      <c r="M20" s="28"/>
      <c r="N20" s="28"/>
      <c r="O20" s="28"/>
      <c r="P20" s="227"/>
      <c r="Q20" s="228"/>
      <c r="R20" s="31"/>
    </row>
    <row r="21" spans="1:18" ht="12" customHeight="1" x14ac:dyDescent="0.3">
      <c r="A21" s="30"/>
      <c r="B21" s="241"/>
      <c r="C21" s="245"/>
      <c r="D21" s="246"/>
      <c r="E21" s="249"/>
      <c r="F21" s="250"/>
      <c r="G21" s="223"/>
      <c r="H21" s="223"/>
      <c r="I21" s="27" t="s">
        <v>57</v>
      </c>
      <c r="J21" s="28"/>
      <c r="K21" s="28"/>
      <c r="L21" s="28"/>
      <c r="M21" s="28"/>
      <c r="N21" s="28"/>
      <c r="O21" s="28"/>
      <c r="P21" s="227"/>
      <c r="Q21" s="228"/>
      <c r="R21" s="31"/>
    </row>
    <row r="22" spans="1:18" ht="12" customHeight="1" x14ac:dyDescent="0.3">
      <c r="A22" s="30"/>
      <c r="B22" s="241"/>
      <c r="C22" s="251"/>
      <c r="D22" s="252"/>
      <c r="E22" s="253"/>
      <c r="F22" s="254"/>
      <c r="G22" s="223"/>
      <c r="H22" s="223"/>
      <c r="I22" s="32" t="s">
        <v>58</v>
      </c>
      <c r="J22" s="29"/>
      <c r="K22" s="29"/>
      <c r="L22" s="29"/>
      <c r="M22" s="29"/>
      <c r="N22" s="33"/>
      <c r="O22" s="33"/>
      <c r="P22" s="227"/>
      <c r="Q22" s="228"/>
      <c r="R22" s="31"/>
    </row>
    <row r="23" spans="1:18" ht="12" customHeight="1" x14ac:dyDescent="0.3">
      <c r="A23" s="30"/>
      <c r="B23" s="241"/>
      <c r="C23" s="243"/>
      <c r="D23" s="244"/>
      <c r="E23" s="247"/>
      <c r="F23" s="248"/>
      <c r="G23" s="223"/>
      <c r="H23" s="223"/>
      <c r="I23" s="27" t="s">
        <v>52</v>
      </c>
      <c r="J23" s="28"/>
      <c r="K23" s="28"/>
      <c r="L23" s="28"/>
      <c r="M23" s="28"/>
      <c r="N23" s="28"/>
      <c r="O23" s="28"/>
      <c r="P23" s="225"/>
      <c r="Q23" s="226"/>
      <c r="R23" s="31"/>
    </row>
    <row r="24" spans="1:18" ht="12" customHeight="1" x14ac:dyDescent="0.3">
      <c r="A24" s="30"/>
      <c r="B24" s="241"/>
      <c r="C24" s="245"/>
      <c r="D24" s="246"/>
      <c r="E24" s="249"/>
      <c r="F24" s="250"/>
      <c r="G24" s="223"/>
      <c r="H24" s="223"/>
      <c r="I24" s="27" t="s">
        <v>54</v>
      </c>
      <c r="J24" s="28"/>
      <c r="K24" s="28"/>
      <c r="L24" s="28"/>
      <c r="M24" s="28"/>
      <c r="N24" s="28"/>
      <c r="O24" s="28"/>
      <c r="P24" s="227"/>
      <c r="Q24" s="228"/>
      <c r="R24" s="31"/>
    </row>
    <row r="25" spans="1:18" ht="12" customHeight="1" x14ac:dyDescent="0.3">
      <c r="A25" s="30"/>
      <c r="B25" s="241"/>
      <c r="C25" s="245"/>
      <c r="D25" s="246"/>
      <c r="E25" s="249"/>
      <c r="F25" s="250"/>
      <c r="G25" s="223"/>
      <c r="H25" s="223"/>
      <c r="I25" s="27" t="s">
        <v>55</v>
      </c>
      <c r="J25" s="28"/>
      <c r="K25" s="28"/>
      <c r="L25" s="28"/>
      <c r="M25" s="28"/>
      <c r="N25" s="28"/>
      <c r="O25" s="28"/>
      <c r="P25" s="227"/>
      <c r="Q25" s="228"/>
      <c r="R25" s="31"/>
    </row>
    <row r="26" spans="1:18" ht="12" customHeight="1" x14ac:dyDescent="0.3">
      <c r="A26" s="30"/>
      <c r="B26" s="241"/>
      <c r="C26" s="245"/>
      <c r="D26" s="246"/>
      <c r="E26" s="249"/>
      <c r="F26" s="250"/>
      <c r="G26" s="223"/>
      <c r="H26" s="223"/>
      <c r="I26" s="27" t="s">
        <v>56</v>
      </c>
      <c r="J26" s="28"/>
      <c r="K26" s="28"/>
      <c r="L26" s="28"/>
      <c r="M26" s="28"/>
      <c r="N26" s="28"/>
      <c r="O26" s="28"/>
      <c r="P26" s="227"/>
      <c r="Q26" s="228"/>
      <c r="R26" s="31"/>
    </row>
    <row r="27" spans="1:18" ht="12" customHeight="1" x14ac:dyDescent="0.3">
      <c r="A27" s="30"/>
      <c r="B27" s="241"/>
      <c r="C27" s="245"/>
      <c r="D27" s="246"/>
      <c r="E27" s="249"/>
      <c r="F27" s="250"/>
      <c r="G27" s="223"/>
      <c r="H27" s="223"/>
      <c r="I27" s="27" t="s">
        <v>57</v>
      </c>
      <c r="J27" s="28"/>
      <c r="K27" s="28"/>
      <c r="L27" s="28"/>
      <c r="M27" s="28"/>
      <c r="N27" s="28"/>
      <c r="O27" s="28"/>
      <c r="P27" s="227"/>
      <c r="Q27" s="228"/>
      <c r="R27" s="31"/>
    </row>
    <row r="28" spans="1:18" ht="12" customHeight="1" x14ac:dyDescent="0.3">
      <c r="A28" s="30"/>
      <c r="B28" s="241"/>
      <c r="C28" s="251"/>
      <c r="D28" s="252"/>
      <c r="E28" s="253"/>
      <c r="F28" s="254"/>
      <c r="G28" s="223"/>
      <c r="H28" s="223"/>
      <c r="I28" s="32" t="s">
        <v>58</v>
      </c>
      <c r="J28" s="29"/>
      <c r="K28" s="29"/>
      <c r="L28" s="29"/>
      <c r="M28" s="29"/>
      <c r="N28" s="33"/>
      <c r="O28" s="33"/>
      <c r="P28" s="227"/>
      <c r="Q28" s="228"/>
      <c r="R28" s="31"/>
    </row>
    <row r="29" spans="1:18" ht="12" customHeight="1" x14ac:dyDescent="0.3">
      <c r="A29" s="30"/>
      <c r="B29" s="241"/>
      <c r="C29" s="243"/>
      <c r="D29" s="244"/>
      <c r="E29" s="247"/>
      <c r="F29" s="248"/>
      <c r="G29" s="223"/>
      <c r="H29" s="223"/>
      <c r="I29" s="27" t="s">
        <v>52</v>
      </c>
      <c r="J29" s="28"/>
      <c r="K29" s="28"/>
      <c r="L29" s="28"/>
      <c r="M29" s="28"/>
      <c r="N29" s="28"/>
      <c r="O29" s="28"/>
      <c r="P29" s="225"/>
      <c r="Q29" s="226"/>
      <c r="R29" s="31"/>
    </row>
    <row r="30" spans="1:18" ht="12" customHeight="1" x14ac:dyDescent="0.3">
      <c r="A30" s="30"/>
      <c r="B30" s="241"/>
      <c r="C30" s="245"/>
      <c r="D30" s="246"/>
      <c r="E30" s="249"/>
      <c r="F30" s="250"/>
      <c r="G30" s="223"/>
      <c r="H30" s="223"/>
      <c r="I30" s="27" t="s">
        <v>54</v>
      </c>
      <c r="J30" s="28"/>
      <c r="K30" s="28"/>
      <c r="L30" s="28"/>
      <c r="M30" s="28"/>
      <c r="N30" s="28"/>
      <c r="O30" s="28"/>
      <c r="P30" s="227"/>
      <c r="Q30" s="228"/>
      <c r="R30" s="31"/>
    </row>
    <row r="31" spans="1:18" ht="12" customHeight="1" x14ac:dyDescent="0.3">
      <c r="A31" s="30"/>
      <c r="B31" s="241"/>
      <c r="C31" s="245"/>
      <c r="D31" s="246"/>
      <c r="E31" s="249"/>
      <c r="F31" s="250"/>
      <c r="G31" s="223"/>
      <c r="H31" s="223"/>
      <c r="I31" s="27" t="s">
        <v>55</v>
      </c>
      <c r="J31" s="28"/>
      <c r="K31" s="28"/>
      <c r="L31" s="28"/>
      <c r="M31" s="28"/>
      <c r="N31" s="28"/>
      <c r="O31" s="28"/>
      <c r="P31" s="227"/>
      <c r="Q31" s="228"/>
      <c r="R31" s="31"/>
    </row>
    <row r="32" spans="1:18" ht="12" customHeight="1" x14ac:dyDescent="0.3">
      <c r="A32" s="30"/>
      <c r="B32" s="241"/>
      <c r="C32" s="245"/>
      <c r="D32" s="246"/>
      <c r="E32" s="249"/>
      <c r="F32" s="250"/>
      <c r="G32" s="223"/>
      <c r="H32" s="223"/>
      <c r="I32" s="27" t="s">
        <v>56</v>
      </c>
      <c r="J32" s="28"/>
      <c r="K32" s="28"/>
      <c r="L32" s="28"/>
      <c r="M32" s="28"/>
      <c r="N32" s="28"/>
      <c r="O32" s="28"/>
      <c r="P32" s="227"/>
      <c r="Q32" s="228"/>
      <c r="R32" s="31"/>
    </row>
    <row r="33" spans="1:18" ht="12" customHeight="1" x14ac:dyDescent="0.3">
      <c r="A33" s="30"/>
      <c r="B33" s="241"/>
      <c r="C33" s="245"/>
      <c r="D33" s="246"/>
      <c r="E33" s="249"/>
      <c r="F33" s="250"/>
      <c r="G33" s="223"/>
      <c r="H33" s="223"/>
      <c r="I33" s="27" t="s">
        <v>57</v>
      </c>
      <c r="J33" s="28"/>
      <c r="K33" s="28"/>
      <c r="L33" s="28"/>
      <c r="M33" s="28"/>
      <c r="N33" s="28"/>
      <c r="O33" s="28"/>
      <c r="P33" s="227"/>
      <c r="Q33" s="228"/>
      <c r="R33" s="31"/>
    </row>
    <row r="34" spans="1:18" ht="12" customHeight="1" x14ac:dyDescent="0.3">
      <c r="A34" s="30"/>
      <c r="B34" s="241"/>
      <c r="C34" s="251"/>
      <c r="D34" s="252"/>
      <c r="E34" s="253"/>
      <c r="F34" s="254"/>
      <c r="G34" s="223"/>
      <c r="H34" s="223"/>
      <c r="I34" s="32" t="s">
        <v>58</v>
      </c>
      <c r="J34" s="29"/>
      <c r="K34" s="29"/>
      <c r="L34" s="29"/>
      <c r="M34" s="29"/>
      <c r="N34" s="33"/>
      <c r="O34" s="33"/>
      <c r="P34" s="227"/>
      <c r="Q34" s="228"/>
      <c r="R34" s="31"/>
    </row>
    <row r="35" spans="1:18" ht="12" customHeight="1" x14ac:dyDescent="0.3">
      <c r="A35" s="30"/>
      <c r="B35" s="241"/>
      <c r="C35" s="243"/>
      <c r="D35" s="244"/>
      <c r="E35" s="247"/>
      <c r="F35" s="248"/>
      <c r="G35" s="223"/>
      <c r="H35" s="223"/>
      <c r="I35" s="27" t="s">
        <v>52</v>
      </c>
      <c r="J35" s="28"/>
      <c r="K35" s="28"/>
      <c r="L35" s="28"/>
      <c r="M35" s="28"/>
      <c r="N35" s="28"/>
      <c r="O35" s="28"/>
      <c r="P35" s="225"/>
      <c r="Q35" s="226"/>
      <c r="R35" s="31"/>
    </row>
    <row r="36" spans="1:18" ht="12" customHeight="1" x14ac:dyDescent="0.3">
      <c r="A36" s="30"/>
      <c r="B36" s="241"/>
      <c r="C36" s="245"/>
      <c r="D36" s="246"/>
      <c r="E36" s="249"/>
      <c r="F36" s="250"/>
      <c r="G36" s="223"/>
      <c r="H36" s="223"/>
      <c r="I36" s="27" t="s">
        <v>54</v>
      </c>
      <c r="J36" s="28"/>
      <c r="K36" s="28"/>
      <c r="L36" s="28"/>
      <c r="M36" s="28"/>
      <c r="N36" s="28"/>
      <c r="O36" s="28"/>
      <c r="P36" s="227"/>
      <c r="Q36" s="228"/>
      <c r="R36" s="31"/>
    </row>
    <row r="37" spans="1:18" ht="12" customHeight="1" x14ac:dyDescent="0.3">
      <c r="A37" s="30"/>
      <c r="B37" s="241"/>
      <c r="C37" s="245"/>
      <c r="D37" s="246"/>
      <c r="E37" s="249"/>
      <c r="F37" s="250"/>
      <c r="G37" s="223"/>
      <c r="H37" s="223"/>
      <c r="I37" s="27" t="s">
        <v>55</v>
      </c>
      <c r="J37" s="28"/>
      <c r="K37" s="28"/>
      <c r="L37" s="28"/>
      <c r="M37" s="28"/>
      <c r="N37" s="28"/>
      <c r="O37" s="28"/>
      <c r="P37" s="227"/>
      <c r="Q37" s="228"/>
      <c r="R37" s="31"/>
    </row>
    <row r="38" spans="1:18" ht="12" customHeight="1" x14ac:dyDescent="0.3">
      <c r="A38" s="30"/>
      <c r="B38" s="241"/>
      <c r="C38" s="245"/>
      <c r="D38" s="246"/>
      <c r="E38" s="249"/>
      <c r="F38" s="250"/>
      <c r="G38" s="223"/>
      <c r="H38" s="223"/>
      <c r="I38" s="27" t="s">
        <v>56</v>
      </c>
      <c r="J38" s="28"/>
      <c r="K38" s="28"/>
      <c r="L38" s="28"/>
      <c r="M38" s="28"/>
      <c r="N38" s="28"/>
      <c r="O38" s="28"/>
      <c r="P38" s="227"/>
      <c r="Q38" s="228"/>
      <c r="R38" s="31"/>
    </row>
    <row r="39" spans="1:18" ht="12" customHeight="1" x14ac:dyDescent="0.3">
      <c r="A39" s="30"/>
      <c r="B39" s="241"/>
      <c r="C39" s="245"/>
      <c r="D39" s="246"/>
      <c r="E39" s="249"/>
      <c r="F39" s="250"/>
      <c r="G39" s="223"/>
      <c r="H39" s="223"/>
      <c r="I39" s="27" t="s">
        <v>57</v>
      </c>
      <c r="J39" s="28"/>
      <c r="K39" s="28"/>
      <c r="L39" s="28"/>
      <c r="M39" s="28"/>
      <c r="N39" s="28"/>
      <c r="O39" s="28"/>
      <c r="P39" s="227"/>
      <c r="Q39" s="228"/>
      <c r="R39" s="31"/>
    </row>
    <row r="40" spans="1:18" ht="12" customHeight="1" x14ac:dyDescent="0.3">
      <c r="A40" s="30"/>
      <c r="B40" s="241"/>
      <c r="C40" s="251"/>
      <c r="D40" s="252"/>
      <c r="E40" s="253"/>
      <c r="F40" s="254"/>
      <c r="G40" s="223"/>
      <c r="H40" s="223"/>
      <c r="I40" s="32" t="s">
        <v>58</v>
      </c>
      <c r="J40" s="29"/>
      <c r="K40" s="29"/>
      <c r="L40" s="29"/>
      <c r="M40" s="29"/>
      <c r="N40" s="33"/>
      <c r="O40" s="33"/>
      <c r="P40" s="227"/>
      <c r="Q40" s="228"/>
      <c r="R40" s="31"/>
    </row>
    <row r="41" spans="1:18" ht="12" customHeight="1" x14ac:dyDescent="0.3">
      <c r="A41" s="30"/>
      <c r="B41" s="241"/>
      <c r="C41" s="243"/>
      <c r="D41" s="244"/>
      <c r="E41" s="247"/>
      <c r="F41" s="248"/>
      <c r="G41" s="223"/>
      <c r="H41" s="223"/>
      <c r="I41" s="27" t="s">
        <v>52</v>
      </c>
      <c r="J41" s="28"/>
      <c r="K41" s="28"/>
      <c r="L41" s="28"/>
      <c r="M41" s="28"/>
      <c r="N41" s="28"/>
      <c r="O41" s="28"/>
      <c r="P41" s="225"/>
      <c r="Q41" s="226"/>
      <c r="R41" s="31"/>
    </row>
    <row r="42" spans="1:18" ht="12" customHeight="1" x14ac:dyDescent="0.3">
      <c r="A42" s="30"/>
      <c r="B42" s="241"/>
      <c r="C42" s="245"/>
      <c r="D42" s="246"/>
      <c r="E42" s="249"/>
      <c r="F42" s="250"/>
      <c r="G42" s="223"/>
      <c r="H42" s="223"/>
      <c r="I42" s="27" t="s">
        <v>54</v>
      </c>
      <c r="J42" s="28"/>
      <c r="K42" s="28"/>
      <c r="L42" s="28"/>
      <c r="M42" s="28"/>
      <c r="N42" s="28"/>
      <c r="O42" s="28"/>
      <c r="P42" s="227"/>
      <c r="Q42" s="228"/>
      <c r="R42" s="31"/>
    </row>
    <row r="43" spans="1:18" ht="12" customHeight="1" x14ac:dyDescent="0.3">
      <c r="A43" s="30"/>
      <c r="B43" s="241"/>
      <c r="C43" s="245"/>
      <c r="D43" s="246"/>
      <c r="E43" s="249"/>
      <c r="F43" s="250"/>
      <c r="G43" s="223"/>
      <c r="H43" s="223"/>
      <c r="I43" s="27" t="s">
        <v>55</v>
      </c>
      <c r="J43" s="28"/>
      <c r="K43" s="28"/>
      <c r="L43" s="28"/>
      <c r="M43" s="28"/>
      <c r="N43" s="28"/>
      <c r="O43" s="28"/>
      <c r="P43" s="227"/>
      <c r="Q43" s="228"/>
      <c r="R43" s="31"/>
    </row>
    <row r="44" spans="1:18" ht="12" customHeight="1" x14ac:dyDescent="0.3">
      <c r="A44" s="30"/>
      <c r="B44" s="241"/>
      <c r="C44" s="245"/>
      <c r="D44" s="246"/>
      <c r="E44" s="249"/>
      <c r="F44" s="250"/>
      <c r="G44" s="223"/>
      <c r="H44" s="223"/>
      <c r="I44" s="27" t="s">
        <v>56</v>
      </c>
      <c r="J44" s="28"/>
      <c r="K44" s="28"/>
      <c r="L44" s="28"/>
      <c r="M44" s="28"/>
      <c r="N44" s="28"/>
      <c r="O44" s="28"/>
      <c r="P44" s="227"/>
      <c r="Q44" s="228"/>
      <c r="R44" s="31"/>
    </row>
    <row r="45" spans="1:18" ht="12" customHeight="1" x14ac:dyDescent="0.3">
      <c r="A45" s="30"/>
      <c r="B45" s="241"/>
      <c r="C45" s="245"/>
      <c r="D45" s="246"/>
      <c r="E45" s="249"/>
      <c r="F45" s="250"/>
      <c r="G45" s="223"/>
      <c r="H45" s="223"/>
      <c r="I45" s="27" t="s">
        <v>57</v>
      </c>
      <c r="J45" s="28"/>
      <c r="K45" s="28"/>
      <c r="L45" s="28"/>
      <c r="M45" s="28"/>
      <c r="N45" s="28"/>
      <c r="O45" s="28"/>
      <c r="P45" s="227"/>
      <c r="Q45" s="228"/>
      <c r="R45" s="31"/>
    </row>
    <row r="46" spans="1:18" ht="12" customHeight="1" x14ac:dyDescent="0.3">
      <c r="A46" s="30"/>
      <c r="B46" s="241"/>
      <c r="C46" s="251"/>
      <c r="D46" s="252"/>
      <c r="E46" s="253"/>
      <c r="F46" s="254"/>
      <c r="G46" s="223"/>
      <c r="H46" s="223"/>
      <c r="I46" s="32" t="s">
        <v>58</v>
      </c>
      <c r="J46" s="29"/>
      <c r="K46" s="29"/>
      <c r="L46" s="29"/>
      <c r="M46" s="29"/>
      <c r="N46" s="33"/>
      <c r="O46" s="33"/>
      <c r="P46" s="227"/>
      <c r="Q46" s="228"/>
      <c r="R46" s="31"/>
    </row>
    <row r="47" spans="1:18" ht="12" customHeight="1" x14ac:dyDescent="0.3">
      <c r="A47" s="30"/>
      <c r="B47" s="241"/>
      <c r="C47" s="243"/>
      <c r="D47" s="244"/>
      <c r="E47" s="247"/>
      <c r="F47" s="248"/>
      <c r="G47" s="223"/>
      <c r="H47" s="223"/>
      <c r="I47" s="27" t="s">
        <v>52</v>
      </c>
      <c r="J47" s="28"/>
      <c r="K47" s="28"/>
      <c r="L47" s="28"/>
      <c r="M47" s="28"/>
      <c r="N47" s="28"/>
      <c r="O47" s="28"/>
      <c r="P47" s="225"/>
      <c r="Q47" s="226"/>
      <c r="R47" s="31"/>
    </row>
    <row r="48" spans="1:18" ht="12" customHeight="1" x14ac:dyDescent="0.3">
      <c r="A48" s="30"/>
      <c r="B48" s="241"/>
      <c r="C48" s="245"/>
      <c r="D48" s="246"/>
      <c r="E48" s="249"/>
      <c r="F48" s="250"/>
      <c r="G48" s="223"/>
      <c r="H48" s="223"/>
      <c r="I48" s="27" t="s">
        <v>54</v>
      </c>
      <c r="J48" s="28"/>
      <c r="K48" s="28"/>
      <c r="L48" s="28"/>
      <c r="M48" s="28"/>
      <c r="N48" s="28"/>
      <c r="O48" s="28"/>
      <c r="P48" s="227"/>
      <c r="Q48" s="228"/>
      <c r="R48" s="31"/>
    </row>
    <row r="49" spans="1:18" ht="12" customHeight="1" x14ac:dyDescent="0.3">
      <c r="A49" s="30"/>
      <c r="B49" s="241"/>
      <c r="C49" s="245"/>
      <c r="D49" s="246"/>
      <c r="E49" s="249"/>
      <c r="F49" s="250"/>
      <c r="G49" s="223"/>
      <c r="H49" s="223"/>
      <c r="I49" s="27" t="s">
        <v>55</v>
      </c>
      <c r="J49" s="28"/>
      <c r="K49" s="28"/>
      <c r="L49" s="28"/>
      <c r="M49" s="28"/>
      <c r="N49" s="28"/>
      <c r="O49" s="28"/>
      <c r="P49" s="227"/>
      <c r="Q49" s="228"/>
      <c r="R49" s="31"/>
    </row>
    <row r="50" spans="1:18" ht="12" customHeight="1" x14ac:dyDescent="0.3">
      <c r="A50" s="30"/>
      <c r="B50" s="241"/>
      <c r="C50" s="245"/>
      <c r="D50" s="246"/>
      <c r="E50" s="249"/>
      <c r="F50" s="250"/>
      <c r="G50" s="223"/>
      <c r="H50" s="223"/>
      <c r="I50" s="27" t="s">
        <v>56</v>
      </c>
      <c r="J50" s="28"/>
      <c r="K50" s="28"/>
      <c r="L50" s="28"/>
      <c r="M50" s="28"/>
      <c r="N50" s="28"/>
      <c r="O50" s="28"/>
      <c r="P50" s="227"/>
      <c r="Q50" s="228"/>
      <c r="R50" s="31"/>
    </row>
    <row r="51" spans="1:18" ht="12" customHeight="1" x14ac:dyDescent="0.3">
      <c r="A51" s="30"/>
      <c r="B51" s="241"/>
      <c r="C51" s="245"/>
      <c r="D51" s="246"/>
      <c r="E51" s="249"/>
      <c r="F51" s="250"/>
      <c r="G51" s="223"/>
      <c r="H51" s="223"/>
      <c r="I51" s="27" t="s">
        <v>57</v>
      </c>
      <c r="J51" s="28"/>
      <c r="K51" s="28"/>
      <c r="L51" s="28"/>
      <c r="M51" s="28"/>
      <c r="N51" s="28"/>
      <c r="O51" s="28"/>
      <c r="P51" s="227"/>
      <c r="Q51" s="228"/>
      <c r="R51" s="31"/>
    </row>
    <row r="52" spans="1:18" ht="12" customHeight="1" x14ac:dyDescent="0.3">
      <c r="A52" s="30"/>
      <c r="B52" s="241"/>
      <c r="C52" s="251"/>
      <c r="D52" s="252"/>
      <c r="E52" s="253"/>
      <c r="F52" s="254"/>
      <c r="G52" s="223"/>
      <c r="H52" s="223"/>
      <c r="I52" s="32" t="s">
        <v>58</v>
      </c>
      <c r="J52" s="29"/>
      <c r="K52" s="29"/>
      <c r="L52" s="29"/>
      <c r="M52" s="29"/>
      <c r="N52" s="33"/>
      <c r="O52" s="33"/>
      <c r="P52" s="227"/>
      <c r="Q52" s="228"/>
      <c r="R52" s="31"/>
    </row>
    <row r="53" spans="1:18" ht="12" customHeight="1" x14ac:dyDescent="0.3">
      <c r="A53" s="30"/>
      <c r="B53" s="241"/>
      <c r="C53" s="243"/>
      <c r="D53" s="244"/>
      <c r="E53" s="247"/>
      <c r="F53" s="248"/>
      <c r="G53" s="223"/>
      <c r="H53" s="223"/>
      <c r="I53" s="27" t="s">
        <v>52</v>
      </c>
      <c r="J53" s="28"/>
      <c r="K53" s="28"/>
      <c r="L53" s="28"/>
      <c r="M53" s="28"/>
      <c r="N53" s="28"/>
      <c r="O53" s="28"/>
      <c r="P53" s="225"/>
      <c r="Q53" s="226"/>
      <c r="R53" s="31"/>
    </row>
    <row r="54" spans="1:18" ht="12" customHeight="1" x14ac:dyDescent="0.3">
      <c r="A54" s="30"/>
      <c r="B54" s="241"/>
      <c r="C54" s="245"/>
      <c r="D54" s="246"/>
      <c r="E54" s="249"/>
      <c r="F54" s="250"/>
      <c r="G54" s="223"/>
      <c r="H54" s="223"/>
      <c r="I54" s="27" t="s">
        <v>54</v>
      </c>
      <c r="J54" s="28"/>
      <c r="K54" s="28"/>
      <c r="L54" s="28"/>
      <c r="M54" s="28"/>
      <c r="N54" s="28"/>
      <c r="O54" s="28"/>
      <c r="P54" s="227"/>
      <c r="Q54" s="228"/>
      <c r="R54" s="31"/>
    </row>
    <row r="55" spans="1:18" ht="12" customHeight="1" x14ac:dyDescent="0.3">
      <c r="A55" s="30"/>
      <c r="B55" s="241"/>
      <c r="C55" s="245"/>
      <c r="D55" s="246"/>
      <c r="E55" s="249"/>
      <c r="F55" s="250"/>
      <c r="G55" s="223"/>
      <c r="H55" s="223"/>
      <c r="I55" s="27" t="s">
        <v>55</v>
      </c>
      <c r="J55" s="28"/>
      <c r="K55" s="28"/>
      <c r="L55" s="28"/>
      <c r="M55" s="28"/>
      <c r="N55" s="28"/>
      <c r="O55" s="28"/>
      <c r="P55" s="227"/>
      <c r="Q55" s="228"/>
      <c r="R55" s="31"/>
    </row>
    <row r="56" spans="1:18" ht="12" customHeight="1" x14ac:dyDescent="0.3">
      <c r="A56" s="30"/>
      <c r="B56" s="241"/>
      <c r="C56" s="245"/>
      <c r="D56" s="246"/>
      <c r="E56" s="249"/>
      <c r="F56" s="250"/>
      <c r="G56" s="223"/>
      <c r="H56" s="223"/>
      <c r="I56" s="27" t="s">
        <v>56</v>
      </c>
      <c r="J56" s="28"/>
      <c r="K56" s="28"/>
      <c r="L56" s="28"/>
      <c r="M56" s="28"/>
      <c r="N56" s="28"/>
      <c r="O56" s="28"/>
      <c r="P56" s="227"/>
      <c r="Q56" s="228"/>
      <c r="R56" s="31"/>
    </row>
    <row r="57" spans="1:18" ht="12" customHeight="1" x14ac:dyDescent="0.3">
      <c r="A57" s="30"/>
      <c r="B57" s="241"/>
      <c r="C57" s="245"/>
      <c r="D57" s="246"/>
      <c r="E57" s="249"/>
      <c r="F57" s="250"/>
      <c r="G57" s="223"/>
      <c r="H57" s="223"/>
      <c r="I57" s="27" t="s">
        <v>57</v>
      </c>
      <c r="J57" s="28"/>
      <c r="K57" s="28"/>
      <c r="L57" s="28"/>
      <c r="M57" s="28"/>
      <c r="N57" s="28"/>
      <c r="O57" s="28"/>
      <c r="P57" s="227"/>
      <c r="Q57" s="228"/>
      <c r="R57" s="31"/>
    </row>
    <row r="58" spans="1:18" ht="12" customHeight="1" x14ac:dyDescent="0.3">
      <c r="A58" s="30"/>
      <c r="B58" s="241"/>
      <c r="C58" s="251"/>
      <c r="D58" s="252"/>
      <c r="E58" s="249"/>
      <c r="F58" s="250"/>
      <c r="G58" s="223"/>
      <c r="H58" s="223"/>
      <c r="I58" s="32" t="s">
        <v>58</v>
      </c>
      <c r="J58" s="29"/>
      <c r="K58" s="29"/>
      <c r="L58" s="29"/>
      <c r="M58" s="29"/>
      <c r="N58" s="33"/>
      <c r="O58" s="33"/>
      <c r="P58" s="227"/>
      <c r="Q58" s="228"/>
      <c r="R58" s="31"/>
    </row>
    <row r="59" spans="1:18" ht="12" customHeight="1" x14ac:dyDescent="0.3">
      <c r="A59" s="30"/>
      <c r="B59" s="34"/>
      <c r="C59" s="34"/>
      <c r="D59" s="34"/>
      <c r="E59" s="35"/>
      <c r="F59" s="35"/>
      <c r="G59" s="36"/>
      <c r="H59" s="36"/>
      <c r="I59" s="37"/>
      <c r="J59" s="38"/>
      <c r="K59" s="38"/>
      <c r="L59" s="38"/>
      <c r="M59" s="38"/>
      <c r="N59" s="38"/>
      <c r="O59" s="38"/>
      <c r="P59" s="39"/>
      <c r="Q59" s="39"/>
      <c r="R59" s="31"/>
    </row>
    <row r="60" spans="1:18" ht="12" customHeight="1" x14ac:dyDescent="0.3">
      <c r="A60" s="30"/>
      <c r="B60" s="40"/>
      <c r="C60" s="40"/>
      <c r="D60" s="40"/>
      <c r="E60" s="41"/>
      <c r="F60" s="41"/>
      <c r="G60" s="42"/>
      <c r="H60" s="42"/>
      <c r="I60" s="43"/>
      <c r="J60" s="44"/>
      <c r="K60" s="44"/>
      <c r="L60" s="44"/>
      <c r="M60" s="44"/>
      <c r="N60" s="44"/>
      <c r="O60" s="44"/>
      <c r="P60" s="45"/>
      <c r="Q60" s="45"/>
      <c r="R60" s="31"/>
    </row>
    <row r="61" spans="1:18" s="54" customFormat="1" ht="14.1" customHeight="1" x14ac:dyDescent="0.3">
      <c r="A61" s="61"/>
      <c r="B61" s="40"/>
      <c r="C61" s="40"/>
      <c r="D61" s="40"/>
      <c r="E61" s="41"/>
      <c r="F61" s="41"/>
      <c r="G61" s="42"/>
      <c r="H61" s="42"/>
      <c r="I61" s="43"/>
      <c r="J61" s="44"/>
      <c r="K61" s="44"/>
      <c r="L61" s="44"/>
      <c r="M61" s="44"/>
      <c r="N61" s="44"/>
      <c r="O61" s="44"/>
      <c r="P61" s="45"/>
      <c r="Q61" s="45"/>
      <c r="R61" s="62"/>
    </row>
    <row r="62" spans="1:18" ht="12" customHeight="1" x14ac:dyDescent="0.3">
      <c r="A62" s="30"/>
      <c r="B62" s="40"/>
      <c r="C62" s="240" t="s">
        <v>135</v>
      </c>
      <c r="D62" s="240"/>
      <c r="E62" s="41"/>
      <c r="F62" s="41"/>
      <c r="G62" s="42"/>
      <c r="H62" s="42"/>
      <c r="I62" s="43"/>
      <c r="J62" s="44"/>
      <c r="K62" s="44"/>
      <c r="L62" s="44"/>
      <c r="M62" s="38"/>
      <c r="N62" s="118" t="s">
        <v>136</v>
      </c>
      <c r="O62" s="38"/>
      <c r="P62" s="45"/>
      <c r="Q62" s="45"/>
      <c r="R62" s="31"/>
    </row>
    <row r="63" spans="1:18" ht="12" customHeight="1" x14ac:dyDescent="0.3">
      <c r="A63" s="46"/>
      <c r="B63" s="47"/>
      <c r="C63" s="47"/>
      <c r="D63" s="47"/>
      <c r="E63" s="48"/>
      <c r="F63" s="48"/>
      <c r="G63" s="49"/>
      <c r="H63" s="49"/>
      <c r="I63" s="50"/>
      <c r="J63" s="51"/>
      <c r="K63" s="51"/>
      <c r="L63" s="51"/>
      <c r="M63" s="51"/>
      <c r="N63" s="51"/>
      <c r="O63" s="51"/>
      <c r="P63" s="52"/>
      <c r="Q63" s="52"/>
      <c r="R63" s="53"/>
    </row>
    <row r="64" spans="1:18" ht="15.9" customHeight="1" x14ac:dyDescent="0.3">
      <c r="B64" s="40"/>
      <c r="C64" s="40"/>
      <c r="D64" s="40"/>
      <c r="E64" s="41"/>
      <c r="F64" s="41"/>
      <c r="G64" s="42"/>
      <c r="H64" s="42"/>
      <c r="I64" s="43"/>
      <c r="J64" s="44"/>
      <c r="K64" s="44"/>
      <c r="L64" s="44"/>
      <c r="M64" s="44"/>
      <c r="N64" s="44"/>
      <c r="O64" s="44"/>
      <c r="P64" s="45"/>
      <c r="Q64" s="45"/>
    </row>
    <row r="65" spans="2:17" ht="15.9" customHeight="1" x14ac:dyDescent="0.3">
      <c r="B65" s="40"/>
      <c r="C65" s="40"/>
      <c r="D65" s="40"/>
      <c r="E65" s="41"/>
      <c r="F65" s="41"/>
      <c r="G65" s="42"/>
      <c r="H65" s="42"/>
      <c r="I65" s="43"/>
      <c r="J65" s="63"/>
      <c r="K65" s="63"/>
      <c r="L65" s="63"/>
      <c r="M65" s="63"/>
      <c r="N65" s="63"/>
      <c r="O65" s="63"/>
      <c r="P65" s="45"/>
      <c r="Q65" s="45"/>
    </row>
    <row r="66" spans="2:17" ht="15.9" customHeight="1" x14ac:dyDescent="0.3"/>
    <row r="67" spans="2:17" ht="15.9" customHeight="1" x14ac:dyDescent="0.3"/>
    <row r="68" spans="2:17" ht="15.9" customHeight="1" x14ac:dyDescent="0.3"/>
    <row r="69" spans="2:17" ht="15.9" customHeight="1" x14ac:dyDescent="0.3"/>
    <row r="70" spans="2:17" ht="15.9" customHeight="1" x14ac:dyDescent="0.3"/>
    <row r="71" spans="2:17" ht="15.9" customHeight="1" x14ac:dyDescent="0.3"/>
    <row r="72" spans="2:17" ht="15.9" customHeight="1" x14ac:dyDescent="0.3"/>
    <row r="73" spans="2:17" ht="15.9" customHeight="1" x14ac:dyDescent="0.3"/>
    <row r="74" spans="2:17" ht="15.9" customHeight="1" x14ac:dyDescent="0.3"/>
    <row r="75" spans="2:17" ht="15.9" customHeight="1" x14ac:dyDescent="0.3"/>
    <row r="76" spans="2:17" ht="15.9" customHeight="1" x14ac:dyDescent="0.3"/>
    <row r="77" spans="2:17" ht="15.9" customHeight="1" x14ac:dyDescent="0.3"/>
    <row r="78" spans="2:17" ht="15.9" customHeight="1" x14ac:dyDescent="0.3"/>
    <row r="79" spans="2:17" ht="15.9" customHeight="1" x14ac:dyDescent="0.3"/>
    <row r="80" spans="2:17" ht="15.9" customHeight="1" x14ac:dyDescent="0.3"/>
    <row r="81" ht="15.9" customHeight="1" x14ac:dyDescent="0.3"/>
    <row r="82" ht="15.9" customHeight="1" x14ac:dyDescent="0.3"/>
    <row r="83" ht="15.9" customHeight="1" x14ac:dyDescent="0.3"/>
    <row r="84" ht="15.9" customHeight="1" x14ac:dyDescent="0.3"/>
    <row r="85" ht="15.9" customHeight="1" x14ac:dyDescent="0.3"/>
    <row r="86" ht="15.9" customHeight="1" x14ac:dyDescent="0.3"/>
    <row r="87" ht="15.9" customHeight="1" x14ac:dyDescent="0.3"/>
    <row r="88" ht="15.9" customHeight="1" x14ac:dyDescent="0.3"/>
    <row r="89" ht="15.9" customHeight="1" x14ac:dyDescent="0.3"/>
    <row r="90" ht="15.9" customHeight="1" x14ac:dyDescent="0.3"/>
    <row r="91" ht="15.9" customHeight="1" x14ac:dyDescent="0.3"/>
    <row r="92" ht="15.9" customHeight="1" x14ac:dyDescent="0.3"/>
    <row r="93" ht="15.9" customHeight="1" x14ac:dyDescent="0.3"/>
    <row r="94" ht="15.9" customHeight="1" x14ac:dyDescent="0.3"/>
    <row r="95" ht="15.9" customHeight="1" x14ac:dyDescent="0.3"/>
    <row r="96" ht="15.9" customHeight="1" x14ac:dyDescent="0.3"/>
    <row r="97" ht="15.9" customHeight="1" x14ac:dyDescent="0.3"/>
    <row r="98" ht="15.9" customHeight="1" x14ac:dyDescent="0.3"/>
    <row r="99" ht="15.9" customHeight="1" x14ac:dyDescent="0.3"/>
    <row r="100" ht="15.9" customHeight="1" x14ac:dyDescent="0.3"/>
    <row r="101" ht="15.9" customHeight="1" x14ac:dyDescent="0.3"/>
    <row r="102" ht="15.9" customHeight="1" x14ac:dyDescent="0.3"/>
    <row r="103" ht="15.9" customHeight="1" x14ac:dyDescent="0.3"/>
    <row r="104" ht="15.9" customHeight="1" x14ac:dyDescent="0.3"/>
    <row r="105" ht="15.9" customHeight="1" x14ac:dyDescent="0.3"/>
    <row r="106" ht="15.9" customHeight="1" x14ac:dyDescent="0.3"/>
    <row r="107" ht="15.9" customHeight="1" x14ac:dyDescent="0.3"/>
    <row r="108" ht="15.9" customHeight="1" x14ac:dyDescent="0.3"/>
    <row r="109" ht="15.9" customHeight="1" x14ac:dyDescent="0.3"/>
    <row r="110" ht="15.9" customHeight="1" x14ac:dyDescent="0.3"/>
    <row r="111" ht="15.9" customHeight="1" x14ac:dyDescent="0.3"/>
    <row r="112" ht="15.9" customHeight="1" x14ac:dyDescent="0.3"/>
    <row r="113" ht="15.9" customHeight="1" x14ac:dyDescent="0.3"/>
    <row r="114" ht="15.9" customHeight="1" x14ac:dyDescent="0.3"/>
    <row r="115" ht="15.9" customHeight="1" x14ac:dyDescent="0.3"/>
    <row r="116" ht="15.9" customHeight="1" x14ac:dyDescent="0.3"/>
    <row r="117" ht="15.9" customHeight="1" x14ac:dyDescent="0.3"/>
    <row r="118" ht="15.9" customHeight="1" x14ac:dyDescent="0.3"/>
    <row r="119" ht="15.9" customHeight="1" x14ac:dyDescent="0.3"/>
    <row r="120" ht="15.9" customHeight="1" x14ac:dyDescent="0.3"/>
    <row r="121" ht="15.9" customHeight="1" x14ac:dyDescent="0.3"/>
    <row r="122" ht="15.9" customHeight="1" x14ac:dyDescent="0.3"/>
    <row r="123" ht="15.9" customHeight="1" x14ac:dyDescent="0.3"/>
    <row r="124" ht="15.9" customHeight="1" x14ac:dyDescent="0.3"/>
    <row r="125" ht="15.9" customHeight="1" x14ac:dyDescent="0.3"/>
    <row r="126" ht="15.9" customHeight="1" x14ac:dyDescent="0.3"/>
    <row r="127" ht="15.9" customHeight="1" x14ac:dyDescent="0.3"/>
    <row r="128" ht="15.9" customHeight="1" x14ac:dyDescent="0.3"/>
    <row r="129" ht="15.9" customHeight="1" x14ac:dyDescent="0.3"/>
    <row r="130" ht="15.9" customHeight="1" x14ac:dyDescent="0.3"/>
    <row r="131" ht="15.9" customHeight="1" x14ac:dyDescent="0.3"/>
    <row r="132" ht="15.9" customHeight="1" x14ac:dyDescent="0.3"/>
    <row r="133" ht="15.9" customHeight="1" x14ac:dyDescent="0.3"/>
    <row r="134" ht="15.9" customHeight="1" x14ac:dyDescent="0.3"/>
    <row r="135" ht="15.9" customHeight="1" x14ac:dyDescent="0.3"/>
    <row r="136" ht="15.9" customHeight="1" x14ac:dyDescent="0.3"/>
    <row r="137" ht="15.9" customHeight="1" x14ac:dyDescent="0.3"/>
    <row r="138" ht="15.9" customHeight="1" x14ac:dyDescent="0.3"/>
    <row r="139" ht="15.9" customHeight="1" x14ac:dyDescent="0.3"/>
    <row r="140" ht="15.9" customHeight="1" x14ac:dyDescent="0.3"/>
    <row r="141" ht="15.9" customHeight="1" x14ac:dyDescent="0.3"/>
    <row r="142" ht="15.9" customHeight="1" x14ac:dyDescent="0.3"/>
    <row r="143" ht="15.9" customHeight="1" x14ac:dyDescent="0.3"/>
    <row r="144" ht="15.9" customHeight="1" x14ac:dyDescent="0.3"/>
    <row r="145" ht="15.9" customHeight="1" x14ac:dyDescent="0.3"/>
    <row r="146" ht="15.9" customHeight="1" x14ac:dyDescent="0.3"/>
    <row r="147" ht="15.9" customHeight="1" x14ac:dyDescent="0.3"/>
    <row r="148" ht="15.9" customHeight="1" x14ac:dyDescent="0.3"/>
    <row r="149" ht="15.9" customHeight="1" x14ac:dyDescent="0.3"/>
    <row r="150" ht="15.9" customHeight="1" x14ac:dyDescent="0.3"/>
    <row r="151" ht="15.9" customHeight="1" x14ac:dyDescent="0.3"/>
    <row r="152" ht="15.9" customHeight="1" x14ac:dyDescent="0.3"/>
    <row r="153" ht="15.9" customHeight="1" x14ac:dyDescent="0.3"/>
    <row r="154" ht="15.9" customHeight="1" x14ac:dyDescent="0.3"/>
    <row r="155" ht="15.9" customHeight="1" x14ac:dyDescent="0.3"/>
    <row r="156" ht="15.9" customHeight="1" x14ac:dyDescent="0.3"/>
    <row r="157" ht="15.9" customHeight="1" x14ac:dyDescent="0.3"/>
    <row r="158" ht="15.9" customHeight="1" x14ac:dyDescent="0.3"/>
    <row r="159" ht="15.9" customHeight="1" x14ac:dyDescent="0.3"/>
    <row r="160" ht="15.9" customHeight="1" x14ac:dyDescent="0.3"/>
    <row r="161" ht="15.9" customHeight="1" x14ac:dyDescent="0.3"/>
    <row r="162" ht="15.9" customHeight="1" x14ac:dyDescent="0.3"/>
    <row r="163" ht="15.9" customHeight="1" x14ac:dyDescent="0.3"/>
    <row r="164" ht="15.9" customHeight="1" x14ac:dyDescent="0.3"/>
    <row r="165" ht="15.9" customHeight="1" x14ac:dyDescent="0.3"/>
    <row r="166" ht="15.9" customHeight="1" x14ac:dyDescent="0.3"/>
    <row r="167" ht="15.9" customHeight="1" x14ac:dyDescent="0.3"/>
    <row r="168" ht="15.9" customHeight="1" x14ac:dyDescent="0.3"/>
    <row r="169" ht="15.9" customHeight="1" x14ac:dyDescent="0.3"/>
    <row r="170" ht="15.9" customHeight="1" x14ac:dyDescent="0.3"/>
    <row r="171" ht="15.9" customHeight="1" x14ac:dyDescent="0.3"/>
    <row r="172" ht="15.9" customHeight="1" x14ac:dyDescent="0.3"/>
    <row r="173" ht="15.9" customHeight="1" x14ac:dyDescent="0.3"/>
    <row r="174" ht="15.9" customHeight="1" x14ac:dyDescent="0.3"/>
    <row r="175" ht="15.9" customHeight="1" x14ac:dyDescent="0.3"/>
    <row r="176" ht="15.9" customHeight="1" x14ac:dyDescent="0.3"/>
    <row r="177" ht="15.9" customHeight="1" x14ac:dyDescent="0.3"/>
    <row r="178" ht="15.9" customHeight="1" x14ac:dyDescent="0.3"/>
    <row r="179" ht="15.9" customHeight="1" x14ac:dyDescent="0.3"/>
    <row r="180" ht="15.9" customHeight="1" x14ac:dyDescent="0.3"/>
    <row r="181" ht="15.9" customHeight="1" x14ac:dyDescent="0.3"/>
    <row r="182" ht="15.9" customHeight="1" x14ac:dyDescent="0.3"/>
    <row r="183" ht="15.9" customHeight="1" x14ac:dyDescent="0.3"/>
    <row r="184" ht="15.9" customHeight="1" x14ac:dyDescent="0.3"/>
    <row r="185" ht="15.9" customHeight="1" x14ac:dyDescent="0.3"/>
    <row r="186" ht="15.9" customHeight="1" x14ac:dyDescent="0.3"/>
    <row r="187" ht="15.9" customHeight="1" x14ac:dyDescent="0.3"/>
    <row r="188" ht="15.9" customHeight="1" x14ac:dyDescent="0.3"/>
    <row r="189" ht="15.9" customHeight="1" x14ac:dyDescent="0.3"/>
    <row r="190" ht="15.9" customHeight="1" x14ac:dyDescent="0.3"/>
    <row r="191" ht="15.9" customHeight="1" x14ac:dyDescent="0.3"/>
    <row r="192" ht="15.9" customHeight="1" x14ac:dyDescent="0.3"/>
    <row r="193" ht="15.9" customHeight="1" x14ac:dyDescent="0.3"/>
    <row r="194" ht="15.9" customHeight="1" x14ac:dyDescent="0.3"/>
    <row r="195" ht="15.9" customHeight="1" x14ac:dyDescent="0.3"/>
    <row r="196" ht="15.9" customHeight="1" x14ac:dyDescent="0.3"/>
    <row r="197" ht="15.9" customHeight="1" x14ac:dyDescent="0.3"/>
    <row r="198" ht="15.9" customHeight="1" x14ac:dyDescent="0.3"/>
    <row r="199" ht="15.9" customHeight="1" x14ac:dyDescent="0.3"/>
    <row r="200" ht="15.9" customHeight="1" x14ac:dyDescent="0.3"/>
    <row r="201" ht="15.9" customHeight="1" x14ac:dyDescent="0.3"/>
    <row r="202" ht="15.9" customHeight="1" x14ac:dyDescent="0.3"/>
    <row r="203" ht="15.9" customHeight="1" x14ac:dyDescent="0.3"/>
    <row r="204" ht="15.9" customHeight="1" x14ac:dyDescent="0.3"/>
    <row r="205" ht="15.9" customHeight="1" x14ac:dyDescent="0.3"/>
    <row r="206" ht="15.9" customHeight="1" x14ac:dyDescent="0.3"/>
    <row r="207" ht="15.9" customHeight="1" x14ac:dyDescent="0.3"/>
    <row r="208" ht="15.9" customHeight="1" x14ac:dyDescent="0.3"/>
    <row r="209" ht="15.9" customHeight="1" x14ac:dyDescent="0.3"/>
    <row r="210" ht="15.9" customHeight="1" x14ac:dyDescent="0.3"/>
    <row r="211" ht="15.9" customHeight="1" x14ac:dyDescent="0.3"/>
    <row r="212" ht="15.9" customHeight="1" x14ac:dyDescent="0.3"/>
    <row r="213" ht="15.9" customHeight="1" x14ac:dyDescent="0.3"/>
    <row r="214" ht="15.9" customHeight="1" x14ac:dyDescent="0.3"/>
    <row r="215" ht="15.9" customHeight="1" x14ac:dyDescent="0.3"/>
    <row r="216" ht="15.9" customHeight="1" x14ac:dyDescent="0.3"/>
    <row r="217" ht="15.9" customHeight="1" x14ac:dyDescent="0.3"/>
    <row r="218" ht="15.9" customHeight="1" x14ac:dyDescent="0.3"/>
    <row r="219" ht="15.9" customHeight="1" x14ac:dyDescent="0.3"/>
    <row r="220" ht="15.9" customHeight="1" x14ac:dyDescent="0.3"/>
    <row r="221" ht="15.9" customHeight="1" x14ac:dyDescent="0.3"/>
    <row r="222" ht="15.9" customHeight="1" x14ac:dyDescent="0.3"/>
    <row r="223" ht="15.9" customHeight="1" x14ac:dyDescent="0.3"/>
    <row r="224" ht="15.9" customHeight="1" x14ac:dyDescent="0.3"/>
    <row r="225" ht="15.9" customHeight="1" x14ac:dyDescent="0.3"/>
    <row r="226" ht="15.9" customHeight="1" x14ac:dyDescent="0.3"/>
    <row r="227" ht="15.9" customHeight="1" x14ac:dyDescent="0.3"/>
    <row r="228" ht="15.9" customHeight="1" x14ac:dyDescent="0.3"/>
    <row r="229" ht="15.9" customHeight="1" x14ac:dyDescent="0.3"/>
    <row r="230" ht="15.9" customHeight="1" x14ac:dyDescent="0.3"/>
    <row r="231" ht="15.9" customHeight="1" x14ac:dyDescent="0.3"/>
    <row r="232" ht="15.9" customHeight="1" x14ac:dyDescent="0.3"/>
    <row r="233" ht="15.9" customHeight="1" x14ac:dyDescent="0.3"/>
    <row r="234" ht="15.9" customHeight="1" x14ac:dyDescent="0.3"/>
    <row r="235" ht="15.9" customHeight="1" x14ac:dyDescent="0.3"/>
    <row r="236" ht="15.9" customHeight="1" x14ac:dyDescent="0.3"/>
    <row r="237" ht="15.9" customHeight="1" x14ac:dyDescent="0.3"/>
    <row r="238" ht="15.9" customHeight="1" x14ac:dyDescent="0.3"/>
    <row r="239" ht="15.9" customHeight="1" x14ac:dyDescent="0.3"/>
    <row r="240" ht="15.9" customHeight="1" x14ac:dyDescent="0.3"/>
    <row r="241" ht="15.9" customHeight="1" x14ac:dyDescent="0.3"/>
    <row r="242" ht="15.9" customHeight="1" x14ac:dyDescent="0.3"/>
    <row r="243" ht="15.9" customHeight="1" x14ac:dyDescent="0.3"/>
    <row r="244" ht="15.9" customHeight="1" x14ac:dyDescent="0.3"/>
    <row r="245" ht="15.9" customHeight="1" x14ac:dyDescent="0.3"/>
    <row r="246" ht="15.9" customHeight="1" x14ac:dyDescent="0.3"/>
    <row r="247" ht="15.9" customHeight="1" x14ac:dyDescent="0.3"/>
    <row r="248" ht="15.9" customHeight="1" x14ac:dyDescent="0.3"/>
    <row r="249" ht="15.9" customHeight="1" x14ac:dyDescent="0.3"/>
    <row r="250" ht="15.9" customHeight="1" x14ac:dyDescent="0.3"/>
    <row r="251" ht="15.9" customHeight="1" x14ac:dyDescent="0.3"/>
    <row r="252" ht="15.9" customHeight="1" x14ac:dyDescent="0.3"/>
    <row r="253" ht="15.9" customHeight="1" x14ac:dyDescent="0.3"/>
    <row r="254" ht="15.9" customHeight="1" x14ac:dyDescent="0.3"/>
    <row r="255" ht="15.9" customHeight="1" x14ac:dyDescent="0.3"/>
    <row r="256" ht="15.9" customHeight="1" x14ac:dyDescent="0.3"/>
    <row r="257" ht="15.9" customHeight="1" x14ac:dyDescent="0.3"/>
    <row r="258" ht="15.9" customHeight="1" x14ac:dyDescent="0.3"/>
    <row r="259" ht="15.9" customHeight="1" x14ac:dyDescent="0.3"/>
    <row r="260" ht="15.9" customHeight="1" x14ac:dyDescent="0.3"/>
    <row r="261" ht="15.9" customHeight="1" x14ac:dyDescent="0.3"/>
    <row r="262" ht="15.9" customHeight="1" x14ac:dyDescent="0.3"/>
    <row r="263" ht="15.9" customHeight="1" x14ac:dyDescent="0.3"/>
    <row r="264" ht="15.9" customHeight="1" x14ac:dyDescent="0.3"/>
    <row r="265" ht="15.9" customHeight="1" x14ac:dyDescent="0.3"/>
    <row r="266" ht="15.9" customHeight="1" x14ac:dyDescent="0.3"/>
    <row r="267" ht="15.9" customHeight="1" x14ac:dyDescent="0.3"/>
    <row r="268" ht="15.9" customHeight="1" x14ac:dyDescent="0.3"/>
    <row r="269" ht="15.9" customHeight="1" x14ac:dyDescent="0.3"/>
    <row r="270" ht="15.9" customHeight="1" x14ac:dyDescent="0.3"/>
    <row r="271" ht="15.9" customHeight="1" x14ac:dyDescent="0.3"/>
    <row r="272" ht="15.9" customHeight="1" x14ac:dyDescent="0.3"/>
    <row r="273" ht="15.9" customHeight="1" x14ac:dyDescent="0.3"/>
    <row r="274" ht="15.9" customHeight="1" x14ac:dyDescent="0.3"/>
    <row r="275" ht="15.9" customHeight="1" x14ac:dyDescent="0.3"/>
    <row r="276" ht="15.9" customHeight="1" x14ac:dyDescent="0.3"/>
    <row r="277" ht="15.9" customHeight="1" x14ac:dyDescent="0.3"/>
    <row r="278" ht="15.9" customHeight="1" x14ac:dyDescent="0.3"/>
    <row r="279" ht="15.9" customHeight="1" x14ac:dyDescent="0.3"/>
    <row r="280" ht="15.9" customHeight="1" x14ac:dyDescent="0.3"/>
    <row r="281" ht="15.9" customHeight="1" x14ac:dyDescent="0.3"/>
    <row r="282" ht="15.9" customHeight="1" x14ac:dyDescent="0.3"/>
    <row r="283" ht="15.9" customHeight="1" x14ac:dyDescent="0.3"/>
    <row r="284" ht="15.9" customHeight="1" x14ac:dyDescent="0.3"/>
    <row r="285" ht="15.9" customHeight="1" x14ac:dyDescent="0.3"/>
    <row r="286" ht="15.9" customHeight="1" x14ac:dyDescent="0.3"/>
    <row r="287" ht="15.9" customHeight="1" x14ac:dyDescent="0.3"/>
    <row r="288" ht="15.9" customHeight="1" x14ac:dyDescent="0.3"/>
    <row r="289" ht="15.9" customHeight="1" x14ac:dyDescent="0.3"/>
    <row r="290" ht="15.9" customHeight="1" x14ac:dyDescent="0.3"/>
    <row r="291" ht="15.9" customHeight="1" x14ac:dyDescent="0.3"/>
    <row r="292" ht="15.9" customHeight="1" x14ac:dyDescent="0.3"/>
    <row r="293" ht="15.9" customHeight="1" x14ac:dyDescent="0.3"/>
    <row r="294" ht="15.9" customHeight="1" x14ac:dyDescent="0.3"/>
    <row r="295" ht="15.9" customHeight="1" x14ac:dyDescent="0.3"/>
    <row r="296" ht="15.9" customHeight="1" x14ac:dyDescent="0.3"/>
    <row r="297" ht="15.9" customHeight="1" x14ac:dyDescent="0.3"/>
    <row r="298" ht="15.9" customHeight="1" x14ac:dyDescent="0.3"/>
    <row r="299" ht="15.9" customHeight="1" x14ac:dyDescent="0.3"/>
    <row r="300" ht="15.9" customHeight="1" x14ac:dyDescent="0.3"/>
    <row r="301" ht="15.9" customHeight="1" x14ac:dyDescent="0.3"/>
    <row r="302" ht="15.9" customHeight="1" x14ac:dyDescent="0.3"/>
    <row r="303" ht="15.9" customHeight="1" x14ac:dyDescent="0.3"/>
    <row r="304" ht="15.9" customHeight="1" x14ac:dyDescent="0.3"/>
    <row r="305" ht="15.9" customHeight="1" x14ac:dyDescent="0.3"/>
    <row r="306" ht="15.9" customHeight="1" x14ac:dyDescent="0.3"/>
    <row r="307" ht="15.9" customHeight="1" x14ac:dyDescent="0.3"/>
    <row r="308" ht="15.9" customHeight="1" x14ac:dyDescent="0.3"/>
    <row r="309" ht="15.9" customHeight="1" x14ac:dyDescent="0.3"/>
    <row r="310" ht="15.9" customHeight="1" x14ac:dyDescent="0.3"/>
    <row r="311" ht="15.9" customHeight="1" x14ac:dyDescent="0.3"/>
    <row r="312" ht="15.9" customHeight="1" x14ac:dyDescent="0.3"/>
    <row r="313" ht="15.9" customHeight="1" x14ac:dyDescent="0.3"/>
    <row r="314" ht="15.9" customHeight="1" x14ac:dyDescent="0.3"/>
    <row r="315" ht="15.9" customHeight="1" x14ac:dyDescent="0.3"/>
    <row r="316" ht="15.9" customHeight="1" x14ac:dyDescent="0.3"/>
    <row r="317" ht="15.9" customHeight="1" x14ac:dyDescent="0.3"/>
    <row r="318" ht="15.9" customHeight="1" x14ac:dyDescent="0.3"/>
    <row r="319" ht="15.9" customHeight="1" x14ac:dyDescent="0.3"/>
    <row r="320" ht="15.9" customHeight="1" x14ac:dyDescent="0.3"/>
    <row r="321" ht="15.9" customHeight="1" x14ac:dyDescent="0.3"/>
    <row r="322" ht="15.9" customHeight="1" x14ac:dyDescent="0.3"/>
    <row r="323" ht="15.9" customHeight="1" x14ac:dyDescent="0.3"/>
    <row r="324" ht="15.9" customHeight="1" x14ac:dyDescent="0.3"/>
    <row r="325" ht="15.9" customHeight="1" x14ac:dyDescent="0.3"/>
    <row r="326" ht="15.9" customHeight="1" x14ac:dyDescent="0.3"/>
    <row r="327" ht="15.9" customHeight="1" x14ac:dyDescent="0.3"/>
    <row r="328" ht="15.9" customHeight="1" x14ac:dyDescent="0.3"/>
    <row r="329" ht="15.9" customHeight="1" x14ac:dyDescent="0.3"/>
    <row r="330" ht="15.9" customHeight="1" x14ac:dyDescent="0.3"/>
    <row r="331" ht="15.9" customHeight="1" x14ac:dyDescent="0.3"/>
    <row r="332" ht="15.9" customHeight="1" x14ac:dyDescent="0.3"/>
    <row r="333" ht="15.9" customHeight="1" x14ac:dyDescent="0.3"/>
    <row r="334" ht="15.9" customHeight="1" x14ac:dyDescent="0.3"/>
    <row r="335" ht="15.9" customHeight="1" x14ac:dyDescent="0.3"/>
    <row r="336" ht="15.9" customHeight="1" x14ac:dyDescent="0.3"/>
    <row r="337" ht="15.9" customHeight="1" x14ac:dyDescent="0.3"/>
    <row r="338" ht="15.9" customHeight="1" x14ac:dyDescent="0.3"/>
    <row r="339" ht="15.9" customHeight="1" x14ac:dyDescent="0.3"/>
    <row r="340" ht="15.9" customHeight="1" x14ac:dyDescent="0.3"/>
    <row r="341" ht="15.9" customHeight="1" x14ac:dyDescent="0.3"/>
    <row r="342" ht="15.9" customHeight="1" x14ac:dyDescent="0.3"/>
    <row r="343" ht="15.9" customHeight="1" x14ac:dyDescent="0.3"/>
    <row r="344" ht="15.9" customHeight="1" x14ac:dyDescent="0.3"/>
    <row r="345" ht="15.9" customHeight="1" x14ac:dyDescent="0.3"/>
    <row r="346" ht="15.9" customHeight="1" x14ac:dyDescent="0.3"/>
    <row r="347" ht="15.9" customHeight="1" x14ac:dyDescent="0.3"/>
    <row r="348" ht="15.9" customHeight="1" x14ac:dyDescent="0.3"/>
    <row r="349" ht="15.9" customHeight="1" x14ac:dyDescent="0.3"/>
    <row r="350" ht="15.9" customHeight="1" x14ac:dyDescent="0.3"/>
    <row r="351" ht="15.9" customHeight="1" x14ac:dyDescent="0.3"/>
    <row r="352" ht="15.9" customHeight="1" x14ac:dyDescent="0.3"/>
    <row r="353" ht="15.9" customHeight="1" x14ac:dyDescent="0.3"/>
    <row r="354" ht="15.9" customHeight="1" x14ac:dyDescent="0.3"/>
    <row r="355" ht="15.9" customHeight="1" x14ac:dyDescent="0.3"/>
    <row r="356" ht="15.9" customHeight="1" x14ac:dyDescent="0.3"/>
    <row r="357" ht="15.9" customHeight="1" x14ac:dyDescent="0.3"/>
    <row r="358" ht="15.9" customHeight="1" x14ac:dyDescent="0.3"/>
    <row r="359" ht="15.9" customHeight="1" x14ac:dyDescent="0.3"/>
    <row r="360" ht="15.9" customHeight="1" x14ac:dyDescent="0.3"/>
    <row r="361" ht="15.9" customHeight="1" x14ac:dyDescent="0.3"/>
    <row r="362" ht="15.9" customHeight="1" x14ac:dyDescent="0.3"/>
    <row r="363" ht="15.9" customHeight="1" x14ac:dyDescent="0.3"/>
    <row r="364" ht="15.9" customHeight="1" x14ac:dyDescent="0.3"/>
    <row r="365" ht="15.9" customHeight="1" x14ac:dyDescent="0.3"/>
    <row r="366" ht="15.9" customHeight="1" x14ac:dyDescent="0.3"/>
    <row r="367" ht="15.9" customHeight="1" x14ac:dyDescent="0.3"/>
    <row r="368" ht="15.9" customHeight="1" x14ac:dyDescent="0.3"/>
    <row r="369" ht="15.9" customHeight="1" x14ac:dyDescent="0.3"/>
    <row r="370" ht="15.9" customHeight="1" x14ac:dyDescent="0.3"/>
    <row r="371" ht="15.9" customHeight="1" x14ac:dyDescent="0.3"/>
    <row r="372" ht="15.9" customHeight="1" x14ac:dyDescent="0.3"/>
    <row r="373" ht="15.9" customHeight="1" x14ac:dyDescent="0.3"/>
    <row r="374" ht="15.9" customHeight="1" x14ac:dyDescent="0.3"/>
    <row r="375" ht="15.9" customHeight="1" x14ac:dyDescent="0.3"/>
    <row r="376" ht="15.9" customHeight="1" x14ac:dyDescent="0.3"/>
    <row r="377" ht="15.9" customHeight="1" x14ac:dyDescent="0.3"/>
    <row r="378" ht="15.9" customHeight="1" x14ac:dyDescent="0.3"/>
    <row r="379" ht="15.9" customHeight="1" x14ac:dyDescent="0.3"/>
    <row r="380" ht="15.9" customHeight="1" x14ac:dyDescent="0.3"/>
    <row r="381" ht="15.9" customHeight="1" x14ac:dyDescent="0.3"/>
    <row r="382" ht="15.9" customHeight="1" x14ac:dyDescent="0.3"/>
    <row r="383" ht="15.9" customHeight="1" x14ac:dyDescent="0.3"/>
    <row r="384" ht="15.9" customHeight="1" x14ac:dyDescent="0.3"/>
    <row r="385" ht="15.9" customHeight="1" x14ac:dyDescent="0.3"/>
    <row r="386" ht="15.9" customHeight="1" x14ac:dyDescent="0.3"/>
    <row r="387" ht="15.9" customHeight="1" x14ac:dyDescent="0.3"/>
    <row r="388" ht="15.9" customHeight="1" x14ac:dyDescent="0.3"/>
    <row r="389" ht="15.9" customHeight="1" x14ac:dyDescent="0.3"/>
    <row r="390" ht="15.9" customHeight="1" x14ac:dyDescent="0.3"/>
    <row r="391" ht="15.9" customHeight="1" x14ac:dyDescent="0.3"/>
    <row r="392" ht="15.9" customHeight="1" x14ac:dyDescent="0.3"/>
    <row r="393" ht="15.9" customHeight="1" x14ac:dyDescent="0.3"/>
    <row r="394" ht="15.9" customHeight="1" x14ac:dyDescent="0.3"/>
    <row r="395" ht="15.9" customHeight="1" x14ac:dyDescent="0.3"/>
    <row r="396" ht="15.9" customHeight="1" x14ac:dyDescent="0.3"/>
    <row r="397" ht="15.9" customHeight="1" x14ac:dyDescent="0.3"/>
    <row r="398" ht="15.9" customHeight="1" x14ac:dyDescent="0.3"/>
    <row r="399" ht="15.9" customHeight="1" x14ac:dyDescent="0.3"/>
    <row r="400" ht="15.9" customHeight="1" x14ac:dyDescent="0.3"/>
    <row r="401" ht="15.9" customHeight="1" x14ac:dyDescent="0.3"/>
    <row r="402" ht="15.9" customHeight="1" x14ac:dyDescent="0.3"/>
    <row r="403" ht="15.9" customHeight="1" x14ac:dyDescent="0.3"/>
    <row r="404" ht="15.9" customHeight="1" x14ac:dyDescent="0.3"/>
    <row r="405" ht="15.9" customHeight="1" x14ac:dyDescent="0.3"/>
    <row r="406" ht="15.9" customHeight="1" x14ac:dyDescent="0.3"/>
    <row r="407" ht="15.9" customHeight="1" x14ac:dyDescent="0.3"/>
    <row r="408" ht="15.9" customHeight="1" x14ac:dyDescent="0.3"/>
    <row r="409" ht="15.9" customHeight="1" x14ac:dyDescent="0.3"/>
    <row r="410" ht="15.9" customHeight="1" x14ac:dyDescent="0.3"/>
    <row r="411" ht="15.9" customHeight="1" x14ac:dyDescent="0.3"/>
    <row r="412" ht="15.9" customHeight="1" x14ac:dyDescent="0.3"/>
    <row r="413" ht="15.9" customHeight="1" x14ac:dyDescent="0.3"/>
    <row r="414" ht="15.9" customHeight="1" x14ac:dyDescent="0.3"/>
    <row r="415" ht="15.9" customHeight="1" x14ac:dyDescent="0.3"/>
    <row r="416" ht="15.9" customHeight="1" x14ac:dyDescent="0.3"/>
    <row r="417" ht="15.9" customHeight="1" x14ac:dyDescent="0.3"/>
    <row r="418" ht="15.9" customHeight="1" x14ac:dyDescent="0.3"/>
    <row r="419" ht="15.9" customHeight="1" x14ac:dyDescent="0.3"/>
    <row r="420" ht="15.9" customHeight="1" x14ac:dyDescent="0.3"/>
    <row r="421" ht="15.9" customHeight="1" x14ac:dyDescent="0.3"/>
    <row r="422" ht="15.9" customHeight="1" x14ac:dyDescent="0.3"/>
    <row r="423" ht="15.9" customHeight="1" x14ac:dyDescent="0.3"/>
    <row r="424" ht="15.9" customHeight="1" x14ac:dyDescent="0.3"/>
    <row r="425" ht="15.9" customHeight="1" x14ac:dyDescent="0.3"/>
    <row r="426" ht="15.9" customHeight="1" x14ac:dyDescent="0.3"/>
    <row r="427" ht="15.9" customHeight="1" x14ac:dyDescent="0.3"/>
    <row r="428" ht="15.9" customHeight="1" x14ac:dyDescent="0.3"/>
    <row r="429" ht="15.9" customHeight="1" x14ac:dyDescent="0.3"/>
    <row r="430" ht="15.9" customHeight="1" x14ac:dyDescent="0.3"/>
    <row r="431" ht="15.9" customHeight="1" x14ac:dyDescent="0.3"/>
    <row r="432" ht="15.9" customHeight="1" x14ac:dyDescent="0.3"/>
    <row r="433" ht="15.9" customHeight="1" x14ac:dyDescent="0.3"/>
    <row r="434" ht="15.9" customHeight="1" x14ac:dyDescent="0.3"/>
    <row r="435" ht="15.9" customHeight="1" x14ac:dyDescent="0.3"/>
    <row r="436" ht="15.9" customHeight="1" x14ac:dyDescent="0.3"/>
    <row r="437" ht="15.9" customHeight="1" x14ac:dyDescent="0.3"/>
    <row r="438" ht="15.9" customHeight="1" x14ac:dyDescent="0.3"/>
    <row r="439" ht="15.9" customHeight="1" x14ac:dyDescent="0.3"/>
    <row r="440" ht="15.9" customHeight="1" x14ac:dyDescent="0.3"/>
    <row r="441" ht="15.9" customHeight="1" x14ac:dyDescent="0.3"/>
    <row r="442" ht="15.9" customHeight="1" x14ac:dyDescent="0.3"/>
    <row r="443" ht="15.9" customHeight="1" x14ac:dyDescent="0.3"/>
    <row r="444" ht="15.9" customHeight="1" x14ac:dyDescent="0.3"/>
    <row r="445" ht="15.9" customHeight="1" x14ac:dyDescent="0.3"/>
    <row r="446" ht="15.9" customHeight="1" x14ac:dyDescent="0.3"/>
    <row r="447" ht="15.9" customHeight="1" x14ac:dyDescent="0.3"/>
    <row r="448" ht="15.9" customHeight="1" x14ac:dyDescent="0.3"/>
    <row r="449" ht="15.9" customHeight="1" x14ac:dyDescent="0.3"/>
    <row r="450" ht="15.9" customHeight="1" x14ac:dyDescent="0.3"/>
    <row r="451" ht="15.9" customHeight="1" x14ac:dyDescent="0.3"/>
    <row r="452" ht="15.9" customHeight="1" x14ac:dyDescent="0.3"/>
    <row r="453" ht="15.9" customHeight="1" x14ac:dyDescent="0.3"/>
    <row r="454" ht="15.9" customHeight="1" x14ac:dyDescent="0.3"/>
    <row r="455" ht="15.9" customHeight="1" x14ac:dyDescent="0.3"/>
    <row r="456" ht="15.9" customHeight="1" x14ac:dyDescent="0.3"/>
    <row r="457" ht="15.9" customHeight="1" x14ac:dyDescent="0.3"/>
    <row r="458" ht="15.9" customHeight="1" x14ac:dyDescent="0.3"/>
    <row r="459" ht="15.9" customHeight="1" x14ac:dyDescent="0.3"/>
    <row r="460" ht="15.9" customHeight="1" x14ac:dyDescent="0.3"/>
    <row r="461" ht="15.9" customHeight="1" x14ac:dyDescent="0.3"/>
    <row r="462" ht="15.9" customHeight="1" x14ac:dyDescent="0.3"/>
    <row r="463" ht="15.9" customHeight="1" x14ac:dyDescent="0.3"/>
    <row r="464" ht="15.9" customHeight="1" x14ac:dyDescent="0.3"/>
    <row r="465" ht="15.9" customHeight="1" x14ac:dyDescent="0.3"/>
    <row r="466" ht="15.9" customHeight="1" x14ac:dyDescent="0.3"/>
    <row r="467" ht="15.9" customHeight="1" x14ac:dyDescent="0.3"/>
    <row r="468" ht="15.9" customHeight="1" x14ac:dyDescent="0.3"/>
    <row r="469" ht="15.9" customHeight="1" x14ac:dyDescent="0.3"/>
    <row r="470" ht="15.9" customHeight="1" x14ac:dyDescent="0.3"/>
    <row r="471" ht="15.9" customHeight="1" x14ac:dyDescent="0.3"/>
    <row r="472" ht="15.9" customHeight="1" x14ac:dyDescent="0.3"/>
    <row r="473" ht="15.9" customHeight="1" x14ac:dyDescent="0.3"/>
    <row r="474" ht="15.9" customHeight="1" x14ac:dyDescent="0.3"/>
    <row r="475" ht="15.9" customHeight="1" x14ac:dyDescent="0.3"/>
    <row r="476" ht="15.9" customHeight="1" x14ac:dyDescent="0.3"/>
    <row r="477" ht="15.9" customHeight="1" x14ac:dyDescent="0.3"/>
    <row r="478" ht="15.9" customHeight="1" x14ac:dyDescent="0.3"/>
    <row r="479" ht="15.9" customHeight="1" x14ac:dyDescent="0.3"/>
    <row r="480" ht="15.9" customHeight="1" x14ac:dyDescent="0.3"/>
    <row r="481" ht="15.9" customHeight="1" x14ac:dyDescent="0.3"/>
    <row r="482" ht="15.9" customHeight="1" x14ac:dyDescent="0.3"/>
    <row r="483" ht="15.9" customHeight="1" x14ac:dyDescent="0.3"/>
    <row r="484" ht="15.9" customHeight="1" x14ac:dyDescent="0.3"/>
    <row r="485" ht="15.9" customHeight="1" x14ac:dyDescent="0.3"/>
    <row r="486" ht="15.9" customHeight="1" x14ac:dyDescent="0.3"/>
    <row r="487" ht="15.9" customHeight="1" x14ac:dyDescent="0.3"/>
    <row r="488" ht="15.9" customHeight="1" x14ac:dyDescent="0.3"/>
    <row r="489" ht="15.9" customHeight="1" x14ac:dyDescent="0.3"/>
    <row r="490" ht="15.9" customHeight="1" x14ac:dyDescent="0.3"/>
    <row r="491" ht="15.9" customHeight="1" x14ac:dyDescent="0.3"/>
    <row r="492" ht="15.9" customHeight="1" x14ac:dyDescent="0.3"/>
    <row r="493" ht="15.9" customHeight="1" x14ac:dyDescent="0.3"/>
    <row r="494" ht="15.9" customHeight="1" x14ac:dyDescent="0.3"/>
    <row r="495" ht="15.9" customHeight="1" x14ac:dyDescent="0.3"/>
    <row r="496" ht="15.9" customHeight="1" x14ac:dyDescent="0.3"/>
    <row r="497" ht="15.9" customHeight="1" x14ac:dyDescent="0.3"/>
    <row r="498" ht="15.9" customHeight="1" x14ac:dyDescent="0.3"/>
    <row r="499" ht="15.9" customHeight="1" x14ac:dyDescent="0.3"/>
    <row r="500" ht="15.9" customHeight="1" x14ac:dyDescent="0.3"/>
    <row r="501" ht="15.9" customHeight="1" x14ac:dyDescent="0.3"/>
    <row r="502" ht="15.9" customHeight="1" x14ac:dyDescent="0.3"/>
    <row r="503" ht="15.9" customHeight="1" x14ac:dyDescent="0.3"/>
    <row r="504" ht="15.9" customHeight="1" x14ac:dyDescent="0.3"/>
    <row r="505" ht="15.9" customHeight="1" x14ac:dyDescent="0.3"/>
    <row r="506" ht="15.9" customHeight="1" x14ac:dyDescent="0.3"/>
    <row r="507" ht="15.9" customHeight="1" x14ac:dyDescent="0.3"/>
    <row r="508" ht="15.9" customHeight="1" x14ac:dyDescent="0.3"/>
    <row r="509" ht="15.9" customHeight="1" x14ac:dyDescent="0.3"/>
    <row r="510" ht="15.9" customHeight="1" x14ac:dyDescent="0.3"/>
    <row r="511" ht="15.9" customHeight="1" x14ac:dyDescent="0.3"/>
    <row r="512" ht="15.9" customHeight="1" x14ac:dyDescent="0.3"/>
    <row r="513" ht="15.9" customHeight="1" x14ac:dyDescent="0.3"/>
    <row r="514" ht="15.9" customHeight="1" x14ac:dyDescent="0.3"/>
    <row r="515" ht="15.9" customHeight="1" x14ac:dyDescent="0.3"/>
    <row r="516" ht="15.9" customHeight="1" x14ac:dyDescent="0.3"/>
    <row r="517" ht="15.9" customHeight="1" x14ac:dyDescent="0.3"/>
    <row r="518" ht="15.9" customHeight="1" x14ac:dyDescent="0.3"/>
    <row r="519" ht="15.9" customHeight="1" x14ac:dyDescent="0.3"/>
    <row r="520" ht="15.9" customHeight="1" x14ac:dyDescent="0.3"/>
    <row r="521" ht="15.9" customHeight="1" x14ac:dyDescent="0.3"/>
    <row r="522" ht="15.9" customHeight="1" x14ac:dyDescent="0.3"/>
    <row r="523" ht="15.9" customHeight="1" x14ac:dyDescent="0.3"/>
    <row r="524" ht="15.9" customHeight="1" x14ac:dyDescent="0.3"/>
    <row r="525" ht="15.9" customHeight="1" x14ac:dyDescent="0.3"/>
    <row r="526" ht="15.9" customHeight="1" x14ac:dyDescent="0.3"/>
    <row r="527" ht="15.9" customHeight="1" x14ac:dyDescent="0.3"/>
    <row r="528" ht="15.9" customHeight="1" x14ac:dyDescent="0.3"/>
    <row r="529" ht="15.9" customHeight="1" x14ac:dyDescent="0.3"/>
    <row r="530" ht="15.9" customHeight="1" x14ac:dyDescent="0.3"/>
    <row r="531" ht="15.9" customHeight="1" x14ac:dyDescent="0.3"/>
    <row r="532" ht="15.9" customHeight="1" x14ac:dyDescent="0.3"/>
    <row r="533" ht="15.9" customHeight="1" x14ac:dyDescent="0.3"/>
    <row r="534" ht="15.9" customHeight="1" x14ac:dyDescent="0.3"/>
    <row r="535" ht="15.9" customHeight="1" x14ac:dyDescent="0.3"/>
    <row r="536" ht="15.9" customHeight="1" x14ac:dyDescent="0.3"/>
    <row r="537" ht="15.9" customHeight="1" x14ac:dyDescent="0.3"/>
    <row r="538" ht="15.9" customHeight="1" x14ac:dyDescent="0.3"/>
    <row r="539" ht="15.9" customHeight="1" x14ac:dyDescent="0.3"/>
    <row r="540" ht="15.9" customHeight="1" x14ac:dyDescent="0.3"/>
    <row r="541" ht="15.9" customHeight="1" x14ac:dyDescent="0.3"/>
    <row r="542" ht="15.9" customHeight="1" x14ac:dyDescent="0.3"/>
    <row r="543" ht="15.9" customHeight="1" x14ac:dyDescent="0.3"/>
    <row r="544" ht="15.9" customHeight="1" x14ac:dyDescent="0.3"/>
    <row r="545" ht="15.9" customHeight="1" x14ac:dyDescent="0.3"/>
    <row r="546" ht="15.9" customHeight="1" x14ac:dyDescent="0.3"/>
  </sheetData>
  <mergeCells count="78">
    <mergeCell ref="C62:D62"/>
    <mergeCell ref="B53:B58"/>
    <mergeCell ref="C53:D58"/>
    <mergeCell ref="E53:F58"/>
    <mergeCell ref="G53:G58"/>
    <mergeCell ref="H53:H58"/>
    <mergeCell ref="P53:Q58"/>
    <mergeCell ref="B47:B52"/>
    <mergeCell ref="C47:D52"/>
    <mergeCell ref="E47:F52"/>
    <mergeCell ref="G47:G52"/>
    <mergeCell ref="H47:H52"/>
    <mergeCell ref="P47:Q52"/>
    <mergeCell ref="P41:Q46"/>
    <mergeCell ref="B35:B40"/>
    <mergeCell ref="C35:D40"/>
    <mergeCell ref="E35:F40"/>
    <mergeCell ref="G35:G40"/>
    <mergeCell ref="H35:H40"/>
    <mergeCell ref="P35:Q40"/>
    <mergeCell ref="B41:B46"/>
    <mergeCell ref="C41:D46"/>
    <mergeCell ref="E41:F46"/>
    <mergeCell ref="G41:G46"/>
    <mergeCell ref="H41:H46"/>
    <mergeCell ref="P29:Q34"/>
    <mergeCell ref="B23:B28"/>
    <mergeCell ref="C23:D28"/>
    <mergeCell ref="E23:F28"/>
    <mergeCell ref="G23:G28"/>
    <mergeCell ref="H23:H28"/>
    <mergeCell ref="P23:Q28"/>
    <mergeCell ref="B29:B34"/>
    <mergeCell ref="C29:D34"/>
    <mergeCell ref="E29:F34"/>
    <mergeCell ref="G29:G34"/>
    <mergeCell ref="H29:H34"/>
    <mergeCell ref="P17:Q22"/>
    <mergeCell ref="B11:B16"/>
    <mergeCell ref="C11:D16"/>
    <mergeCell ref="E11:F16"/>
    <mergeCell ref="G11:G16"/>
    <mergeCell ref="H11:H16"/>
    <mergeCell ref="P11:Q16"/>
    <mergeCell ref="B17:B22"/>
    <mergeCell ref="C17:D22"/>
    <mergeCell ref="E17:F22"/>
    <mergeCell ref="G17:G22"/>
    <mergeCell ref="H17:H22"/>
    <mergeCell ref="P9:Q10"/>
    <mergeCell ref="B7:C7"/>
    <mergeCell ref="D7:H7"/>
    <mergeCell ref="I7:J7"/>
    <mergeCell ref="K7:L7"/>
    <mergeCell ref="P7:Q7"/>
    <mergeCell ref="B8:C8"/>
    <mergeCell ref="F8:H8"/>
    <mergeCell ref="I8:J8"/>
    <mergeCell ref="K8:O8"/>
    <mergeCell ref="B9:B10"/>
    <mergeCell ref="C9:D10"/>
    <mergeCell ref="E9:F10"/>
    <mergeCell ref="G9:G10"/>
    <mergeCell ref="H9:H10"/>
    <mergeCell ref="P6:Q6"/>
    <mergeCell ref="A2:D2"/>
    <mergeCell ref="E2:N3"/>
    <mergeCell ref="O2:R2"/>
    <mergeCell ref="A3:D3"/>
    <mergeCell ref="O3:R3"/>
    <mergeCell ref="B5:C5"/>
    <mergeCell ref="D5:H5"/>
    <mergeCell ref="I5:O5"/>
    <mergeCell ref="B6:C6"/>
    <mergeCell ref="D6:H6"/>
    <mergeCell ref="I6:J6"/>
    <mergeCell ref="K6:L6"/>
    <mergeCell ref="M6:O6"/>
  </mergeCells>
  <printOptions horizontalCentered="1"/>
  <pageMargins left="0.3" right="0.3" top="0.45" bottom="0.75" header="0.3" footer="0.3"/>
  <pageSetup paperSize="9" scale="93" orientation="landscape" r:id="rId1"/>
  <headerFooter>
    <oddFooter>&amp;L&amp;1#&amp;"Calibri"&amp;8 Sensitivity: LNT Construction Internal Use</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J24"/>
  <sheetViews>
    <sheetView workbookViewId="0">
      <selection activeCell="F15" sqref="F15"/>
    </sheetView>
  </sheetViews>
  <sheetFormatPr defaultRowHeight="14.4" x14ac:dyDescent="0.3"/>
  <cols>
    <col min="1" max="1" width="11.44140625" bestFit="1" customWidth="1"/>
    <col min="2" max="2" width="12" bestFit="1" customWidth="1"/>
    <col min="3" max="3" width="13.44140625" bestFit="1" customWidth="1"/>
    <col min="4" max="4" width="59.88671875" bestFit="1" customWidth="1"/>
    <col min="5" max="5" width="22.44140625" customWidth="1"/>
    <col min="6" max="6" width="9.88671875" bestFit="1" customWidth="1"/>
    <col min="7" max="8" width="10.109375" bestFit="1" customWidth="1"/>
  </cols>
  <sheetData>
    <row r="1" spans="1:10" s="136" customFormat="1" x14ac:dyDescent="0.3">
      <c r="A1" s="160" t="s">
        <v>174</v>
      </c>
      <c r="B1" s="160" t="s">
        <v>176</v>
      </c>
      <c r="C1" s="160" t="s">
        <v>175</v>
      </c>
      <c r="D1" s="160" t="s">
        <v>177</v>
      </c>
      <c r="E1" s="160" t="s">
        <v>1319</v>
      </c>
      <c r="F1" s="160" t="s">
        <v>34</v>
      </c>
      <c r="G1" s="160" t="s">
        <v>67</v>
      </c>
      <c r="H1" s="160" t="s">
        <v>133</v>
      </c>
    </row>
    <row r="2" spans="1:10" x14ac:dyDescent="0.3">
      <c r="A2" s="55" t="str">
        <f>+'[2]Doc Set'!A11</f>
        <v>O17203</v>
      </c>
      <c r="B2" s="55" t="str">
        <f>+'[2]Doc Set'!B11</f>
        <v>SP</v>
      </c>
      <c r="C2" s="55" t="str">
        <f>+'[2]Doc Set'!C11</f>
        <v>L - ELV systems</v>
      </c>
      <c r="D2" s="55" t="str">
        <f>+'[2]Doc Set'!D11</f>
        <v>01 - Exhibition Hall 1 with Grand Foyer and EH1 Basement parking</v>
      </c>
      <c r="E2" s="55" t="str">
        <f>+'[2]Doc Set'!E11</f>
        <v>EH1-SCHEME</v>
      </c>
      <c r="F2" s="180">
        <f>+COUNTIF([2]EH1!M:M,'elv BLG'!E2)</f>
        <v>6</v>
      </c>
      <c r="G2" s="180">
        <f>+COUNTIF([2]EH1!O:O,'elv BLG'!E2)</f>
        <v>0</v>
      </c>
      <c r="H2" s="180">
        <f>+COUNTIF([2]EH1!Q:Q,'elv BLG'!E2)</f>
        <v>0</v>
      </c>
    </row>
    <row r="3" spans="1:10" x14ac:dyDescent="0.3">
      <c r="A3" s="55" t="str">
        <f>+'[2]Doc Set'!A12</f>
        <v>O17203</v>
      </c>
      <c r="B3" s="55" t="str">
        <f>+'[2]Doc Set'!B12</f>
        <v>SP</v>
      </c>
      <c r="C3" s="55" t="str">
        <f>+'[2]Doc Set'!C12</f>
        <v>L - ELV systems</v>
      </c>
      <c r="D3" s="55" t="str">
        <f>+'[2]Doc Set'!D12</f>
        <v>01 - Exhibition Hall 1 with Grand Foyer and EH1 Basement parking</v>
      </c>
      <c r="E3" s="55" t="str">
        <f>+'[2]Doc Set'!E12</f>
        <v>EH1-SS_B</v>
      </c>
      <c r="F3" s="180">
        <f>+COUNTIF([2]EH1!M:M,'elv BLG'!E3)</f>
        <v>9</v>
      </c>
      <c r="G3" s="180">
        <f>+COUNTIF([2]EH1!O:O,'elv BLG'!E3)</f>
        <v>15</v>
      </c>
      <c r="H3" s="180">
        <f>+COUNTIF([2]EH1!Q:Q,'elv BLG'!E3)</f>
        <v>15</v>
      </c>
    </row>
    <row r="4" spans="1:10" x14ac:dyDescent="0.3">
      <c r="A4" s="55" t="str">
        <f>+'[2]Doc Set'!A10</f>
        <v>O17203</v>
      </c>
      <c r="B4" s="55" t="str">
        <f>+'[2]Doc Set'!B10</f>
        <v>SP</v>
      </c>
      <c r="C4" s="55" t="str">
        <f>+'[2]Doc Set'!C10</f>
        <v>L - ELV systems</v>
      </c>
      <c r="D4" s="55" t="str">
        <f>+'[2]Doc Set'!D10</f>
        <v>01 - Exhibition Hall 1 with Grand Foyer and EH1 Basement parking</v>
      </c>
      <c r="E4" s="55" t="str">
        <f>+'[2]Doc Set'!E10</f>
        <v>EH1-INT_D</v>
      </c>
      <c r="F4" s="180">
        <f>+COUNTIF([2]EH1!M:M,'elv BLG'!E4)</f>
        <v>82</v>
      </c>
      <c r="G4" s="180">
        <f>+COUNTIF([2]EH1!O:O,'elv BLG'!E4)</f>
        <v>82</v>
      </c>
      <c r="H4" s="180">
        <f>+COUNTIF([2]EH1!Q:Q,'elv BLG'!E4)</f>
        <v>82</v>
      </c>
      <c r="J4">
        <v>97</v>
      </c>
    </row>
    <row r="5" spans="1:10" x14ac:dyDescent="0.3">
      <c r="A5" s="55" t="str">
        <f>+'[2]Doc Set'!A14</f>
        <v>O17203</v>
      </c>
      <c r="B5" s="55" t="str">
        <f>+'[2]Doc Set'!B14</f>
        <v>SP</v>
      </c>
      <c r="C5" s="55" t="str">
        <f>+'[2]Doc Set'!C14</f>
        <v>L - ELV systems</v>
      </c>
      <c r="D5" s="55" t="str">
        <f>+'[2]Doc Set'!D14</f>
        <v>02 - Exhibition Hall 2 with Grand Foyer and EH2 Basement parking</v>
      </c>
      <c r="E5" s="55" t="str">
        <f>+'[2]Doc Set'!E14</f>
        <v>EH2-SCHEME</v>
      </c>
      <c r="F5" s="180">
        <f>+COUNTIF([2]EH2!M:M,'elv BLG'!E5)</f>
        <v>3</v>
      </c>
      <c r="G5" s="180">
        <f>+COUNTIF([2]EH2!O:O,'elv BLG'!E5)</f>
        <v>0</v>
      </c>
      <c r="H5" s="180">
        <f>+COUNTIF([2]EH2!Q:Q,'elv BLG'!E5)</f>
        <v>0</v>
      </c>
    </row>
    <row r="6" spans="1:10" ht="30" customHeight="1" x14ac:dyDescent="0.3">
      <c r="A6" s="55" t="str">
        <f>+'[2]Doc Set'!A15</f>
        <v>O17203</v>
      </c>
      <c r="B6" s="55" t="str">
        <f>+'[2]Doc Set'!B15</f>
        <v>SP</v>
      </c>
      <c r="C6" s="55" t="str">
        <f>+'[2]Doc Set'!C15</f>
        <v>L - ELV systems</v>
      </c>
      <c r="D6" s="55" t="str">
        <f>+'[2]Doc Set'!D15</f>
        <v>02 - Exhibition Hall 2 with Grand Foyer and EH2 Basement parking</v>
      </c>
      <c r="E6" s="55" t="str">
        <f>+'[2]Doc Set'!E15</f>
        <v>EH2-SS_B</v>
      </c>
      <c r="F6" s="180">
        <f>+COUNTIF([2]EH2!M:M,'elv BLG'!E6)</f>
        <v>14</v>
      </c>
      <c r="G6" s="180">
        <f>+COUNTIF([2]EH2!O:O,'elv BLG'!E6)</f>
        <v>17</v>
      </c>
      <c r="H6" s="180">
        <f>+COUNTIF([2]EH2!Q:Q,'elv BLG'!E6)</f>
        <v>17</v>
      </c>
    </row>
    <row r="7" spans="1:10" x14ac:dyDescent="0.3">
      <c r="A7" s="55" t="str">
        <f>+'[2]Doc Set'!A13</f>
        <v>O17203</v>
      </c>
      <c r="B7" s="55" t="str">
        <f>+'[2]Doc Set'!B13</f>
        <v>SP</v>
      </c>
      <c r="C7" s="55" t="str">
        <f>+'[2]Doc Set'!C13</f>
        <v>L - ELV systems</v>
      </c>
      <c r="D7" s="55" t="str">
        <f>+'[2]Doc Set'!D13</f>
        <v>02 - Exhibition Hall 2 with Grand Foyer and EH2 Basement parking</v>
      </c>
      <c r="E7" s="55" t="str">
        <f>+'[2]Doc Set'!E13</f>
        <v>EH2-INT_D</v>
      </c>
      <c r="F7" s="180">
        <f>+COUNTIF([2]EH2!M:M,'elv BLG'!E7)</f>
        <v>77</v>
      </c>
      <c r="G7" s="180">
        <f>+COUNTIF([2]EH2!O:O,'elv BLG'!E7)</f>
        <v>77</v>
      </c>
      <c r="H7" s="180">
        <f>+COUNTIF([2]EH2!Q:Q,'elv BLG'!E7)</f>
        <v>77</v>
      </c>
      <c r="J7">
        <v>94</v>
      </c>
    </row>
    <row r="8" spans="1:10" ht="15" customHeight="1" x14ac:dyDescent="0.3">
      <c r="A8" s="55" t="str">
        <f>+'[2]Doc Set'!A16</f>
        <v>O17203</v>
      </c>
      <c r="B8" s="55" t="str">
        <f>+'[2]Doc Set'!B16</f>
        <v>SP</v>
      </c>
      <c r="C8" s="55" t="str">
        <f>+'[2]Doc Set'!C16</f>
        <v>L - ELV systems</v>
      </c>
      <c r="D8" s="55" t="str">
        <f>+'[2]Doc Set'!D16</f>
        <v>03 - Exhibition Hall 3 Service Building</v>
      </c>
      <c r="E8" s="55" t="str">
        <f>+'[2]Doc Set'!E16</f>
        <v>EH3-SCHEME</v>
      </c>
      <c r="F8" s="180">
        <f>+COUNTIF([2]EH3!M:M,'elv BLG'!E8)</f>
        <v>0</v>
      </c>
      <c r="G8" s="180">
        <f>+COUNTIF([2]EH3!O:O,'elv BLG'!E8)</f>
        <v>0</v>
      </c>
      <c r="H8" s="180">
        <f>+COUNTIF([2]EH3!Q:Q,'elv BLG'!E8)</f>
        <v>0</v>
      </c>
    </row>
    <row r="9" spans="1:10" ht="15" customHeight="1" x14ac:dyDescent="0.3">
      <c r="A9" s="55" t="str">
        <f>+'[2]Doc Set'!A17</f>
        <v>O17203</v>
      </c>
      <c r="B9" s="55" t="str">
        <f>+'[2]Doc Set'!B17</f>
        <v>SP</v>
      </c>
      <c r="C9" s="55" t="str">
        <f>+'[2]Doc Set'!C17</f>
        <v>L - ELV systems</v>
      </c>
      <c r="D9" s="55" t="str">
        <f>+'[2]Doc Set'!D17</f>
        <v>03 - Exhibition Hall 3 Service Building</v>
      </c>
      <c r="E9" s="55" t="str">
        <f>+'[2]Doc Set'!E17</f>
        <v>EH3-SS_B</v>
      </c>
      <c r="F9" s="180">
        <f>+COUNTIF([2]EH3!M:M,'elv BLG'!E9)</f>
        <v>18</v>
      </c>
      <c r="G9" s="180">
        <f>+COUNTIF([2]EH3!O:O,'elv BLG'!E9)</f>
        <v>18</v>
      </c>
      <c r="H9" s="180">
        <f>+COUNTIF([2]EH3!Q:Q,'elv BLG'!E9)</f>
        <v>18</v>
      </c>
      <c r="J9">
        <v>18</v>
      </c>
    </row>
    <row r="10" spans="1:10" x14ac:dyDescent="0.3">
      <c r="A10" s="55" t="str">
        <f>+'[2]Doc Set'!A7</f>
        <v>O17203</v>
      </c>
      <c r="B10" s="55" t="str">
        <f>+'[2]Doc Set'!B7</f>
        <v>SP</v>
      </c>
      <c r="C10" s="55" t="str">
        <f>+'[2]Doc Set'!C7</f>
        <v>L - ELV systems</v>
      </c>
      <c r="D10" s="55" t="str">
        <f>+'[2]Doc Set'!D7</f>
        <v>07 - Convention centre</v>
      </c>
      <c r="E10" s="55" t="str">
        <f>+'[2]Doc Set'!E7</f>
        <v>COC-SCHEME</v>
      </c>
      <c r="F10" s="180">
        <f>+COUNTIF([2]CC7!M:M,'elv BLG'!E10)</f>
        <v>7</v>
      </c>
      <c r="G10" s="180">
        <f>+COUNTIF([2]CC7!O:O,'elv BLG'!E10)</f>
        <v>0</v>
      </c>
      <c r="H10" s="180">
        <f>+COUNTIF([2]CC7!Q:Q,'elv BLG'!E10)</f>
        <v>0</v>
      </c>
    </row>
    <row r="11" spans="1:10" x14ac:dyDescent="0.3">
      <c r="A11" s="55" t="str">
        <f>+'[2]Doc Set'!A5</f>
        <v>O17203</v>
      </c>
      <c r="B11" s="55" t="str">
        <f>+'[2]Doc Set'!B5</f>
        <v>SP</v>
      </c>
      <c r="C11" s="55" t="str">
        <f>+'[2]Doc Set'!C5</f>
        <v>L - ELV systems</v>
      </c>
      <c r="D11" s="55" t="str">
        <f>+'[2]Doc Set'!D5</f>
        <v>07 - Convention centre</v>
      </c>
      <c r="E11" s="55" t="str">
        <f>+'[2]Doc Set'!E5</f>
        <v>CC-SS_B</v>
      </c>
      <c r="F11" s="180">
        <f>+COUNTIF([2]CC7!M:M,'elv BLG'!E11)</f>
        <v>21</v>
      </c>
      <c r="G11" s="180">
        <f>+COUNTIF([2]CC7!O:O,'elv BLG'!E11)</f>
        <v>28</v>
      </c>
      <c r="H11" s="180">
        <f>+COUNTIF([2]CC7!Q:Q,'elv BLG'!E11)</f>
        <v>28</v>
      </c>
    </row>
    <row r="12" spans="1:10" x14ac:dyDescent="0.3">
      <c r="A12" s="55" t="str">
        <f>+'[2]Doc Set'!A6</f>
        <v>O17203</v>
      </c>
      <c r="B12" s="55" t="str">
        <f>+'[2]Doc Set'!B6</f>
        <v>SP</v>
      </c>
      <c r="C12" s="55" t="str">
        <f>+'[2]Doc Set'!C6</f>
        <v>L - ELV systems</v>
      </c>
      <c r="D12" s="55" t="str">
        <f>+'[2]Doc Set'!D6</f>
        <v>07 - Convention centre</v>
      </c>
      <c r="E12" s="55" t="str">
        <f>+'[2]Doc Set'!E6</f>
        <v>CC-SS_C</v>
      </c>
      <c r="F12" s="180">
        <f>+COUNTIF([2]CC7!M:M,'elv BLG'!E12)</f>
        <v>6</v>
      </c>
      <c r="G12" s="180">
        <f>+COUNTIF([2]CC7!O:O,'elv BLG'!E12)</f>
        <v>6</v>
      </c>
      <c r="H12" s="180">
        <f>+COUNTIF([2]CC7!Q:Q,'elv BLG'!E12)</f>
        <v>6</v>
      </c>
    </row>
    <row r="13" spans="1:10" x14ac:dyDescent="0.3">
      <c r="A13" s="55" t="str">
        <f>+'[2]Doc Set'!A2</f>
        <v>O17203</v>
      </c>
      <c r="B13" s="55" t="str">
        <f>+'[2]Doc Set'!B2</f>
        <v>SP</v>
      </c>
      <c r="C13" s="55" t="str">
        <f>+'[2]Doc Set'!C2</f>
        <v>L - ELV systems</v>
      </c>
      <c r="D13" s="55" t="str">
        <f>+'[2]Doc Set'!D2</f>
        <v>07 - Convention centre</v>
      </c>
      <c r="E13" s="55" t="str">
        <f>+'[2]Doc Set'!E2</f>
        <v>CC-INT_D</v>
      </c>
      <c r="F13" s="180">
        <f>+COUNTIF([2]CC7!M:M,'elv BLG'!E13)</f>
        <v>53</v>
      </c>
      <c r="G13" s="180">
        <f>+COUNTIF([2]CC7!O:O,'elv BLG'!E13)</f>
        <v>53</v>
      </c>
      <c r="H13" s="180">
        <f>+COUNTIF([2]CC7!Q:Q,'elv BLG'!E13)</f>
        <v>53</v>
      </c>
      <c r="J13">
        <v>168</v>
      </c>
    </row>
    <row r="14" spans="1:10" x14ac:dyDescent="0.3">
      <c r="A14" s="55" t="str">
        <f>+'[2]Doc Set'!A3</f>
        <v>O17203</v>
      </c>
      <c r="B14" s="55" t="str">
        <f>+'[2]Doc Set'!B3</f>
        <v>SP</v>
      </c>
      <c r="C14" s="55" t="str">
        <f>+'[2]Doc Set'!C3</f>
        <v>L - ELV systems</v>
      </c>
      <c r="D14" s="55" t="str">
        <f>+'[2]Doc Set'!D3</f>
        <v>07 - Convention centre</v>
      </c>
      <c r="E14" s="55" t="str">
        <f>+'[2]Doc Set'!E3</f>
        <v>CC-INT_E</v>
      </c>
      <c r="F14" s="180">
        <f>+COUNTIF([2]CC7!M:M,'elv BLG'!E14)</f>
        <v>81</v>
      </c>
      <c r="G14" s="180">
        <f>+COUNTIF([2]CC7!O:O,'elv BLG'!E14)</f>
        <v>81</v>
      </c>
      <c r="H14" s="180">
        <f>+COUNTIF([2]CC7!Q:Q,'elv BLG'!E14)</f>
        <v>81</v>
      </c>
    </row>
    <row r="15" spans="1:10" x14ac:dyDescent="0.3">
      <c r="A15" s="55" t="str">
        <f>+'[2]Doc Set'!A4</f>
        <v>O17203</v>
      </c>
      <c r="B15" s="55" t="str">
        <f>+'[2]Doc Set'!B4</f>
        <v>SP</v>
      </c>
      <c r="C15" s="55" t="str">
        <f>+'[2]Doc Set'!C4</f>
        <v>L - ELV systems</v>
      </c>
      <c r="D15" s="55" t="str">
        <f>+'[2]Doc Set'!D4</f>
        <v>38 - CC Parking</v>
      </c>
      <c r="E15" s="55" t="str">
        <f>+'[2]Doc Set'!E4</f>
        <v>CCP-SS_B</v>
      </c>
      <c r="F15" s="180">
        <f>+COUNTIF([2]CCP38!M:M,'elv BLG'!E15)</f>
        <v>12</v>
      </c>
      <c r="G15" s="180">
        <f>+COUNTIF([2]CCP38!O:O,'elv BLG'!E15)</f>
        <v>12</v>
      </c>
      <c r="H15" s="180">
        <f>+COUNTIF([2]CCP38!Q:Q,'elv BLG'!E15)</f>
        <v>12</v>
      </c>
      <c r="J15">
        <v>12</v>
      </c>
    </row>
    <row r="16" spans="1:10" ht="15" customHeight="1" x14ac:dyDescent="0.3">
      <c r="A16" s="55" t="str">
        <f>+'[2]Doc Set'!A20</f>
        <v>O17203</v>
      </c>
      <c r="B16" s="55" t="str">
        <f>+'[2]Doc Set'!B20</f>
        <v>SP</v>
      </c>
      <c r="C16" s="55" t="str">
        <f>+'[2]Doc Set'!C20</f>
        <v>L - ELV systems</v>
      </c>
      <c r="D16" s="55" t="str">
        <f>+'[2]Doc Set'!D20</f>
        <v>00 - MASTER PLAN AND EXTERNAL WORKS</v>
      </c>
      <c r="E16" s="55" t="str">
        <f>+'[2]Doc Set'!E20</f>
        <v>OA-SCHEME</v>
      </c>
      <c r="F16" s="180">
        <f>+COUNTIF([2]MSP00!M:M,'elv BLG'!E16)</f>
        <v>0</v>
      </c>
      <c r="G16" s="180">
        <f>+COUNTIF([2]MSP00!O:O,'elv BLG'!E16)</f>
        <v>0</v>
      </c>
      <c r="H16" s="180">
        <f>+COUNTIF([2]MSP00!Q:Q,'elv BLG'!E16)</f>
        <v>0</v>
      </c>
    </row>
    <row r="17" spans="1:10" ht="15" customHeight="1" x14ac:dyDescent="0.3">
      <c r="A17" s="55" t="str">
        <f>+'[2]Doc Set'!A19</f>
        <v>O17203</v>
      </c>
      <c r="B17" s="55" t="str">
        <f>+'[2]Doc Set'!B19</f>
        <v>SP</v>
      </c>
      <c r="C17" s="55" t="str">
        <f>+'[2]Doc Set'!C19</f>
        <v>L - ELV systems</v>
      </c>
      <c r="D17" s="55" t="str">
        <f>+'[2]Doc Set'!D19</f>
        <v>00 - MASTER PLAN AND EXTERNAL WORKS</v>
      </c>
      <c r="E17" s="55" t="str">
        <f>+'[2]Doc Set'!E19</f>
        <v>MSP-F_A</v>
      </c>
      <c r="F17" s="180">
        <f>+COUNTIF([2]MSP00!M:M,'elv BLG'!E17)</f>
        <v>30</v>
      </c>
      <c r="G17" s="180">
        <f>+COUNTIF([2]MSP00!O:O,'elv BLG'!E17)</f>
        <v>30</v>
      </c>
      <c r="H17" s="180">
        <f>+COUNTIF([2]MSP00!Q:Q,'elv BLG'!E17)</f>
        <v>30</v>
      </c>
      <c r="J17">
        <v>30</v>
      </c>
    </row>
    <row r="18" spans="1:10" ht="15" customHeight="1" x14ac:dyDescent="0.3">
      <c r="A18" s="55" t="str">
        <f>+'[2]Doc Set'!A22</f>
        <v>O17203</v>
      </c>
      <c r="B18" s="55" t="str">
        <f>+'[2]Doc Set'!B22</f>
        <v>SP</v>
      </c>
      <c r="C18" s="55" t="str">
        <f>+'[2]Doc Set'!C22</f>
        <v>L - ELV systems</v>
      </c>
      <c r="D18" s="55" t="str">
        <f>+'[2]Doc Set'!D22</f>
        <v>0A - Service Gallery</v>
      </c>
      <c r="E18" s="55" t="str">
        <f>+'[2]Doc Set'!E22</f>
        <v>SG-SCHEME</v>
      </c>
      <c r="F18" s="180">
        <f>+COUNTIF([2]SG0A!M:M,'elv BLG'!E18)</f>
        <v>0</v>
      </c>
      <c r="G18" s="180">
        <f>+COUNTIF([2]SG0A!O:O,'elv BLG'!E18)</f>
        <v>0</v>
      </c>
      <c r="H18" s="180">
        <f>+COUNTIF([2]SG0A!Q:Q,'elv BLG'!E18)</f>
        <v>0</v>
      </c>
    </row>
    <row r="19" spans="1:10" ht="15" customHeight="1" x14ac:dyDescent="0.3">
      <c r="A19" s="55" t="str">
        <f>+'[2]Doc Set'!A21</f>
        <v>O17203</v>
      </c>
      <c r="B19" s="55" t="str">
        <f>+'[2]Doc Set'!B21</f>
        <v>SP</v>
      </c>
      <c r="C19" s="55" t="str">
        <f>+'[2]Doc Set'!C21</f>
        <v>L - ELV systems</v>
      </c>
      <c r="D19" s="55" t="str">
        <f>+'[2]Doc Set'!D21</f>
        <v>0A - Service Gallery</v>
      </c>
      <c r="E19" s="55" t="str">
        <f>+'[2]Doc Set'!E21</f>
        <v>SG-F_A</v>
      </c>
      <c r="F19" s="180">
        <f>+COUNTIF([2]SG0A!M:M,'elv BLG'!E19)</f>
        <v>11</v>
      </c>
      <c r="G19" s="180">
        <f>+COUNTIF([2]SG0A!O:O,'elv BLG'!E19)</f>
        <v>11</v>
      </c>
      <c r="H19" s="180">
        <f>+COUNTIF([2]SG0A!Q:Q,'elv BLG'!E19)</f>
        <v>11</v>
      </c>
      <c r="J19">
        <v>11</v>
      </c>
    </row>
    <row r="20" spans="1:10" x14ac:dyDescent="0.3">
      <c r="A20" s="55" t="str">
        <f>+'[2]Doc Set'!A9</f>
        <v>O17203</v>
      </c>
      <c r="B20" s="55" t="str">
        <f>+'[2]Doc Set'!B9</f>
        <v>SP</v>
      </c>
      <c r="C20" s="55" t="str">
        <f>+'[2]Doc Set'!C9</f>
        <v>L - ELV systems</v>
      </c>
      <c r="D20" s="55" t="str">
        <f>+'[2]Doc Set'!D9</f>
        <v>30 - DG Yard and Electrical Sub Stations</v>
      </c>
      <c r="E20" s="55" t="str">
        <f>+'[2]Doc Set'!E9</f>
        <v>DG-SCHEME</v>
      </c>
      <c r="F20" s="180">
        <f>+COUNTIF([2]DG30!M:M,'elv BLG'!E20)</f>
        <v>0</v>
      </c>
      <c r="G20" s="180">
        <f>+COUNTIF([2]DG30!O:O,'elv BLG'!E20)</f>
        <v>0</v>
      </c>
      <c r="H20" s="180">
        <f>+COUNTIF([2]DG30!Q:Q,'elv BLG'!E20)</f>
        <v>0</v>
      </c>
    </row>
    <row r="21" spans="1:10" x14ac:dyDescent="0.3">
      <c r="A21" s="55" t="str">
        <f>+'[2]Doc Set'!A8</f>
        <v>O17203</v>
      </c>
      <c r="B21" s="55" t="str">
        <f>+'[2]Doc Set'!B8</f>
        <v>SP</v>
      </c>
      <c r="C21" s="55" t="str">
        <f>+'[2]Doc Set'!C8</f>
        <v>L - ELV systems</v>
      </c>
      <c r="D21" s="55" t="str">
        <f>+'[2]Doc Set'!D8</f>
        <v>30 - DG Yard and Electrical Sub Stations</v>
      </c>
      <c r="E21" s="55" t="str">
        <f>+'[2]Doc Set'!E8</f>
        <v>DG-F_A</v>
      </c>
      <c r="F21" s="180">
        <f>+COUNTIF([2]DG30!M:M,'elv BLG'!E21)</f>
        <v>9</v>
      </c>
      <c r="G21" s="180">
        <f>+COUNTIF([2]DG30!O:O,'elv BLG'!E21)</f>
        <v>9</v>
      </c>
      <c r="H21" s="180">
        <f>+COUNTIF([2]DG30!Q:Q,'elv BLG'!E21)</f>
        <v>9</v>
      </c>
      <c r="J21">
        <v>9</v>
      </c>
    </row>
    <row r="22" spans="1:10" ht="30" customHeight="1" x14ac:dyDescent="0.3">
      <c r="A22" s="55" t="str">
        <f>+'[2]Doc Set'!A18</f>
        <v>O17203</v>
      </c>
      <c r="B22" s="55" t="str">
        <f>+'[2]Doc Set'!B18</f>
        <v>SP</v>
      </c>
      <c r="C22" s="55" t="str">
        <f>+'[2]Doc Set'!C18</f>
        <v>L - ELV systems</v>
      </c>
      <c r="D22" s="55" t="str">
        <f>+'[2]Doc Set'!D18</f>
        <v>31 - Fire Station</v>
      </c>
      <c r="E22" s="55" t="str">
        <f>+'[2]Doc Set'!E18</f>
        <v>FS-F_A</v>
      </c>
      <c r="F22" s="180">
        <f>+COUNTIF([2]FS31!M:M,'elv BLG'!E22)</f>
        <v>2</v>
      </c>
      <c r="G22" s="180">
        <f>+COUNTIF([2]FS31!O:O,'elv BLG'!E22)</f>
        <v>2</v>
      </c>
      <c r="H22" s="180">
        <f>+COUNTIF([2]FS31!Q:Q,'elv BLG'!E22)</f>
        <v>2</v>
      </c>
      <c r="J22">
        <v>2</v>
      </c>
    </row>
    <row r="23" spans="1:10" ht="15" customHeight="1" x14ac:dyDescent="0.3">
      <c r="A23" s="55"/>
      <c r="B23" s="55"/>
      <c r="C23" s="55"/>
      <c r="D23" s="55"/>
      <c r="E23" s="55"/>
      <c r="F23" s="55"/>
      <c r="G23" s="55"/>
      <c r="H23" s="55"/>
    </row>
    <row r="24" spans="1:10" x14ac:dyDescent="0.3">
      <c r="A24" s="55"/>
      <c r="B24" s="55"/>
      <c r="C24" s="55"/>
      <c r="D24" s="55"/>
      <c r="E24" s="55" t="s">
        <v>1329</v>
      </c>
      <c r="F24" s="181">
        <f>SUM(F2:F23)</f>
        <v>441</v>
      </c>
      <c r="G24" s="181">
        <f t="shared" ref="G24:H24" si="0">SUM(G2:G23)</f>
        <v>441</v>
      </c>
      <c r="H24" s="181">
        <f t="shared" si="0"/>
        <v>441</v>
      </c>
      <c r="I24" s="181"/>
      <c r="J24" s="181">
        <f t="shared" ref="J24" si="1">SUM(J2:J23)</f>
        <v>441</v>
      </c>
    </row>
  </sheetData>
  <pageMargins left="0.7" right="0.7" top="0.75" bottom="0.75" header="0.3" footer="0.3"/>
  <pageSetup orientation="portrait" r:id="rId1"/>
  <headerFooter>
    <oddFooter>&amp;L&amp;1#&amp;"Calibri"&amp;8 Sensitivity: LNT Construction Internal Use</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pageSetUpPr fitToPage="1"/>
  </sheetPr>
  <dimension ref="B1:J31"/>
  <sheetViews>
    <sheetView view="pageBreakPreview" zoomScale="115" zoomScaleNormal="115" zoomScaleSheetLayoutView="115" workbookViewId="0">
      <selection activeCell="F19" sqref="F19"/>
    </sheetView>
  </sheetViews>
  <sheetFormatPr defaultColWidth="9.109375" defaultRowHeight="14.4" x14ac:dyDescent="0.3"/>
  <cols>
    <col min="1" max="1" width="2.44140625" customWidth="1"/>
    <col min="2" max="2" width="17.44140625" customWidth="1"/>
    <col min="3" max="3" width="50.44140625" customWidth="1"/>
    <col min="4" max="10" width="12.109375" customWidth="1"/>
  </cols>
  <sheetData>
    <row r="1" spans="2:10" ht="17.399999999999999" x14ac:dyDescent="0.3">
      <c r="B1" s="64" t="s">
        <v>68</v>
      </c>
      <c r="C1" s="65"/>
      <c r="D1" s="65"/>
      <c r="E1" s="65"/>
      <c r="F1" s="65"/>
      <c r="G1" s="65"/>
      <c r="H1" s="65"/>
      <c r="I1" s="65"/>
      <c r="J1" s="65"/>
    </row>
    <row r="2" spans="2:10" ht="15.6" x14ac:dyDescent="0.3">
      <c r="B2" s="256" t="s">
        <v>1327</v>
      </c>
      <c r="C2" s="256"/>
      <c r="D2" s="256"/>
      <c r="E2" s="256"/>
      <c r="F2" s="256"/>
      <c r="G2" s="256"/>
      <c r="H2" s="256"/>
      <c r="I2" s="256"/>
      <c r="J2" s="256"/>
    </row>
    <row r="3" spans="2:10" x14ac:dyDescent="0.3">
      <c r="B3" s="67" t="s">
        <v>70</v>
      </c>
      <c r="C3" s="68" t="s">
        <v>71</v>
      </c>
      <c r="D3" s="175" t="s">
        <v>72</v>
      </c>
      <c r="E3" s="257" t="s">
        <v>73</v>
      </c>
      <c r="F3" s="258"/>
      <c r="G3" s="259"/>
      <c r="H3" s="257" t="s">
        <v>74</v>
      </c>
      <c r="I3" s="258"/>
      <c r="J3" s="259"/>
    </row>
    <row r="4" spans="2:10" x14ac:dyDescent="0.3">
      <c r="B4" s="69"/>
      <c r="C4" s="68" t="s">
        <v>75</v>
      </c>
      <c r="D4" s="70" t="s">
        <v>76</v>
      </c>
      <c r="E4" s="70" t="s">
        <v>77</v>
      </c>
      <c r="F4" s="67" t="s">
        <v>78</v>
      </c>
      <c r="G4" s="109" t="s">
        <v>79</v>
      </c>
      <c r="H4" s="70" t="s">
        <v>80</v>
      </c>
      <c r="I4" s="67" t="s">
        <v>81</v>
      </c>
      <c r="J4" s="109" t="s">
        <v>82</v>
      </c>
    </row>
    <row r="5" spans="2:10" x14ac:dyDescent="0.3">
      <c r="B5" s="77"/>
      <c r="C5" s="78"/>
      <c r="D5" s="79"/>
      <c r="E5" s="81"/>
      <c r="F5" s="82"/>
      <c r="G5" s="83"/>
      <c r="H5" s="84"/>
      <c r="I5" s="77"/>
      <c r="J5" s="85"/>
    </row>
    <row r="6" spans="2:10" x14ac:dyDescent="0.3">
      <c r="B6" s="86" t="s">
        <v>83</v>
      </c>
      <c r="C6" s="87" t="s">
        <v>84</v>
      </c>
      <c r="D6" s="88">
        <v>43159</v>
      </c>
      <c r="E6" s="176">
        <v>43187</v>
      </c>
      <c r="F6" s="177">
        <v>43222</v>
      </c>
      <c r="G6" s="93"/>
      <c r="H6" s="176">
        <v>43215</v>
      </c>
      <c r="I6" s="177">
        <v>43257</v>
      </c>
      <c r="J6" s="93"/>
    </row>
    <row r="7" spans="2:10" x14ac:dyDescent="0.3">
      <c r="B7" s="86" t="s">
        <v>85</v>
      </c>
      <c r="C7" s="87" t="s">
        <v>86</v>
      </c>
      <c r="D7" s="88">
        <v>43160</v>
      </c>
      <c r="E7" s="176">
        <v>43188</v>
      </c>
      <c r="F7" s="177">
        <v>43223</v>
      </c>
      <c r="G7" s="93"/>
      <c r="H7" s="176">
        <v>43216</v>
      </c>
      <c r="I7" s="177">
        <v>43258</v>
      </c>
      <c r="J7" s="93"/>
    </row>
    <row r="8" spans="2:10" x14ac:dyDescent="0.3">
      <c r="B8" s="86" t="s">
        <v>87</v>
      </c>
      <c r="C8" s="87" t="s">
        <v>88</v>
      </c>
      <c r="D8" s="88">
        <v>43184</v>
      </c>
      <c r="E8" s="176">
        <v>43212</v>
      </c>
      <c r="F8" s="177">
        <v>43247</v>
      </c>
      <c r="G8" s="93"/>
      <c r="H8" s="176">
        <v>43240</v>
      </c>
      <c r="I8" s="177">
        <v>43282</v>
      </c>
      <c r="J8" s="93"/>
    </row>
    <row r="9" spans="2:10" x14ac:dyDescent="0.3">
      <c r="B9" s="86" t="s">
        <v>89</v>
      </c>
      <c r="C9" s="87" t="s">
        <v>90</v>
      </c>
      <c r="D9" s="88">
        <v>43166</v>
      </c>
      <c r="E9" s="176">
        <v>43199</v>
      </c>
      <c r="F9" s="177">
        <v>43245</v>
      </c>
      <c r="G9" s="93">
        <v>43301</v>
      </c>
      <c r="H9" s="176">
        <v>43229</v>
      </c>
      <c r="I9" s="177">
        <v>43273</v>
      </c>
      <c r="J9" s="93">
        <v>43329</v>
      </c>
    </row>
    <row r="10" spans="2:10" x14ac:dyDescent="0.3">
      <c r="B10" s="86" t="s">
        <v>91</v>
      </c>
      <c r="C10" s="87" t="s">
        <v>92</v>
      </c>
      <c r="D10" s="88">
        <v>43159</v>
      </c>
      <c r="E10" s="176">
        <v>43182</v>
      </c>
      <c r="F10" s="177">
        <v>43213</v>
      </c>
      <c r="G10" s="93"/>
      <c r="H10" s="176">
        <v>43210</v>
      </c>
      <c r="I10" s="177">
        <v>43252</v>
      </c>
      <c r="J10" s="93"/>
    </row>
    <row r="11" spans="2:10" x14ac:dyDescent="0.3">
      <c r="B11" s="86" t="s">
        <v>93</v>
      </c>
      <c r="C11" s="87" t="s">
        <v>94</v>
      </c>
      <c r="D11" s="88">
        <v>43175</v>
      </c>
      <c r="E11" s="176">
        <v>43206</v>
      </c>
      <c r="F11" s="177">
        <v>43236</v>
      </c>
      <c r="G11" s="93"/>
      <c r="H11" s="176">
        <v>43227</v>
      </c>
      <c r="I11" s="177"/>
      <c r="J11" s="93"/>
    </row>
    <row r="12" spans="2:10" x14ac:dyDescent="0.3">
      <c r="B12" s="86" t="s">
        <v>95</v>
      </c>
      <c r="C12" s="87" t="s">
        <v>96</v>
      </c>
      <c r="D12" s="88">
        <v>43195</v>
      </c>
      <c r="E12" s="176">
        <v>43223</v>
      </c>
      <c r="F12" s="177"/>
      <c r="G12" s="93"/>
      <c r="H12" s="176">
        <v>43258</v>
      </c>
      <c r="I12" s="177"/>
      <c r="J12" s="93"/>
    </row>
    <row r="13" spans="2:10" x14ac:dyDescent="0.3">
      <c r="B13" s="86" t="s">
        <v>97</v>
      </c>
      <c r="C13" s="87" t="s">
        <v>98</v>
      </c>
      <c r="D13" s="88">
        <v>43179</v>
      </c>
      <c r="E13" s="176">
        <v>43207</v>
      </c>
      <c r="F13" s="177"/>
      <c r="G13" s="93"/>
      <c r="H13" s="176">
        <v>43242</v>
      </c>
      <c r="I13" s="177"/>
      <c r="J13" s="93"/>
    </row>
    <row r="14" spans="2:10" x14ac:dyDescent="0.3">
      <c r="B14" s="86" t="s">
        <v>99</v>
      </c>
      <c r="C14" s="87" t="s">
        <v>100</v>
      </c>
      <c r="D14" s="88">
        <v>43176</v>
      </c>
      <c r="E14" s="176">
        <v>43204</v>
      </c>
      <c r="F14" s="177"/>
      <c r="G14" s="93"/>
      <c r="H14" s="176">
        <v>43239</v>
      </c>
      <c r="I14" s="177"/>
      <c r="J14" s="93"/>
    </row>
    <row r="15" spans="2:10" x14ac:dyDescent="0.3">
      <c r="B15" s="86" t="s">
        <v>101</v>
      </c>
      <c r="C15" s="87" t="s">
        <v>102</v>
      </c>
      <c r="D15" s="88">
        <v>43187</v>
      </c>
      <c r="E15" s="176">
        <v>43215</v>
      </c>
      <c r="F15" s="177"/>
      <c r="G15" s="93"/>
      <c r="H15" s="176">
        <v>43250</v>
      </c>
      <c r="I15" s="177"/>
      <c r="J15" s="93"/>
    </row>
    <row r="16" spans="2:10" x14ac:dyDescent="0.3">
      <c r="B16" s="97"/>
      <c r="C16" s="97"/>
      <c r="D16" s="98"/>
      <c r="E16" s="97"/>
      <c r="F16" s="97"/>
      <c r="G16" s="97"/>
      <c r="H16" s="97"/>
      <c r="I16" s="97"/>
      <c r="J16" s="97"/>
    </row>
    <row r="17" spans="2:10" x14ac:dyDescent="0.3">
      <c r="B17" s="99" t="s">
        <v>103</v>
      </c>
      <c r="C17" s="99"/>
      <c r="D17" s="98"/>
      <c r="E17" s="97"/>
      <c r="F17" s="97"/>
      <c r="G17" s="97"/>
      <c r="H17" s="97"/>
      <c r="I17" s="97"/>
      <c r="J17" s="97"/>
    </row>
    <row r="18" spans="2:10" ht="15.6" customHeight="1" x14ac:dyDescent="0.3">
      <c r="B18" s="260" t="s">
        <v>1328</v>
      </c>
      <c r="C18" s="260"/>
      <c r="D18" s="260"/>
      <c r="E18" s="260"/>
      <c r="F18" s="260"/>
      <c r="G18" s="260"/>
      <c r="H18" s="178"/>
      <c r="I18" s="178"/>
      <c r="J18" s="178"/>
    </row>
    <row r="19" spans="2:10" ht="15.6" customHeight="1" x14ac:dyDescent="0.3">
      <c r="B19" s="100"/>
      <c r="C19" s="100"/>
      <c r="D19" s="100"/>
      <c r="E19" s="100"/>
      <c r="F19" s="100"/>
      <c r="G19" s="100"/>
      <c r="H19" s="100"/>
      <c r="I19" s="100"/>
      <c r="J19" s="100"/>
    </row>
    <row r="20" spans="2:10" x14ac:dyDescent="0.3">
      <c r="B20" s="99" t="s">
        <v>76</v>
      </c>
      <c r="C20" s="99" t="s">
        <v>105</v>
      </c>
      <c r="D20" s="101"/>
      <c r="E20" s="102"/>
      <c r="F20" s="102"/>
      <c r="G20" s="97"/>
      <c r="H20" s="97"/>
      <c r="I20" s="97"/>
      <c r="J20" s="97"/>
    </row>
    <row r="21" spans="2:10" x14ac:dyDescent="0.3">
      <c r="B21" s="99" t="s">
        <v>106</v>
      </c>
      <c r="C21" s="99" t="s">
        <v>107</v>
      </c>
      <c r="D21" s="101"/>
      <c r="E21" s="102"/>
      <c r="F21" s="102"/>
      <c r="G21" s="97"/>
      <c r="H21" s="97"/>
      <c r="I21" s="97"/>
      <c r="J21" s="97"/>
    </row>
    <row r="22" spans="2:10" x14ac:dyDescent="0.3">
      <c r="B22" s="99" t="s">
        <v>108</v>
      </c>
      <c r="C22" s="99" t="s">
        <v>109</v>
      </c>
      <c r="D22" s="101"/>
      <c r="E22" s="102"/>
      <c r="F22" s="102"/>
      <c r="G22" s="97"/>
      <c r="H22" s="97"/>
      <c r="I22" s="97"/>
      <c r="J22" s="97"/>
    </row>
    <row r="23" spans="2:10" x14ac:dyDescent="0.3">
      <c r="B23" s="99" t="s">
        <v>78</v>
      </c>
      <c r="C23" s="99" t="s">
        <v>110</v>
      </c>
      <c r="D23" s="101"/>
      <c r="E23" s="102"/>
      <c r="F23" s="102"/>
    </row>
    <row r="24" spans="2:10" x14ac:dyDescent="0.3">
      <c r="D24" s="101"/>
      <c r="E24" s="102"/>
      <c r="F24" s="102"/>
    </row>
    <row r="25" spans="2:10" x14ac:dyDescent="0.3">
      <c r="B25" s="104" t="s">
        <v>111</v>
      </c>
      <c r="D25" s="101"/>
      <c r="E25" s="102"/>
      <c r="F25" s="102"/>
    </row>
    <row r="26" spans="2:10" ht="30.15" customHeight="1" x14ac:dyDescent="0.3">
      <c r="B26" s="179">
        <v>1</v>
      </c>
      <c r="C26" s="255" t="s">
        <v>112</v>
      </c>
      <c r="D26" s="255"/>
      <c r="E26" s="255"/>
      <c r="F26" s="255"/>
      <c r="G26" s="255"/>
      <c r="H26" s="255"/>
      <c r="I26" s="255"/>
      <c r="J26" s="255"/>
    </row>
    <row r="27" spans="2:10" ht="30.15" customHeight="1" x14ac:dyDescent="0.3">
      <c r="B27" s="179">
        <v>2</v>
      </c>
      <c r="C27" s="255" t="s">
        <v>113</v>
      </c>
      <c r="D27" s="255"/>
      <c r="E27" s="255"/>
      <c r="F27" s="255"/>
      <c r="G27" s="255"/>
      <c r="H27" s="255"/>
      <c r="I27" s="255"/>
      <c r="J27" s="255"/>
    </row>
    <row r="28" spans="2:10" ht="30.75" customHeight="1" x14ac:dyDescent="0.3">
      <c r="B28" s="179">
        <v>3</v>
      </c>
      <c r="C28" s="255" t="s">
        <v>114</v>
      </c>
      <c r="D28" s="255"/>
      <c r="E28" s="255"/>
      <c r="F28" s="255"/>
      <c r="G28" s="255"/>
      <c r="H28" s="255"/>
      <c r="I28" s="255"/>
      <c r="J28" s="255"/>
    </row>
    <row r="29" spans="2:10" ht="26.4" customHeight="1" x14ac:dyDescent="0.3">
      <c r="B29" s="179">
        <v>4</v>
      </c>
      <c r="C29" s="255" t="s">
        <v>115</v>
      </c>
      <c r="D29" s="255"/>
      <c r="E29" s="255"/>
      <c r="F29" s="255"/>
      <c r="G29" s="255"/>
      <c r="H29" s="255"/>
      <c r="I29" s="255"/>
      <c r="J29" s="255"/>
    </row>
    <row r="30" spans="2:10" x14ac:dyDescent="0.3">
      <c r="B30" s="179">
        <v>5</v>
      </c>
      <c r="C30" s="255" t="s">
        <v>116</v>
      </c>
      <c r="D30" s="255"/>
      <c r="E30" s="255"/>
      <c r="F30" s="255"/>
      <c r="G30" s="255"/>
      <c r="H30" s="255"/>
      <c r="I30" s="255"/>
      <c r="J30" s="255"/>
    </row>
    <row r="31" spans="2:10" x14ac:dyDescent="0.3">
      <c r="C31" s="106"/>
      <c r="D31" s="106"/>
      <c r="E31" s="106"/>
      <c r="F31" s="106"/>
      <c r="G31" s="106"/>
      <c r="H31" s="106"/>
      <c r="I31" s="106"/>
      <c r="J31" s="106"/>
    </row>
  </sheetData>
  <mergeCells count="9">
    <mergeCell ref="C28:J28"/>
    <mergeCell ref="C29:J29"/>
    <mergeCell ref="C30:J30"/>
    <mergeCell ref="B2:J2"/>
    <mergeCell ref="E3:G3"/>
    <mergeCell ref="H3:J3"/>
    <mergeCell ref="B18:G18"/>
    <mergeCell ref="C26:J26"/>
    <mergeCell ref="C27:J27"/>
  </mergeCells>
  <pageMargins left="0.7" right="0.7" top="0.75" bottom="0.75" header="0.3" footer="0.3"/>
  <pageSetup paperSize="8" orientation="landscape" r:id="rId1"/>
  <headerFooter>
    <oddFooter>&amp;L&amp;1#&amp;"Calibri"&amp;8 Sensitivity: LNT Construction Internal Use</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K22"/>
  <sheetViews>
    <sheetView zoomScale="70" zoomScaleNormal="70" workbookViewId="0">
      <selection activeCell="A21" sqref="A21:XFD21"/>
    </sheetView>
  </sheetViews>
  <sheetFormatPr defaultRowHeight="14.4" x14ac:dyDescent="0.3"/>
  <cols>
    <col min="1" max="1" width="11.44140625" bestFit="1" customWidth="1"/>
    <col min="2" max="2" width="12" bestFit="1" customWidth="1"/>
    <col min="3" max="3" width="13.44140625" bestFit="1" customWidth="1"/>
    <col min="4" max="4" width="59.88671875" bestFit="1" customWidth="1"/>
    <col min="5" max="5" width="22.44140625" customWidth="1"/>
    <col min="6" max="6" width="9.88671875" bestFit="1" customWidth="1"/>
    <col min="7" max="8" width="10.109375" bestFit="1" customWidth="1"/>
    <col min="9" max="9" width="10.88671875" bestFit="1" customWidth="1"/>
    <col min="10" max="10" width="10.6640625" customWidth="1"/>
    <col min="11" max="11" width="9.6640625" customWidth="1"/>
  </cols>
  <sheetData>
    <row r="1" spans="1:11" s="136" customFormat="1" x14ac:dyDescent="0.3">
      <c r="A1" s="136" t="s">
        <v>174</v>
      </c>
      <c r="B1" s="136" t="s">
        <v>176</v>
      </c>
      <c r="C1" s="136" t="s">
        <v>175</v>
      </c>
      <c r="D1" s="136" t="s">
        <v>177</v>
      </c>
      <c r="E1" s="136" t="s">
        <v>1319</v>
      </c>
      <c r="F1" s="136" t="s">
        <v>34</v>
      </c>
      <c r="G1" s="168" t="s">
        <v>67</v>
      </c>
      <c r="H1" s="136" t="s">
        <v>133</v>
      </c>
      <c r="J1" s="136" t="s">
        <v>1320</v>
      </c>
    </row>
    <row r="2" spans="1:11" x14ac:dyDescent="0.3">
      <c r="A2" s="55" t="s">
        <v>40</v>
      </c>
      <c r="B2" s="55" t="s">
        <v>191</v>
      </c>
      <c r="C2" s="55" t="s">
        <v>1321</v>
      </c>
      <c r="D2" s="169" t="s">
        <v>166</v>
      </c>
      <c r="E2" s="55" t="s">
        <v>199</v>
      </c>
      <c r="F2" s="170" t="s">
        <v>1322</v>
      </c>
      <c r="G2" s="171">
        <f>+'[2]L &amp; T MASTER'!E54</f>
        <v>43437</v>
      </c>
      <c r="H2" s="171">
        <f>+'[2]L &amp; T MASTER'!G54</f>
        <v>43514</v>
      </c>
    </row>
    <row r="3" spans="1:11" x14ac:dyDescent="0.3">
      <c r="A3" s="55" t="s">
        <v>40</v>
      </c>
      <c r="B3" s="55" t="s">
        <v>191</v>
      </c>
      <c r="C3" s="55" t="s">
        <v>1321</v>
      </c>
      <c r="D3" s="169" t="s">
        <v>166</v>
      </c>
      <c r="E3" s="55" t="s">
        <v>306</v>
      </c>
      <c r="F3" s="170" t="s">
        <v>1322</v>
      </c>
      <c r="G3" s="171">
        <f>+'[2]L &amp; T MASTER'!F54</f>
        <v>43489</v>
      </c>
      <c r="H3" s="171">
        <f>+'[2]L &amp; T MASTER'!H54</f>
        <v>43542</v>
      </c>
    </row>
    <row r="4" spans="1:11" x14ac:dyDescent="0.3">
      <c r="A4" s="55" t="s">
        <v>40</v>
      </c>
      <c r="B4" s="55" t="s">
        <v>191</v>
      </c>
      <c r="C4" s="55" t="s">
        <v>1321</v>
      </c>
      <c r="D4" s="172" t="s">
        <v>167</v>
      </c>
      <c r="E4" s="55" t="s">
        <v>1159</v>
      </c>
      <c r="F4" s="173" t="s">
        <v>1322</v>
      </c>
      <c r="G4" s="173">
        <f>+'[2]L &amp; T MASTER'!G10</f>
        <v>43260</v>
      </c>
      <c r="H4" s="173">
        <f>+'[2]L &amp; T MASTER'!J10</f>
        <v>43299</v>
      </c>
      <c r="J4">
        <f ca="1">+G4-TODAY()</f>
        <v>32</v>
      </c>
      <c r="K4">
        <f>+H4-G4</f>
        <v>39</v>
      </c>
    </row>
    <row r="5" spans="1:11" x14ac:dyDescent="0.3">
      <c r="A5" s="55" t="s">
        <v>40</v>
      </c>
      <c r="B5" s="55" t="s">
        <v>191</v>
      </c>
      <c r="C5" s="55" t="s">
        <v>1321</v>
      </c>
      <c r="D5" s="169" t="s">
        <v>166</v>
      </c>
      <c r="E5" s="55" t="s">
        <v>560</v>
      </c>
      <c r="F5" s="170" t="s">
        <v>1322</v>
      </c>
      <c r="G5" s="170">
        <f>+'[2]L &amp; T MASTER'!G9</f>
        <v>43278</v>
      </c>
      <c r="H5" s="170">
        <f>+'[2]L &amp; T MASTER'!J9</f>
        <v>43308</v>
      </c>
      <c r="J5">
        <f t="shared" ref="J5:J22" ca="1" si="0">+G5-TODAY()</f>
        <v>50</v>
      </c>
      <c r="K5">
        <f t="shared" ref="K5:K22" si="1">+H5-G5</f>
        <v>30</v>
      </c>
    </row>
    <row r="6" spans="1:11" x14ac:dyDescent="0.3">
      <c r="A6" s="55" t="s">
        <v>40</v>
      </c>
      <c r="B6" s="55" t="s">
        <v>191</v>
      </c>
      <c r="C6" s="55" t="s">
        <v>1321</v>
      </c>
      <c r="D6" s="169" t="s">
        <v>166</v>
      </c>
      <c r="E6" s="55" t="s">
        <v>647</v>
      </c>
      <c r="F6" s="170" t="s">
        <v>1322</v>
      </c>
      <c r="G6" s="173">
        <f>+'[2]L &amp; T MASTER'!H9</f>
        <v>43343</v>
      </c>
      <c r="H6" s="173">
        <f>+'[2]L &amp; T MASTER'!K9</f>
        <v>43371</v>
      </c>
      <c r="J6">
        <f t="shared" ca="1" si="0"/>
        <v>115</v>
      </c>
      <c r="K6">
        <f t="shared" si="1"/>
        <v>28</v>
      </c>
    </row>
    <row r="7" spans="1:11" x14ac:dyDescent="0.3">
      <c r="A7" s="55" t="s">
        <v>40</v>
      </c>
      <c r="B7" s="55" t="s">
        <v>191</v>
      </c>
      <c r="C7" s="55" t="s">
        <v>1321</v>
      </c>
      <c r="D7" s="169" t="s">
        <v>166</v>
      </c>
      <c r="E7" s="55" t="s">
        <v>559</v>
      </c>
      <c r="F7" s="173">
        <v>43185</v>
      </c>
      <c r="G7" s="170">
        <f>+'[2]L &amp; T MASTER'!G9</f>
        <v>43278</v>
      </c>
      <c r="H7" s="170">
        <f>+'[2]L &amp; T MASTER'!J9</f>
        <v>43308</v>
      </c>
      <c r="J7">
        <f t="shared" ca="1" si="0"/>
        <v>50</v>
      </c>
      <c r="K7">
        <f t="shared" si="1"/>
        <v>30</v>
      </c>
    </row>
    <row r="8" spans="1:11" x14ac:dyDescent="0.3">
      <c r="A8" s="55" t="s">
        <v>40</v>
      </c>
      <c r="B8" s="55" t="s">
        <v>191</v>
      </c>
      <c r="C8" s="55" t="s">
        <v>1321</v>
      </c>
      <c r="D8" s="169" t="s">
        <v>170</v>
      </c>
      <c r="E8" s="55" t="s">
        <v>1296</v>
      </c>
      <c r="F8" s="173" t="s">
        <v>1322</v>
      </c>
      <c r="G8" s="173">
        <f>+'[2]L &amp; T MASTER'!G14</f>
        <v>43266</v>
      </c>
      <c r="H8" s="173">
        <f>+'[2]L &amp; T MASTER'!J14</f>
        <v>43350</v>
      </c>
      <c r="J8">
        <f t="shared" ca="1" si="0"/>
        <v>38</v>
      </c>
      <c r="K8">
        <f t="shared" si="1"/>
        <v>84</v>
      </c>
    </row>
    <row r="9" spans="1:11" x14ac:dyDescent="0.3">
      <c r="A9" s="55" t="s">
        <v>40</v>
      </c>
      <c r="B9" s="55" t="s">
        <v>191</v>
      </c>
      <c r="C9" s="55" t="s">
        <v>1321</v>
      </c>
      <c r="D9" s="169" t="s">
        <v>170</v>
      </c>
      <c r="E9" s="55" t="s">
        <v>1323</v>
      </c>
      <c r="F9" s="173">
        <v>43185</v>
      </c>
      <c r="G9" s="173">
        <f>+'[2]L &amp; T MASTER'!G14</f>
        <v>43266</v>
      </c>
      <c r="H9" s="173">
        <f>+'[2]L &amp; T MASTER'!J14</f>
        <v>43350</v>
      </c>
      <c r="J9">
        <f t="shared" ca="1" si="0"/>
        <v>38</v>
      </c>
      <c r="K9">
        <f t="shared" si="1"/>
        <v>84</v>
      </c>
    </row>
    <row r="10" spans="1:11" x14ac:dyDescent="0.3">
      <c r="A10" s="55" t="s">
        <v>40</v>
      </c>
      <c r="B10" s="55" t="s">
        <v>191</v>
      </c>
      <c r="C10" s="55" t="s">
        <v>1321</v>
      </c>
      <c r="D10" s="172" t="s">
        <v>162</v>
      </c>
      <c r="E10" s="55" t="s">
        <v>714</v>
      </c>
      <c r="F10" s="171" t="s">
        <v>1322</v>
      </c>
      <c r="G10" s="171">
        <f>+'[2]L &amp; T MASTER'!E52</f>
        <v>43493</v>
      </c>
      <c r="H10" s="171">
        <f>+'[2]L &amp; T MASTER'!G52</f>
        <v>43521</v>
      </c>
      <c r="J10">
        <f t="shared" ca="1" si="0"/>
        <v>265</v>
      </c>
      <c r="K10">
        <f t="shared" si="1"/>
        <v>28</v>
      </c>
    </row>
    <row r="11" spans="1:11" x14ac:dyDescent="0.3">
      <c r="A11" s="55" t="s">
        <v>40</v>
      </c>
      <c r="B11" s="55" t="s">
        <v>191</v>
      </c>
      <c r="C11" s="55" t="s">
        <v>1321</v>
      </c>
      <c r="D11" s="172" t="s">
        <v>162</v>
      </c>
      <c r="E11" s="55" t="s">
        <v>860</v>
      </c>
      <c r="F11" s="173">
        <v>43160</v>
      </c>
      <c r="G11" s="170">
        <f>+'[2]L &amp; T MASTER'!G6</f>
        <v>43295</v>
      </c>
      <c r="H11" s="170">
        <f>+'[2]L &amp; T MASTER'!J6</f>
        <v>43340</v>
      </c>
      <c r="J11">
        <f t="shared" ca="1" si="0"/>
        <v>67</v>
      </c>
      <c r="K11">
        <f t="shared" si="1"/>
        <v>45</v>
      </c>
    </row>
    <row r="12" spans="1:11" x14ac:dyDescent="0.3">
      <c r="A12" s="55" t="s">
        <v>40</v>
      </c>
      <c r="B12" s="55" t="s">
        <v>191</v>
      </c>
      <c r="C12" s="55" t="s">
        <v>1321</v>
      </c>
      <c r="D12" s="172" t="s">
        <v>162</v>
      </c>
      <c r="E12" s="55" t="s">
        <v>844</v>
      </c>
      <c r="F12" s="170" t="s">
        <v>1322</v>
      </c>
      <c r="G12" s="170">
        <f>+'[2]L &amp; T MASTER'!G6</f>
        <v>43295</v>
      </c>
      <c r="H12" s="170">
        <f>+'[2]L &amp; T MASTER'!J6</f>
        <v>43340</v>
      </c>
      <c r="J12">
        <f t="shared" ca="1" si="0"/>
        <v>67</v>
      </c>
      <c r="K12">
        <f t="shared" si="1"/>
        <v>45</v>
      </c>
    </row>
    <row r="13" spans="1:11" x14ac:dyDescent="0.3">
      <c r="A13" s="55" t="s">
        <v>40</v>
      </c>
      <c r="B13" s="55" t="s">
        <v>191</v>
      </c>
      <c r="C13" s="55" t="s">
        <v>1321</v>
      </c>
      <c r="D13" s="169" t="s">
        <v>164</v>
      </c>
      <c r="E13" s="55" t="s">
        <v>931</v>
      </c>
      <c r="F13" s="171" t="s">
        <v>1322</v>
      </c>
      <c r="G13" s="171">
        <f>+'[2]L &amp; T MASTER'!E53</f>
        <v>43500</v>
      </c>
      <c r="H13" s="171">
        <f>+'[2]L &amp; T MASTER'!G53</f>
        <v>43528</v>
      </c>
      <c r="J13">
        <f t="shared" ca="1" si="0"/>
        <v>272</v>
      </c>
      <c r="K13">
        <f t="shared" si="1"/>
        <v>28</v>
      </c>
    </row>
    <row r="14" spans="1:11" x14ac:dyDescent="0.3">
      <c r="A14" s="55" t="s">
        <v>40</v>
      </c>
      <c r="B14" s="55" t="s">
        <v>191</v>
      </c>
      <c r="C14" s="55" t="s">
        <v>1321</v>
      </c>
      <c r="D14" s="169" t="s">
        <v>164</v>
      </c>
      <c r="E14" s="55" t="s">
        <v>1064</v>
      </c>
      <c r="F14" s="173">
        <v>43160</v>
      </c>
      <c r="G14" s="170">
        <f>+'[2]L &amp; T MASTER'!G7</f>
        <v>43305</v>
      </c>
      <c r="H14" s="170">
        <f>+'[2]L &amp; T MASTER'!J7</f>
        <v>43350</v>
      </c>
      <c r="J14">
        <f t="shared" ca="1" si="0"/>
        <v>77</v>
      </c>
      <c r="K14">
        <f t="shared" si="1"/>
        <v>45</v>
      </c>
    </row>
    <row r="15" spans="1:11" x14ac:dyDescent="0.3">
      <c r="A15" s="55" t="s">
        <v>40</v>
      </c>
      <c r="B15" s="55" t="s">
        <v>191</v>
      </c>
      <c r="C15" s="55" t="s">
        <v>1321</v>
      </c>
      <c r="D15" s="169" t="s">
        <v>164</v>
      </c>
      <c r="E15" s="55" t="s">
        <v>1042</v>
      </c>
      <c r="F15" s="170" t="s">
        <v>1322</v>
      </c>
      <c r="G15" s="170">
        <f>+'[2]L &amp; T MASTER'!G7</f>
        <v>43305</v>
      </c>
      <c r="H15" s="170">
        <f>+'[2]L &amp; T MASTER'!J7</f>
        <v>43350</v>
      </c>
      <c r="J15">
        <f t="shared" ca="1" si="0"/>
        <v>77</v>
      </c>
      <c r="K15">
        <f t="shared" si="1"/>
        <v>45</v>
      </c>
    </row>
    <row r="16" spans="1:11" x14ac:dyDescent="0.3">
      <c r="A16" s="55" t="s">
        <v>40</v>
      </c>
      <c r="B16" s="55" t="s">
        <v>191</v>
      </c>
      <c r="C16" s="55" t="s">
        <v>1321</v>
      </c>
      <c r="D16" s="172" t="s">
        <v>165</v>
      </c>
      <c r="E16" s="55" t="s">
        <v>1324</v>
      </c>
      <c r="F16" s="173">
        <v>43185</v>
      </c>
      <c r="G16" s="170">
        <f>+'[2]L &amp; T MASTER'!G8</f>
        <v>43259</v>
      </c>
      <c r="H16" s="170">
        <f>+'[2]L &amp; T MASTER'!J8</f>
        <v>43313</v>
      </c>
      <c r="J16">
        <f t="shared" ca="1" si="0"/>
        <v>31</v>
      </c>
      <c r="K16">
        <f t="shared" si="1"/>
        <v>54</v>
      </c>
    </row>
    <row r="17" spans="1:11" x14ac:dyDescent="0.3">
      <c r="A17" s="55" t="s">
        <v>40</v>
      </c>
      <c r="B17" s="55" t="s">
        <v>191</v>
      </c>
      <c r="C17" s="55" t="s">
        <v>1321</v>
      </c>
      <c r="D17" s="172" t="s">
        <v>165</v>
      </c>
      <c r="E17" s="55" t="s">
        <v>1117</v>
      </c>
      <c r="F17" s="170" t="s">
        <v>1322</v>
      </c>
      <c r="G17" s="170">
        <f>+'[2]L &amp; T MASTER'!G8</f>
        <v>43259</v>
      </c>
      <c r="H17" s="170">
        <f>+'[2]L &amp; T MASTER'!J8</f>
        <v>43313</v>
      </c>
      <c r="J17">
        <f t="shared" ca="1" si="0"/>
        <v>31</v>
      </c>
      <c r="K17">
        <f t="shared" si="1"/>
        <v>54</v>
      </c>
    </row>
    <row r="18" spans="1:11" x14ac:dyDescent="0.3">
      <c r="A18" s="55" t="s">
        <v>40</v>
      </c>
      <c r="B18" s="55" t="s">
        <v>191</v>
      </c>
      <c r="C18" s="55" t="s">
        <v>1321</v>
      </c>
      <c r="D18" s="172" t="s">
        <v>171</v>
      </c>
      <c r="E18" s="55" t="s">
        <v>1316</v>
      </c>
      <c r="F18" s="173" t="s">
        <v>1322</v>
      </c>
      <c r="G18" s="173">
        <f>+'[2]L &amp; T MASTER'!G15</f>
        <v>43278</v>
      </c>
      <c r="H18" s="173">
        <f>+'[2]L &amp; T MASTER'!J15</f>
        <v>43346</v>
      </c>
      <c r="J18">
        <f t="shared" ca="1" si="0"/>
        <v>50</v>
      </c>
      <c r="K18">
        <f t="shared" si="1"/>
        <v>68</v>
      </c>
    </row>
    <row r="19" spans="1:11" ht="15" customHeight="1" x14ac:dyDescent="0.3">
      <c r="A19" s="55" t="s">
        <v>40</v>
      </c>
      <c r="B19" s="55" t="s">
        <v>191</v>
      </c>
      <c r="C19" s="55" t="s">
        <v>1321</v>
      </c>
      <c r="D19" s="169" t="s">
        <v>168</v>
      </c>
      <c r="E19" s="55" t="s">
        <v>1186</v>
      </c>
      <c r="F19" s="173" t="s">
        <v>1322</v>
      </c>
      <c r="G19" s="170">
        <f>+'[2]L &amp; T MASTER'!E55</f>
        <v>43451</v>
      </c>
      <c r="H19" s="170">
        <f>+'[2]L &amp; T MASTER'!G55</f>
        <v>43479</v>
      </c>
      <c r="J19">
        <f t="shared" ca="1" si="0"/>
        <v>223</v>
      </c>
      <c r="K19">
        <f t="shared" si="1"/>
        <v>28</v>
      </c>
    </row>
    <row r="20" spans="1:11" x14ac:dyDescent="0.3">
      <c r="A20" s="55" t="s">
        <v>40</v>
      </c>
      <c r="B20" s="55" t="s">
        <v>191</v>
      </c>
      <c r="C20" s="55" t="s">
        <v>1321</v>
      </c>
      <c r="D20" s="169" t="s">
        <v>168</v>
      </c>
      <c r="E20" s="174" t="s">
        <v>1325</v>
      </c>
      <c r="F20" s="173" t="s">
        <v>1322</v>
      </c>
      <c r="G20" s="173">
        <f>+G19</f>
        <v>43451</v>
      </c>
      <c r="H20" s="173">
        <f>+H19</f>
        <v>43479</v>
      </c>
      <c r="J20">
        <f t="shared" ca="1" si="0"/>
        <v>223</v>
      </c>
      <c r="K20">
        <f t="shared" si="1"/>
        <v>28</v>
      </c>
    </row>
    <row r="21" spans="1:11" x14ac:dyDescent="0.3">
      <c r="A21" s="55" t="s">
        <v>40</v>
      </c>
      <c r="B21" s="55" t="s">
        <v>191</v>
      </c>
      <c r="C21" s="55" t="s">
        <v>1321</v>
      </c>
      <c r="D21" s="172" t="s">
        <v>169</v>
      </c>
      <c r="E21" s="55" t="s">
        <v>1271</v>
      </c>
      <c r="F21" s="170" t="s">
        <v>1322</v>
      </c>
      <c r="G21" s="170">
        <f>+'[2]L &amp; T MASTER'!G12</f>
        <v>43329</v>
      </c>
      <c r="H21" s="170">
        <f>+'[2]L &amp; T MASTER'!J12</f>
        <v>43381</v>
      </c>
      <c r="J21">
        <f t="shared" ca="1" si="0"/>
        <v>101</v>
      </c>
      <c r="K21">
        <f t="shared" si="1"/>
        <v>52</v>
      </c>
    </row>
    <row r="22" spans="1:11" x14ac:dyDescent="0.3">
      <c r="A22" s="55" t="s">
        <v>40</v>
      </c>
      <c r="B22" s="55" t="s">
        <v>191</v>
      </c>
      <c r="C22" s="55" t="s">
        <v>1321</v>
      </c>
      <c r="D22" s="172" t="s">
        <v>169</v>
      </c>
      <c r="E22" s="55" t="s">
        <v>1326</v>
      </c>
      <c r="F22" s="170">
        <v>43195</v>
      </c>
      <c r="G22" s="170">
        <f>+G21</f>
        <v>43329</v>
      </c>
      <c r="H22" s="170">
        <f>+H21</f>
        <v>43381</v>
      </c>
      <c r="J22">
        <f t="shared" ca="1" si="0"/>
        <v>101</v>
      </c>
      <c r="K22">
        <f t="shared" si="1"/>
        <v>52</v>
      </c>
    </row>
  </sheetData>
  <autoFilter ref="D1:H22"/>
  <pageMargins left="0.7" right="0.7" top="0.75" bottom="0.75" header="0.3" footer="0.3"/>
  <pageSetup orientation="portrait" r:id="rId1"/>
  <headerFooter>
    <oddFooter>&amp;L&amp;1#&amp;"Calibri"&amp;8 Sensitivity: LNT Construction Internal Use</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S3"/>
  <sheetViews>
    <sheetView zoomScaleNormal="100" workbookViewId="0">
      <selection activeCell="H86" sqref="H86:H98"/>
    </sheetView>
  </sheetViews>
  <sheetFormatPr defaultRowHeight="14.4" x14ac:dyDescent="0.3"/>
  <cols>
    <col min="1" max="1" width="11.44140625" bestFit="1" customWidth="1"/>
    <col min="3" max="3" width="11.109375" bestFit="1" customWidth="1"/>
    <col min="4" max="4" width="11.33203125" style="155" bestFit="1" customWidth="1"/>
    <col min="5" max="5" width="10.5546875" bestFit="1" customWidth="1"/>
    <col min="6" max="6" width="8.5546875" bestFit="1" customWidth="1"/>
    <col min="8" max="8" width="22.5546875" bestFit="1" customWidth="1"/>
    <col min="10" max="10" width="56.5546875" bestFit="1" customWidth="1"/>
    <col min="11" max="11" width="11.6640625" bestFit="1" customWidth="1"/>
    <col min="12" max="12" width="20.44140625" bestFit="1" customWidth="1"/>
    <col min="15" max="15" width="9.109375" customWidth="1"/>
    <col min="16" max="16" width="11.33203125" customWidth="1"/>
    <col min="17" max="17" width="0" hidden="1" customWidth="1"/>
    <col min="18" max="18" width="12.44140625" bestFit="1" customWidth="1"/>
    <col min="19" max="19" width="0" hidden="1" customWidth="1"/>
  </cols>
  <sheetData>
    <row r="1" spans="1:19" s="136" customFormat="1" x14ac:dyDescent="0.3">
      <c r="A1" s="136" t="s">
        <v>174</v>
      </c>
      <c r="B1" s="136" t="s">
        <v>175</v>
      </c>
      <c r="C1" s="136" t="s">
        <v>176</v>
      </c>
      <c r="D1" s="137" t="s">
        <v>177</v>
      </c>
      <c r="E1" s="136" t="s">
        <v>178</v>
      </c>
      <c r="F1" s="136" t="s">
        <v>179</v>
      </c>
      <c r="G1" s="136" t="s">
        <v>180</v>
      </c>
      <c r="H1" s="136" t="s">
        <v>181</v>
      </c>
      <c r="I1" s="136" t="s">
        <v>182</v>
      </c>
      <c r="J1" s="136" t="s">
        <v>183</v>
      </c>
      <c r="K1" s="136" t="s">
        <v>184</v>
      </c>
      <c r="L1" s="136" t="s">
        <v>185</v>
      </c>
      <c r="M1" s="136" t="s">
        <v>34</v>
      </c>
      <c r="N1" s="136" t="s">
        <v>186</v>
      </c>
      <c r="O1" s="136" t="s">
        <v>67</v>
      </c>
      <c r="P1" s="136" t="s">
        <v>187</v>
      </c>
      <c r="Q1" s="136" t="s">
        <v>133</v>
      </c>
      <c r="R1" s="136" t="s">
        <v>188</v>
      </c>
      <c r="S1" s="136" t="s">
        <v>189</v>
      </c>
    </row>
    <row r="2" spans="1:19" x14ac:dyDescent="0.3">
      <c r="A2" t="s">
        <v>40</v>
      </c>
      <c r="B2" t="s">
        <v>190</v>
      </c>
      <c r="C2" t="s">
        <v>191</v>
      </c>
      <c r="D2" s="165" t="s">
        <v>1313</v>
      </c>
      <c r="E2" t="s">
        <v>193</v>
      </c>
      <c r="F2" t="s">
        <v>194</v>
      </c>
      <c r="G2" t="s">
        <v>240</v>
      </c>
      <c r="H2" t="s">
        <v>1314</v>
      </c>
      <c r="I2" s="166" t="s">
        <v>51</v>
      </c>
      <c r="J2" s="167" t="s">
        <v>1315</v>
      </c>
      <c r="K2">
        <v>20038918</v>
      </c>
      <c r="L2" s="55" t="s">
        <v>198</v>
      </c>
      <c r="M2" s="141" t="str">
        <f>+O2</f>
        <v>FS-F_A</v>
      </c>
      <c r="N2" s="142" t="str">
        <f>LOOKUP(M2,'[2]Doc Set'!E:E,'[2]Doc Set'!F:F)</f>
        <v>_</v>
      </c>
      <c r="O2" s="141" t="s">
        <v>1316</v>
      </c>
      <c r="P2" s="142">
        <f>+LOOKUP(O2,'[2]Doc Set'!E:E,'[2]Doc Set'!G:G)</f>
        <v>43278</v>
      </c>
      <c r="Q2" s="55" t="str">
        <f>+O2</f>
        <v>FS-F_A</v>
      </c>
      <c r="R2" s="142">
        <f>+LOOKUP(Q2,'[2]Doc Set'!E:E,'[2]Doc Set'!H:H)</f>
        <v>43346</v>
      </c>
      <c r="S2" s="143" t="s">
        <v>200</v>
      </c>
    </row>
    <row r="3" spans="1:19" x14ac:dyDescent="0.3">
      <c r="A3" t="s">
        <v>40</v>
      </c>
      <c r="B3" t="s">
        <v>190</v>
      </c>
      <c r="C3" t="s">
        <v>191</v>
      </c>
      <c r="D3" s="165" t="s">
        <v>1313</v>
      </c>
      <c r="E3" t="s">
        <v>193</v>
      </c>
      <c r="F3" t="s">
        <v>194</v>
      </c>
      <c r="G3" t="s">
        <v>243</v>
      </c>
      <c r="H3" t="s">
        <v>1317</v>
      </c>
      <c r="I3" s="166" t="s">
        <v>51</v>
      </c>
      <c r="J3" s="167" t="s">
        <v>1318</v>
      </c>
      <c r="K3">
        <v>20038918</v>
      </c>
      <c r="L3" s="55" t="s">
        <v>198</v>
      </c>
      <c r="M3" s="141" t="str">
        <f>+O3</f>
        <v>FS-F_A</v>
      </c>
      <c r="N3" s="142" t="str">
        <f>LOOKUP(M3,'[2]Doc Set'!E:E,'[2]Doc Set'!F:F)</f>
        <v>_</v>
      </c>
      <c r="O3" s="141" t="s">
        <v>1316</v>
      </c>
      <c r="P3" s="142">
        <f>+LOOKUP(O3,'[2]Doc Set'!E:E,'[2]Doc Set'!G:G)</f>
        <v>43278</v>
      </c>
      <c r="Q3" s="55" t="str">
        <f>+O3</f>
        <v>FS-F_A</v>
      </c>
      <c r="R3" s="142">
        <f>+LOOKUP(Q3,'[2]Doc Set'!E:E,'[2]Doc Set'!H:H)</f>
        <v>43346</v>
      </c>
      <c r="S3" s="143" t="s">
        <v>200</v>
      </c>
    </row>
  </sheetData>
  <autoFilter ref="A1:S3"/>
  <conditionalFormatting sqref="G2:G3">
    <cfRule type="duplicateValues" dxfId="47" priority="6"/>
  </conditionalFormatting>
  <conditionalFormatting sqref="G2:G3">
    <cfRule type="duplicateValues" dxfId="46" priority="5"/>
  </conditionalFormatting>
  <conditionalFormatting sqref="G2:G3">
    <cfRule type="duplicateValues" dxfId="45" priority="4"/>
  </conditionalFormatting>
  <conditionalFormatting sqref="G2:G3">
    <cfRule type="duplicateValues" dxfId="44" priority="3"/>
  </conditionalFormatting>
  <conditionalFormatting sqref="G1:G1048576">
    <cfRule type="duplicateValues" dxfId="43" priority="2"/>
  </conditionalFormatting>
  <conditionalFormatting sqref="H1:H1048576">
    <cfRule type="duplicateValues" dxfId="42" priority="1"/>
  </conditionalFormatting>
  <dataValidations count="1">
    <dataValidation type="list" allowBlank="1" showInputMessage="1" showErrorMessage="1" sqref="O2:O3 M2:M3">
      <formula1>Document_Set_Name</formula1>
    </dataValidation>
  </dataValidations>
  <pageMargins left="0.7" right="0.7" top="0.75" bottom="0.75" header="0.3" footer="0.3"/>
  <pageSetup orientation="portrait" r:id="rId1"/>
  <headerFooter>
    <oddFooter>&amp;L&amp;1#&amp;"Calibri"&amp;8 Sensitivity: LNT Construction Internal Use</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S10"/>
  <sheetViews>
    <sheetView topLeftCell="E1" zoomScaleNormal="100" workbookViewId="0">
      <selection activeCell="H86" sqref="H86:H98"/>
    </sheetView>
  </sheetViews>
  <sheetFormatPr defaultRowHeight="14.4" x14ac:dyDescent="0.3"/>
  <cols>
    <col min="1" max="1" width="11.44140625" bestFit="1" customWidth="1"/>
    <col min="3" max="3" width="11.109375" bestFit="1" customWidth="1"/>
    <col min="4" max="4" width="11.33203125" style="155" bestFit="1" customWidth="1"/>
    <col min="5" max="5" width="10.5546875" bestFit="1" customWidth="1"/>
    <col min="6" max="6" width="8.5546875" bestFit="1" customWidth="1"/>
    <col min="8" max="8" width="22.5546875" bestFit="1" customWidth="1"/>
    <col min="10" max="10" width="56.5546875" bestFit="1" customWidth="1"/>
    <col min="11" max="11" width="11.6640625" customWidth="1"/>
    <col min="12" max="12" width="20.44140625" customWidth="1"/>
    <col min="15" max="15" width="9.109375" customWidth="1"/>
    <col min="16" max="16" width="12.5546875" bestFit="1" customWidth="1"/>
    <col min="17" max="17" width="9.109375" customWidth="1"/>
    <col min="18" max="18" width="12.44140625" bestFit="1" customWidth="1"/>
    <col min="19" max="19" width="9.109375" customWidth="1"/>
  </cols>
  <sheetData>
    <row r="1" spans="1:19" s="136" customFormat="1" x14ac:dyDescent="0.3">
      <c r="A1" s="136" t="s">
        <v>174</v>
      </c>
      <c r="B1" s="136" t="s">
        <v>175</v>
      </c>
      <c r="C1" s="136" t="s">
        <v>176</v>
      </c>
      <c r="D1" s="137" t="s">
        <v>177</v>
      </c>
      <c r="E1" s="136" t="s">
        <v>178</v>
      </c>
      <c r="F1" s="136" t="s">
        <v>179</v>
      </c>
      <c r="G1" s="136" t="s">
        <v>180</v>
      </c>
      <c r="H1" s="136" t="s">
        <v>181</v>
      </c>
      <c r="I1" s="136" t="s">
        <v>182</v>
      </c>
      <c r="J1" s="136" t="s">
        <v>183</v>
      </c>
      <c r="K1" s="136" t="s">
        <v>184</v>
      </c>
      <c r="L1" s="136" t="s">
        <v>185</v>
      </c>
      <c r="M1" s="136" t="s">
        <v>34</v>
      </c>
      <c r="N1" s="136" t="s">
        <v>186</v>
      </c>
      <c r="O1" s="136" t="s">
        <v>67</v>
      </c>
      <c r="P1" s="136" t="s">
        <v>187</v>
      </c>
      <c r="Q1" s="136" t="s">
        <v>133</v>
      </c>
      <c r="R1" s="136" t="s">
        <v>188</v>
      </c>
      <c r="S1" s="136" t="s">
        <v>189</v>
      </c>
    </row>
    <row r="2" spans="1:19" x14ac:dyDescent="0.3">
      <c r="A2" t="s">
        <v>40</v>
      </c>
      <c r="B2" t="s">
        <v>190</v>
      </c>
      <c r="C2" t="s">
        <v>191</v>
      </c>
      <c r="D2" s="165" t="s">
        <v>1293</v>
      </c>
      <c r="E2" t="s">
        <v>193</v>
      </c>
      <c r="F2" t="s">
        <v>194</v>
      </c>
      <c r="G2" t="s">
        <v>261</v>
      </c>
      <c r="H2" t="s">
        <v>1294</v>
      </c>
      <c r="I2" s="166" t="s">
        <v>51</v>
      </c>
      <c r="J2" s="167" t="s">
        <v>1295</v>
      </c>
      <c r="K2">
        <v>20038918</v>
      </c>
      <c r="L2" s="55" t="s">
        <v>198</v>
      </c>
      <c r="M2" s="141" t="str">
        <f t="shared" ref="M2:M10" si="0">+O2</f>
        <v>DG-F_A</v>
      </c>
      <c r="N2" s="142" t="str">
        <f>LOOKUP(M2,'[2]Doc Set'!E:E,'[2]Doc Set'!F:F)</f>
        <v>_</v>
      </c>
      <c r="O2" s="141" t="s">
        <v>1296</v>
      </c>
      <c r="P2" s="142">
        <f>+LOOKUP(O2,'[2]Doc Set'!E:E,'[2]Doc Set'!G:G)</f>
        <v>43266</v>
      </c>
      <c r="Q2" s="55" t="str">
        <f>+O2</f>
        <v>DG-F_A</v>
      </c>
      <c r="R2" s="142">
        <f>+LOOKUP(Q2,'[2]Doc Set'!E:E,'[2]Doc Set'!H:H)</f>
        <v>43350</v>
      </c>
      <c r="S2" s="143" t="s">
        <v>200</v>
      </c>
    </row>
    <row r="3" spans="1:19" x14ac:dyDescent="0.3">
      <c r="A3" t="s">
        <v>40</v>
      </c>
      <c r="B3" t="s">
        <v>190</v>
      </c>
      <c r="C3" t="s">
        <v>191</v>
      </c>
      <c r="D3" s="165" t="s">
        <v>1293</v>
      </c>
      <c r="E3" t="s">
        <v>193</v>
      </c>
      <c r="F3" t="s">
        <v>194</v>
      </c>
      <c r="G3" t="s">
        <v>264</v>
      </c>
      <c r="H3" t="s">
        <v>1297</v>
      </c>
      <c r="I3" s="166" t="s">
        <v>51</v>
      </c>
      <c r="J3" s="167" t="s">
        <v>1298</v>
      </c>
      <c r="K3">
        <v>20038918</v>
      </c>
      <c r="L3" s="55" t="s">
        <v>198</v>
      </c>
      <c r="M3" s="141" t="str">
        <f t="shared" si="0"/>
        <v>DG-F_A</v>
      </c>
      <c r="N3" s="142" t="str">
        <f>LOOKUP(M3,'[2]Doc Set'!E:E,'[2]Doc Set'!F:F)</f>
        <v>_</v>
      </c>
      <c r="O3" s="141" t="s">
        <v>1296</v>
      </c>
      <c r="P3" s="142">
        <f>+LOOKUP(O3,'[2]Doc Set'!E:E,'[2]Doc Set'!G:G)</f>
        <v>43266</v>
      </c>
      <c r="Q3" s="55" t="str">
        <f t="shared" ref="Q3:Q10" si="1">+O3</f>
        <v>DG-F_A</v>
      </c>
      <c r="R3" s="142">
        <f>+LOOKUP(Q3,'[2]Doc Set'!E:E,'[2]Doc Set'!H:H)</f>
        <v>43350</v>
      </c>
      <c r="S3" s="143" t="s">
        <v>200</v>
      </c>
    </row>
    <row r="4" spans="1:19" x14ac:dyDescent="0.3">
      <c r="A4" t="s">
        <v>40</v>
      </c>
      <c r="B4" t="s">
        <v>190</v>
      </c>
      <c r="C4" t="s">
        <v>191</v>
      </c>
      <c r="D4" s="165" t="s">
        <v>1293</v>
      </c>
      <c r="E4" t="s">
        <v>193</v>
      </c>
      <c r="F4" t="s">
        <v>194</v>
      </c>
      <c r="G4" t="s">
        <v>267</v>
      </c>
      <c r="H4" t="s">
        <v>1299</v>
      </c>
      <c r="I4" s="166" t="s">
        <v>51</v>
      </c>
      <c r="J4" s="167" t="s">
        <v>1300</v>
      </c>
      <c r="K4">
        <v>20038918</v>
      </c>
      <c r="L4" s="55" t="s">
        <v>198</v>
      </c>
      <c r="M4" s="141" t="str">
        <f t="shared" si="0"/>
        <v>DG-F_A</v>
      </c>
      <c r="N4" s="142" t="str">
        <f>LOOKUP(M4,'[2]Doc Set'!E:E,'[2]Doc Set'!F:F)</f>
        <v>_</v>
      </c>
      <c r="O4" s="141" t="s">
        <v>1296</v>
      </c>
      <c r="P4" s="142">
        <f>+LOOKUP(O4,'[2]Doc Set'!E:E,'[2]Doc Set'!G:G)</f>
        <v>43266</v>
      </c>
      <c r="Q4" s="55" t="str">
        <f t="shared" si="1"/>
        <v>DG-F_A</v>
      </c>
      <c r="R4" s="142">
        <f>+LOOKUP(Q4,'[2]Doc Set'!E:E,'[2]Doc Set'!H:H)</f>
        <v>43350</v>
      </c>
      <c r="S4" s="143" t="s">
        <v>200</v>
      </c>
    </row>
    <row r="5" spans="1:19" x14ac:dyDescent="0.3">
      <c r="A5" t="s">
        <v>40</v>
      </c>
      <c r="B5" t="s">
        <v>190</v>
      </c>
      <c r="C5" t="s">
        <v>191</v>
      </c>
      <c r="D5" s="165" t="s">
        <v>1293</v>
      </c>
      <c r="E5" t="s">
        <v>193</v>
      </c>
      <c r="F5" t="s">
        <v>194</v>
      </c>
      <c r="G5" t="s">
        <v>282</v>
      </c>
      <c r="H5" t="s">
        <v>1301</v>
      </c>
      <c r="I5" s="166" t="s">
        <v>51</v>
      </c>
      <c r="J5" s="167" t="s">
        <v>1302</v>
      </c>
      <c r="K5">
        <v>20038918</v>
      </c>
      <c r="L5" s="55" t="s">
        <v>198</v>
      </c>
      <c r="M5" s="141" t="str">
        <f t="shared" si="0"/>
        <v>DG-F_A</v>
      </c>
      <c r="N5" s="142" t="str">
        <f>LOOKUP(M5,'[2]Doc Set'!E:E,'[2]Doc Set'!F:F)</f>
        <v>_</v>
      </c>
      <c r="O5" s="141" t="s">
        <v>1296</v>
      </c>
      <c r="P5" s="142">
        <f>+LOOKUP(O5,'[2]Doc Set'!E:E,'[2]Doc Set'!G:G)</f>
        <v>43266</v>
      </c>
      <c r="Q5" s="55" t="str">
        <f t="shared" si="1"/>
        <v>DG-F_A</v>
      </c>
      <c r="R5" s="142">
        <f>+LOOKUP(Q5,'[2]Doc Set'!E:E,'[2]Doc Set'!H:H)</f>
        <v>43350</v>
      </c>
      <c r="S5" s="143" t="s">
        <v>200</v>
      </c>
    </row>
    <row r="6" spans="1:19" x14ac:dyDescent="0.3">
      <c r="A6" t="s">
        <v>40</v>
      </c>
      <c r="B6" t="s">
        <v>190</v>
      </c>
      <c r="C6" t="s">
        <v>191</v>
      </c>
      <c r="D6" s="165" t="s">
        <v>1293</v>
      </c>
      <c r="E6" t="s">
        <v>193</v>
      </c>
      <c r="F6" t="s">
        <v>194</v>
      </c>
      <c r="G6" t="s">
        <v>285</v>
      </c>
      <c r="H6" t="s">
        <v>1303</v>
      </c>
      <c r="I6" s="166" t="s">
        <v>51</v>
      </c>
      <c r="J6" s="167" t="s">
        <v>1304</v>
      </c>
      <c r="K6">
        <v>20038918</v>
      </c>
      <c r="L6" s="55" t="s">
        <v>198</v>
      </c>
      <c r="M6" s="141" t="str">
        <f t="shared" si="0"/>
        <v>DG-F_A</v>
      </c>
      <c r="N6" s="142" t="str">
        <f>LOOKUP(M6,'[2]Doc Set'!E:E,'[2]Doc Set'!F:F)</f>
        <v>_</v>
      </c>
      <c r="O6" s="141" t="s">
        <v>1296</v>
      </c>
      <c r="P6" s="142">
        <f>+LOOKUP(O6,'[2]Doc Set'!E:E,'[2]Doc Set'!G:G)</f>
        <v>43266</v>
      </c>
      <c r="Q6" s="55" t="str">
        <f t="shared" si="1"/>
        <v>DG-F_A</v>
      </c>
      <c r="R6" s="142">
        <f>+LOOKUP(Q6,'[2]Doc Set'!E:E,'[2]Doc Set'!H:H)</f>
        <v>43350</v>
      </c>
      <c r="S6" s="143" t="s">
        <v>200</v>
      </c>
    </row>
    <row r="7" spans="1:19" x14ac:dyDescent="0.3">
      <c r="A7" t="s">
        <v>40</v>
      </c>
      <c r="B7" t="s">
        <v>190</v>
      </c>
      <c r="C7" t="s">
        <v>191</v>
      </c>
      <c r="D7" s="165" t="s">
        <v>1293</v>
      </c>
      <c r="E7" t="s">
        <v>193</v>
      </c>
      <c r="F7" t="s">
        <v>194</v>
      </c>
      <c r="G7" t="s">
        <v>288</v>
      </c>
      <c r="H7" t="s">
        <v>1305</v>
      </c>
      <c r="I7" s="166" t="s">
        <v>51</v>
      </c>
      <c r="J7" s="167" t="s">
        <v>1306</v>
      </c>
      <c r="K7">
        <v>20038918</v>
      </c>
      <c r="L7" s="55" t="s">
        <v>198</v>
      </c>
      <c r="M7" s="141" t="str">
        <f t="shared" si="0"/>
        <v>DG-F_A</v>
      </c>
      <c r="N7" s="142" t="str">
        <f>LOOKUP(M7,'[2]Doc Set'!E:E,'[2]Doc Set'!F:F)</f>
        <v>_</v>
      </c>
      <c r="O7" s="141" t="s">
        <v>1296</v>
      </c>
      <c r="P7" s="142">
        <f>+LOOKUP(O7,'[2]Doc Set'!E:E,'[2]Doc Set'!G:G)</f>
        <v>43266</v>
      </c>
      <c r="Q7" s="55" t="str">
        <f t="shared" si="1"/>
        <v>DG-F_A</v>
      </c>
      <c r="R7" s="142">
        <f>+LOOKUP(Q7,'[2]Doc Set'!E:E,'[2]Doc Set'!H:H)</f>
        <v>43350</v>
      </c>
      <c r="S7" s="143" t="s">
        <v>200</v>
      </c>
    </row>
    <row r="8" spans="1:19" x14ac:dyDescent="0.3">
      <c r="A8" t="s">
        <v>40</v>
      </c>
      <c r="B8" t="s">
        <v>190</v>
      </c>
      <c r="C8" t="s">
        <v>191</v>
      </c>
      <c r="D8" s="165" t="s">
        <v>1293</v>
      </c>
      <c r="E8" t="s">
        <v>193</v>
      </c>
      <c r="F8" t="s">
        <v>194</v>
      </c>
      <c r="G8" t="s">
        <v>303</v>
      </c>
      <c r="H8" t="s">
        <v>1307</v>
      </c>
      <c r="I8" s="166" t="s">
        <v>51</v>
      </c>
      <c r="J8" s="167" t="s">
        <v>1308</v>
      </c>
      <c r="K8">
        <v>20038918</v>
      </c>
      <c r="L8" s="55" t="s">
        <v>198</v>
      </c>
      <c r="M8" s="141" t="str">
        <f t="shared" si="0"/>
        <v>DG-F_A</v>
      </c>
      <c r="N8" s="142" t="str">
        <f>LOOKUP(M8,'[2]Doc Set'!E:E,'[2]Doc Set'!F:F)</f>
        <v>_</v>
      </c>
      <c r="O8" s="141" t="s">
        <v>1296</v>
      </c>
      <c r="P8" s="142">
        <f>+LOOKUP(O8,'[2]Doc Set'!E:E,'[2]Doc Set'!G:G)</f>
        <v>43266</v>
      </c>
      <c r="Q8" s="55" t="str">
        <f t="shared" si="1"/>
        <v>DG-F_A</v>
      </c>
      <c r="R8" s="142">
        <f>+LOOKUP(Q8,'[2]Doc Set'!E:E,'[2]Doc Set'!H:H)</f>
        <v>43350</v>
      </c>
      <c r="S8" s="143" t="s">
        <v>200</v>
      </c>
    </row>
    <row r="9" spans="1:19" x14ac:dyDescent="0.3">
      <c r="A9" t="s">
        <v>40</v>
      </c>
      <c r="B9" t="s">
        <v>190</v>
      </c>
      <c r="C9" t="s">
        <v>191</v>
      </c>
      <c r="D9" s="165" t="s">
        <v>1293</v>
      </c>
      <c r="E9" t="s">
        <v>193</v>
      </c>
      <c r="F9" t="s">
        <v>194</v>
      </c>
      <c r="G9" t="s">
        <v>307</v>
      </c>
      <c r="H9" t="s">
        <v>1309</v>
      </c>
      <c r="I9" s="166" t="s">
        <v>51</v>
      </c>
      <c r="J9" s="167" t="s">
        <v>1310</v>
      </c>
      <c r="K9">
        <v>20038918</v>
      </c>
      <c r="L9" s="55" t="s">
        <v>198</v>
      </c>
      <c r="M9" s="141" t="str">
        <f t="shared" si="0"/>
        <v>DG-F_A</v>
      </c>
      <c r="N9" s="142" t="str">
        <f>LOOKUP(M9,'[2]Doc Set'!E:E,'[2]Doc Set'!F:F)</f>
        <v>_</v>
      </c>
      <c r="O9" s="141" t="s">
        <v>1296</v>
      </c>
      <c r="P9" s="142">
        <f>+LOOKUP(O9,'[2]Doc Set'!E:E,'[2]Doc Set'!G:G)</f>
        <v>43266</v>
      </c>
      <c r="Q9" s="55" t="str">
        <f t="shared" si="1"/>
        <v>DG-F_A</v>
      </c>
      <c r="R9" s="142">
        <f>+LOOKUP(Q9,'[2]Doc Set'!E:E,'[2]Doc Set'!H:H)</f>
        <v>43350</v>
      </c>
      <c r="S9" s="143" t="s">
        <v>200</v>
      </c>
    </row>
    <row r="10" spans="1:19" x14ac:dyDescent="0.3">
      <c r="A10" t="s">
        <v>40</v>
      </c>
      <c r="B10" t="s">
        <v>190</v>
      </c>
      <c r="C10" t="s">
        <v>191</v>
      </c>
      <c r="D10" s="165" t="s">
        <v>1293</v>
      </c>
      <c r="E10" t="s">
        <v>193</v>
      </c>
      <c r="F10" t="s">
        <v>194</v>
      </c>
      <c r="G10" t="s">
        <v>310</v>
      </c>
      <c r="H10" t="s">
        <v>1311</v>
      </c>
      <c r="I10" s="166" t="s">
        <v>51</v>
      </c>
      <c r="J10" s="167" t="s">
        <v>1312</v>
      </c>
      <c r="K10">
        <v>20038918</v>
      </c>
      <c r="L10" s="55" t="s">
        <v>198</v>
      </c>
      <c r="M10" s="141" t="str">
        <f t="shared" si="0"/>
        <v>DG-F_A</v>
      </c>
      <c r="N10" s="142" t="str">
        <f>LOOKUP(M10,'[2]Doc Set'!E:E,'[2]Doc Set'!F:F)</f>
        <v>_</v>
      </c>
      <c r="O10" s="141" t="s">
        <v>1296</v>
      </c>
      <c r="P10" s="142">
        <f>+LOOKUP(O10,'[2]Doc Set'!E:E,'[2]Doc Set'!G:G)</f>
        <v>43266</v>
      </c>
      <c r="Q10" s="55" t="str">
        <f t="shared" si="1"/>
        <v>DG-F_A</v>
      </c>
      <c r="R10" s="142">
        <f>+LOOKUP(Q10,'[2]Doc Set'!E:E,'[2]Doc Set'!H:H)</f>
        <v>43350</v>
      </c>
      <c r="S10" s="143" t="s">
        <v>200</v>
      </c>
    </row>
  </sheetData>
  <autoFilter ref="A1:S10"/>
  <conditionalFormatting sqref="G2:G10">
    <cfRule type="duplicateValues" dxfId="41" priority="8"/>
  </conditionalFormatting>
  <conditionalFormatting sqref="G2:G10">
    <cfRule type="duplicateValues" dxfId="40" priority="7"/>
  </conditionalFormatting>
  <conditionalFormatting sqref="G2:G10">
    <cfRule type="duplicateValues" dxfId="39" priority="6"/>
  </conditionalFormatting>
  <conditionalFormatting sqref="G2:G10">
    <cfRule type="duplicateValues" dxfId="38" priority="5"/>
  </conditionalFormatting>
  <conditionalFormatting sqref="G1:G1048576">
    <cfRule type="duplicateValues" dxfId="37" priority="2"/>
    <cfRule type="duplicateValues" dxfId="36" priority="3"/>
    <cfRule type="duplicateValues" dxfId="35" priority="4"/>
  </conditionalFormatting>
  <conditionalFormatting sqref="H1:H1048576">
    <cfRule type="duplicateValues" dxfId="34" priority="1"/>
  </conditionalFormatting>
  <dataValidations count="1">
    <dataValidation type="list" allowBlank="1" showInputMessage="1" showErrorMessage="1" sqref="O2:O10 M2:M10">
      <formula1>Document_Set_Name</formula1>
    </dataValidation>
  </dataValidations>
  <pageMargins left="0.7" right="0.7" top="0.75" bottom="0.75" header="0.3" footer="0.3"/>
  <pageSetup orientation="portrait" r:id="rId1"/>
  <headerFooter>
    <oddFooter>&amp;L&amp;1#&amp;"Calibri"&amp;8 Sensitivity: LNT Construction Internal Use</odd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S12"/>
  <sheetViews>
    <sheetView topLeftCell="G1" zoomScaleNormal="100" workbookViewId="0">
      <selection activeCell="H86" sqref="H86:H98"/>
    </sheetView>
  </sheetViews>
  <sheetFormatPr defaultRowHeight="14.4" x14ac:dyDescent="0.3"/>
  <cols>
    <col min="1" max="1" width="11.44140625" bestFit="1" customWidth="1"/>
    <col min="3" max="3" width="11.109375" bestFit="1" customWidth="1"/>
    <col min="4" max="4" width="11.33203125" style="155" bestFit="1" customWidth="1"/>
    <col min="5" max="5" width="10.5546875" bestFit="1" customWidth="1"/>
    <col min="6" max="6" width="8.5546875" bestFit="1" customWidth="1"/>
    <col min="8" max="8" width="22.5546875" bestFit="1" customWidth="1"/>
    <col min="10" max="10" width="56.5546875" bestFit="1" customWidth="1"/>
    <col min="11" max="11" width="11.6640625" customWidth="1"/>
    <col min="12" max="12" width="20.44140625" customWidth="1"/>
    <col min="16" max="16" width="12.5546875" bestFit="1" customWidth="1"/>
    <col min="18" max="18" width="9.6640625" bestFit="1" customWidth="1"/>
    <col min="19" max="19" width="0" hidden="1" customWidth="1"/>
  </cols>
  <sheetData>
    <row r="1" spans="1:19" s="136" customFormat="1" x14ac:dyDescent="0.3">
      <c r="A1" s="136" t="s">
        <v>174</v>
      </c>
      <c r="B1" s="136" t="s">
        <v>175</v>
      </c>
      <c r="C1" s="136" t="s">
        <v>176</v>
      </c>
      <c r="D1" s="137" t="s">
        <v>177</v>
      </c>
      <c r="E1" s="136" t="s">
        <v>178</v>
      </c>
      <c r="F1" s="136" t="s">
        <v>179</v>
      </c>
      <c r="G1" s="136" t="s">
        <v>180</v>
      </c>
      <c r="H1" s="136" t="s">
        <v>181</v>
      </c>
      <c r="I1" s="136" t="s">
        <v>182</v>
      </c>
      <c r="J1" s="136" t="s">
        <v>183</v>
      </c>
      <c r="K1" s="136" t="s">
        <v>184</v>
      </c>
      <c r="L1" s="136" t="s">
        <v>185</v>
      </c>
      <c r="M1" s="136" t="s">
        <v>34</v>
      </c>
      <c r="N1" s="136" t="s">
        <v>186</v>
      </c>
      <c r="O1" s="136" t="s">
        <v>67</v>
      </c>
      <c r="P1" s="136" t="s">
        <v>187</v>
      </c>
      <c r="Q1" s="136" t="s">
        <v>133</v>
      </c>
      <c r="R1" s="136" t="s">
        <v>188</v>
      </c>
      <c r="S1" s="136" t="s">
        <v>189</v>
      </c>
    </row>
    <row r="2" spans="1:19" x14ac:dyDescent="0.3">
      <c r="A2" t="s">
        <v>40</v>
      </c>
      <c r="B2" t="s">
        <v>190</v>
      </c>
      <c r="C2" t="s">
        <v>191</v>
      </c>
      <c r="D2" s="165" t="s">
        <v>63</v>
      </c>
      <c r="E2" t="s">
        <v>193</v>
      </c>
      <c r="F2" t="s">
        <v>194</v>
      </c>
      <c r="G2" t="s">
        <v>240</v>
      </c>
      <c r="H2" t="s">
        <v>1269</v>
      </c>
      <c r="I2" s="166" t="s">
        <v>51</v>
      </c>
      <c r="J2" s="167" t="s">
        <v>1270</v>
      </c>
      <c r="K2">
        <v>20038918</v>
      </c>
      <c r="L2" s="55" t="s">
        <v>198</v>
      </c>
      <c r="M2" s="141" t="str">
        <f t="shared" ref="M2:M12" si="0">+O2</f>
        <v>SG-F_A</v>
      </c>
      <c r="N2" s="142" t="str">
        <f>LOOKUP(M2,'[2]Doc Set'!E:E,'[2]Doc Set'!F:F)</f>
        <v>_</v>
      </c>
      <c r="O2" s="141" t="s">
        <v>1271</v>
      </c>
      <c r="P2" s="142">
        <f>+LOOKUP(O2,'[2]Doc Set'!E:E,'[2]Doc Set'!G:G)</f>
        <v>43329</v>
      </c>
      <c r="Q2" s="55" t="str">
        <f>+O2</f>
        <v>SG-F_A</v>
      </c>
      <c r="R2" s="142">
        <f>+LOOKUP(Q2,'[2]Doc Set'!E:E,'[2]Doc Set'!H:H)</f>
        <v>43381</v>
      </c>
      <c r="S2" s="143" t="s">
        <v>200</v>
      </c>
    </row>
    <row r="3" spans="1:19" x14ac:dyDescent="0.3">
      <c r="A3" t="s">
        <v>40</v>
      </c>
      <c r="B3" t="s">
        <v>190</v>
      </c>
      <c r="C3" t="s">
        <v>191</v>
      </c>
      <c r="D3" s="165" t="s">
        <v>63</v>
      </c>
      <c r="E3" t="s">
        <v>193</v>
      </c>
      <c r="F3" t="s">
        <v>194</v>
      </c>
      <c r="G3" t="s">
        <v>243</v>
      </c>
      <c r="H3" t="s">
        <v>1272</v>
      </c>
      <c r="I3" s="166" t="s">
        <v>51</v>
      </c>
      <c r="J3" s="167" t="s">
        <v>1273</v>
      </c>
      <c r="K3">
        <v>20038918</v>
      </c>
      <c r="L3" s="55" t="s">
        <v>198</v>
      </c>
      <c r="M3" s="141" t="str">
        <f t="shared" si="0"/>
        <v>SG-F_A</v>
      </c>
      <c r="N3" s="142" t="str">
        <f>LOOKUP(M3,'[2]Doc Set'!E:E,'[2]Doc Set'!F:F)</f>
        <v>_</v>
      </c>
      <c r="O3" s="141" t="s">
        <v>1271</v>
      </c>
      <c r="P3" s="142">
        <f>+LOOKUP(O3,'[2]Doc Set'!E:E,'[2]Doc Set'!G:G)</f>
        <v>43329</v>
      </c>
      <c r="Q3" s="55" t="str">
        <f t="shared" ref="Q3:Q12" si="1">+O3</f>
        <v>SG-F_A</v>
      </c>
      <c r="R3" s="142">
        <f>+LOOKUP(Q3,'[2]Doc Set'!E:E,'[2]Doc Set'!H:H)</f>
        <v>43381</v>
      </c>
      <c r="S3" s="143" t="s">
        <v>200</v>
      </c>
    </row>
    <row r="4" spans="1:19" x14ac:dyDescent="0.3">
      <c r="A4" t="s">
        <v>40</v>
      </c>
      <c r="B4" t="s">
        <v>190</v>
      </c>
      <c r="C4" t="s">
        <v>191</v>
      </c>
      <c r="D4" s="165" t="s">
        <v>63</v>
      </c>
      <c r="E4" t="s">
        <v>193</v>
      </c>
      <c r="F4" t="s">
        <v>194</v>
      </c>
      <c r="G4" t="s">
        <v>246</v>
      </c>
      <c r="H4" t="s">
        <v>1274</v>
      </c>
      <c r="I4" s="166" t="s">
        <v>51</v>
      </c>
      <c r="J4" s="167" t="s">
        <v>1275</v>
      </c>
      <c r="K4">
        <v>20038918</v>
      </c>
      <c r="L4" s="55" t="s">
        <v>198</v>
      </c>
      <c r="M4" s="141" t="str">
        <f t="shared" si="0"/>
        <v>SG-F_A</v>
      </c>
      <c r="N4" s="142" t="str">
        <f>LOOKUP(M4,'[2]Doc Set'!E:E,'[2]Doc Set'!F:F)</f>
        <v>_</v>
      </c>
      <c r="O4" s="141" t="s">
        <v>1271</v>
      </c>
      <c r="P4" s="142">
        <f>+LOOKUP(O4,'[2]Doc Set'!E:E,'[2]Doc Set'!G:G)</f>
        <v>43329</v>
      </c>
      <c r="Q4" s="55" t="str">
        <f t="shared" si="1"/>
        <v>SG-F_A</v>
      </c>
      <c r="R4" s="142">
        <f>+LOOKUP(Q4,'[2]Doc Set'!E:E,'[2]Doc Set'!H:H)</f>
        <v>43381</v>
      </c>
      <c r="S4" s="143" t="s">
        <v>200</v>
      </c>
    </row>
    <row r="5" spans="1:19" x14ac:dyDescent="0.3">
      <c r="A5" t="s">
        <v>40</v>
      </c>
      <c r="B5" t="s">
        <v>190</v>
      </c>
      <c r="C5" t="s">
        <v>191</v>
      </c>
      <c r="D5" s="165" t="s">
        <v>63</v>
      </c>
      <c r="E5" t="s">
        <v>193</v>
      </c>
      <c r="F5" t="s">
        <v>194</v>
      </c>
      <c r="G5" t="s">
        <v>249</v>
      </c>
      <c r="H5" t="s">
        <v>1276</v>
      </c>
      <c r="I5" s="166" t="s">
        <v>51</v>
      </c>
      <c r="J5" s="167" t="s">
        <v>1277</v>
      </c>
      <c r="K5">
        <v>20038918</v>
      </c>
      <c r="L5" s="55" t="s">
        <v>198</v>
      </c>
      <c r="M5" s="141" t="str">
        <f t="shared" si="0"/>
        <v>SG-F_A</v>
      </c>
      <c r="N5" s="142" t="str">
        <f>LOOKUP(M5,'[2]Doc Set'!E:E,'[2]Doc Set'!F:F)</f>
        <v>_</v>
      </c>
      <c r="O5" s="141" t="s">
        <v>1271</v>
      </c>
      <c r="P5" s="142">
        <f>+LOOKUP(O5,'[2]Doc Set'!E:E,'[2]Doc Set'!G:G)</f>
        <v>43329</v>
      </c>
      <c r="Q5" s="55" t="str">
        <f t="shared" si="1"/>
        <v>SG-F_A</v>
      </c>
      <c r="R5" s="142">
        <f>+LOOKUP(Q5,'[2]Doc Set'!E:E,'[2]Doc Set'!H:H)</f>
        <v>43381</v>
      </c>
      <c r="S5" s="143" t="s">
        <v>200</v>
      </c>
    </row>
    <row r="6" spans="1:19" x14ac:dyDescent="0.3">
      <c r="A6" t="s">
        <v>40</v>
      </c>
      <c r="B6" t="s">
        <v>190</v>
      </c>
      <c r="C6" t="s">
        <v>191</v>
      </c>
      <c r="D6" s="165" t="s">
        <v>63</v>
      </c>
      <c r="E6" t="s">
        <v>193</v>
      </c>
      <c r="F6" t="s">
        <v>194</v>
      </c>
      <c r="G6" t="s">
        <v>252</v>
      </c>
      <c r="H6" t="s">
        <v>1278</v>
      </c>
      <c r="I6" s="166" t="s">
        <v>51</v>
      </c>
      <c r="J6" s="167" t="s">
        <v>1279</v>
      </c>
      <c r="K6">
        <v>20038918</v>
      </c>
      <c r="L6" s="55" t="s">
        <v>198</v>
      </c>
      <c r="M6" s="141" t="str">
        <f t="shared" si="0"/>
        <v>SG-F_A</v>
      </c>
      <c r="N6" s="142" t="str">
        <f>LOOKUP(M6,'[2]Doc Set'!E:E,'[2]Doc Set'!F:F)</f>
        <v>_</v>
      </c>
      <c r="O6" s="141" t="s">
        <v>1271</v>
      </c>
      <c r="P6" s="142">
        <f>+LOOKUP(O6,'[2]Doc Set'!E:E,'[2]Doc Set'!G:G)</f>
        <v>43329</v>
      </c>
      <c r="Q6" s="55" t="str">
        <f t="shared" si="1"/>
        <v>SG-F_A</v>
      </c>
      <c r="R6" s="142">
        <f>+LOOKUP(Q6,'[2]Doc Set'!E:E,'[2]Doc Set'!H:H)</f>
        <v>43381</v>
      </c>
      <c r="S6" s="143" t="s">
        <v>200</v>
      </c>
    </row>
    <row r="7" spans="1:19" x14ac:dyDescent="0.3">
      <c r="A7" t="s">
        <v>40</v>
      </c>
      <c r="B7" t="s">
        <v>190</v>
      </c>
      <c r="C7" t="s">
        <v>191</v>
      </c>
      <c r="D7" s="165" t="s">
        <v>63</v>
      </c>
      <c r="E7" t="s">
        <v>193</v>
      </c>
      <c r="F7" t="s">
        <v>194</v>
      </c>
      <c r="G7" t="s">
        <v>255</v>
      </c>
      <c r="H7" t="s">
        <v>1280</v>
      </c>
      <c r="I7" s="166" t="s">
        <v>51</v>
      </c>
      <c r="J7" s="167" t="s">
        <v>1281</v>
      </c>
      <c r="K7">
        <v>20038918</v>
      </c>
      <c r="L7" s="55" t="s">
        <v>198</v>
      </c>
      <c r="M7" s="141" t="str">
        <f t="shared" si="0"/>
        <v>SG-F_A</v>
      </c>
      <c r="N7" s="142" t="str">
        <f>LOOKUP(M7,'[2]Doc Set'!E:E,'[2]Doc Set'!F:F)</f>
        <v>_</v>
      </c>
      <c r="O7" s="141" t="s">
        <v>1271</v>
      </c>
      <c r="P7" s="142">
        <f>+LOOKUP(O7,'[2]Doc Set'!E:E,'[2]Doc Set'!G:G)</f>
        <v>43329</v>
      </c>
      <c r="Q7" s="55" t="str">
        <f t="shared" si="1"/>
        <v>SG-F_A</v>
      </c>
      <c r="R7" s="142">
        <f>+LOOKUP(Q7,'[2]Doc Set'!E:E,'[2]Doc Set'!H:H)</f>
        <v>43381</v>
      </c>
      <c r="S7" s="143" t="s">
        <v>200</v>
      </c>
    </row>
    <row r="8" spans="1:19" x14ac:dyDescent="0.3">
      <c r="A8" t="s">
        <v>40</v>
      </c>
      <c r="B8" t="s">
        <v>190</v>
      </c>
      <c r="C8" t="s">
        <v>191</v>
      </c>
      <c r="D8" s="165" t="s">
        <v>63</v>
      </c>
      <c r="E8" t="s">
        <v>193</v>
      </c>
      <c r="F8" t="s">
        <v>194</v>
      </c>
      <c r="G8" t="s">
        <v>258</v>
      </c>
      <c r="H8" t="s">
        <v>1282</v>
      </c>
      <c r="I8" s="166" t="s">
        <v>51</v>
      </c>
      <c r="J8" s="167" t="s">
        <v>1283</v>
      </c>
      <c r="K8">
        <v>20038918</v>
      </c>
      <c r="L8" s="55" t="s">
        <v>198</v>
      </c>
      <c r="M8" s="141" t="str">
        <f t="shared" si="0"/>
        <v>SG-F_A</v>
      </c>
      <c r="N8" s="142" t="str">
        <f>LOOKUP(M8,'[2]Doc Set'!E:E,'[2]Doc Set'!F:F)</f>
        <v>_</v>
      </c>
      <c r="O8" s="141" t="s">
        <v>1271</v>
      </c>
      <c r="P8" s="142">
        <f>+LOOKUP(O8,'[2]Doc Set'!E:E,'[2]Doc Set'!G:G)</f>
        <v>43329</v>
      </c>
      <c r="Q8" s="55" t="str">
        <f t="shared" si="1"/>
        <v>SG-F_A</v>
      </c>
      <c r="R8" s="142">
        <f>+LOOKUP(Q8,'[2]Doc Set'!E:E,'[2]Doc Set'!H:H)</f>
        <v>43381</v>
      </c>
      <c r="S8" s="143" t="s">
        <v>200</v>
      </c>
    </row>
    <row r="9" spans="1:19" x14ac:dyDescent="0.3">
      <c r="A9" t="s">
        <v>40</v>
      </c>
      <c r="B9" t="s">
        <v>190</v>
      </c>
      <c r="C9" t="s">
        <v>191</v>
      </c>
      <c r="D9" s="165" t="s">
        <v>63</v>
      </c>
      <c r="E9" t="s">
        <v>193</v>
      </c>
      <c r="F9" t="s">
        <v>194</v>
      </c>
      <c r="G9" t="s">
        <v>739</v>
      </c>
      <c r="H9" t="s">
        <v>1284</v>
      </c>
      <c r="I9" s="166" t="s">
        <v>51</v>
      </c>
      <c r="J9" s="167" t="s">
        <v>1285</v>
      </c>
      <c r="K9">
        <v>20038918</v>
      </c>
      <c r="L9" s="55" t="s">
        <v>198</v>
      </c>
      <c r="M9" s="141" t="str">
        <f t="shared" si="0"/>
        <v>SG-F_A</v>
      </c>
      <c r="N9" s="142" t="str">
        <f>LOOKUP(M9,'[2]Doc Set'!E:E,'[2]Doc Set'!F:F)</f>
        <v>_</v>
      </c>
      <c r="O9" s="141" t="s">
        <v>1271</v>
      </c>
      <c r="P9" s="142">
        <f>+LOOKUP(O9,'[2]Doc Set'!E:E,'[2]Doc Set'!G:G)</f>
        <v>43329</v>
      </c>
      <c r="Q9" s="55" t="str">
        <f t="shared" si="1"/>
        <v>SG-F_A</v>
      </c>
      <c r="R9" s="142">
        <f>+LOOKUP(Q9,'[2]Doc Set'!E:E,'[2]Doc Set'!H:H)</f>
        <v>43381</v>
      </c>
      <c r="S9" s="143" t="s">
        <v>200</v>
      </c>
    </row>
    <row r="10" spans="1:19" x14ac:dyDescent="0.3">
      <c r="A10" t="s">
        <v>40</v>
      </c>
      <c r="B10" t="s">
        <v>190</v>
      </c>
      <c r="C10" t="s">
        <v>191</v>
      </c>
      <c r="D10" s="165" t="s">
        <v>63</v>
      </c>
      <c r="E10" t="s">
        <v>193</v>
      </c>
      <c r="F10" t="s">
        <v>194</v>
      </c>
      <c r="G10" t="s">
        <v>742</v>
      </c>
      <c r="H10" t="s">
        <v>1286</v>
      </c>
      <c r="I10" s="166" t="s">
        <v>51</v>
      </c>
      <c r="J10" s="167" t="s">
        <v>1287</v>
      </c>
      <c r="K10">
        <v>20038918</v>
      </c>
      <c r="L10" s="55" t="s">
        <v>198</v>
      </c>
      <c r="M10" s="141" t="str">
        <f t="shared" si="0"/>
        <v>SG-F_A</v>
      </c>
      <c r="N10" s="142" t="str">
        <f>LOOKUP(M10,'[2]Doc Set'!E:E,'[2]Doc Set'!F:F)</f>
        <v>_</v>
      </c>
      <c r="O10" s="141" t="s">
        <v>1271</v>
      </c>
      <c r="P10" s="142">
        <f>+LOOKUP(O10,'[2]Doc Set'!E:E,'[2]Doc Set'!G:G)</f>
        <v>43329</v>
      </c>
      <c r="Q10" s="55" t="str">
        <f t="shared" si="1"/>
        <v>SG-F_A</v>
      </c>
      <c r="R10" s="142">
        <f>+LOOKUP(Q10,'[2]Doc Set'!E:E,'[2]Doc Set'!H:H)</f>
        <v>43381</v>
      </c>
      <c r="S10" s="143" t="s">
        <v>200</v>
      </c>
    </row>
    <row r="11" spans="1:19" x14ac:dyDescent="0.3">
      <c r="A11" t="s">
        <v>40</v>
      </c>
      <c r="B11" t="s">
        <v>190</v>
      </c>
      <c r="C11" t="s">
        <v>191</v>
      </c>
      <c r="D11" s="165" t="s">
        <v>63</v>
      </c>
      <c r="E11" t="s">
        <v>193</v>
      </c>
      <c r="F11" t="s">
        <v>194</v>
      </c>
      <c r="G11" t="s">
        <v>1288</v>
      </c>
      <c r="H11" t="s">
        <v>1289</v>
      </c>
      <c r="I11" s="166" t="s">
        <v>51</v>
      </c>
      <c r="J11" s="167" t="s">
        <v>1290</v>
      </c>
      <c r="K11">
        <v>20038918</v>
      </c>
      <c r="L11" s="55" t="s">
        <v>198</v>
      </c>
      <c r="M11" s="141" t="str">
        <f t="shared" si="0"/>
        <v>SG-F_A</v>
      </c>
      <c r="N11" s="142" t="str">
        <f>LOOKUP(M11,'[2]Doc Set'!E:E,'[2]Doc Set'!F:F)</f>
        <v>_</v>
      </c>
      <c r="O11" s="141" t="s">
        <v>1271</v>
      </c>
      <c r="P11" s="142">
        <f>+LOOKUP(O11,'[2]Doc Set'!E:E,'[2]Doc Set'!G:G)</f>
        <v>43329</v>
      </c>
      <c r="Q11" s="55" t="str">
        <f t="shared" si="1"/>
        <v>SG-F_A</v>
      </c>
      <c r="R11" s="142">
        <f>+LOOKUP(Q11,'[2]Doc Set'!E:E,'[2]Doc Set'!H:H)</f>
        <v>43381</v>
      </c>
      <c r="S11" s="143" t="s">
        <v>200</v>
      </c>
    </row>
    <row r="12" spans="1:19" x14ac:dyDescent="0.3">
      <c r="A12" t="s">
        <v>40</v>
      </c>
      <c r="B12" t="s">
        <v>190</v>
      </c>
      <c r="C12" t="s">
        <v>191</v>
      </c>
      <c r="D12" s="165" t="s">
        <v>63</v>
      </c>
      <c r="E12" t="s">
        <v>193</v>
      </c>
      <c r="F12" t="s">
        <v>194</v>
      </c>
      <c r="G12" t="s">
        <v>491</v>
      </c>
      <c r="H12" t="s">
        <v>1291</v>
      </c>
      <c r="I12" s="166" t="s">
        <v>134</v>
      </c>
      <c r="J12" s="167" t="s">
        <v>1292</v>
      </c>
      <c r="K12">
        <v>20038918</v>
      </c>
      <c r="L12" s="55" t="s">
        <v>198</v>
      </c>
      <c r="M12" s="141" t="str">
        <f t="shared" si="0"/>
        <v>SG-F_A</v>
      </c>
      <c r="N12" s="142" t="str">
        <f>LOOKUP(M12,'[2]Doc Set'!E:E,'[2]Doc Set'!F:F)</f>
        <v>_</v>
      </c>
      <c r="O12" s="141" t="s">
        <v>1271</v>
      </c>
      <c r="P12" s="142">
        <f>+LOOKUP(O12,'[2]Doc Set'!E:E,'[2]Doc Set'!G:G)</f>
        <v>43329</v>
      </c>
      <c r="Q12" s="55" t="str">
        <f t="shared" si="1"/>
        <v>SG-F_A</v>
      </c>
      <c r="R12" s="142">
        <f>+LOOKUP(Q12,'[2]Doc Set'!E:E,'[2]Doc Set'!H:H)</f>
        <v>43381</v>
      </c>
      <c r="S12" s="143" t="s">
        <v>200</v>
      </c>
    </row>
  </sheetData>
  <autoFilter ref="A1:S12"/>
  <conditionalFormatting sqref="G2:G12">
    <cfRule type="duplicateValues" dxfId="33" priority="6"/>
  </conditionalFormatting>
  <conditionalFormatting sqref="G2:G12">
    <cfRule type="duplicateValues" dxfId="32" priority="5"/>
  </conditionalFormatting>
  <conditionalFormatting sqref="G2:G12">
    <cfRule type="duplicateValues" dxfId="31" priority="4"/>
  </conditionalFormatting>
  <conditionalFormatting sqref="G1:G1048576">
    <cfRule type="duplicateValues" dxfId="30" priority="2"/>
    <cfRule type="duplicateValues" dxfId="29" priority="3"/>
  </conditionalFormatting>
  <conditionalFormatting sqref="H1:H1048576">
    <cfRule type="duplicateValues" dxfId="28" priority="1"/>
  </conditionalFormatting>
  <dataValidations count="1">
    <dataValidation type="list" allowBlank="1" showInputMessage="1" showErrorMessage="1" sqref="O2:O12 M2:M12">
      <formula1>Document_Set_Name</formula1>
    </dataValidation>
  </dataValidations>
  <pageMargins left="0.7" right="0.7" top="0.75" bottom="0.75" header="0.3" footer="0.3"/>
  <pageSetup orientation="portrait" r:id="rId1"/>
  <headerFooter>
    <oddFooter>&amp;L&amp;1#&amp;"Calibri"&amp;8 Sensitivity: LNT Construction Internal Use</odd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S31"/>
  <sheetViews>
    <sheetView topLeftCell="G10" zoomScale="98" zoomScaleNormal="98" workbookViewId="0">
      <selection activeCell="H86" sqref="H86:H98"/>
    </sheetView>
  </sheetViews>
  <sheetFormatPr defaultRowHeight="14.4" x14ac:dyDescent="0.3"/>
  <cols>
    <col min="1" max="1" width="11.44140625" bestFit="1" customWidth="1"/>
    <col min="3" max="3" width="11.109375" bestFit="1" customWidth="1"/>
    <col min="4" max="4" width="11.33203125" style="155" bestFit="1" customWidth="1"/>
    <col min="5" max="5" width="10.5546875" bestFit="1" customWidth="1"/>
    <col min="6" max="6" width="8.5546875" bestFit="1" customWidth="1"/>
    <col min="8" max="8" width="22.5546875" bestFit="1" customWidth="1"/>
    <col min="10" max="10" width="56.5546875" bestFit="1" customWidth="1"/>
    <col min="11" max="11" width="11.6640625" customWidth="1"/>
    <col min="12" max="12" width="20.44140625" customWidth="1"/>
    <col min="13" max="13" width="9.109375" customWidth="1"/>
    <col min="14" max="14" width="11.5546875" bestFit="1" customWidth="1"/>
    <col min="15" max="15" width="9.109375" customWidth="1"/>
    <col min="16" max="16" width="12.5546875" bestFit="1" customWidth="1"/>
    <col min="17" max="17" width="9.109375" customWidth="1"/>
    <col min="18" max="18" width="12.44140625" bestFit="1" customWidth="1"/>
    <col min="19" max="19" width="13.88671875" bestFit="1" customWidth="1"/>
  </cols>
  <sheetData>
    <row r="1" spans="1:19" s="136" customFormat="1" x14ac:dyDescent="0.3">
      <c r="A1" s="160" t="s">
        <v>174</v>
      </c>
      <c r="B1" s="160" t="s">
        <v>175</v>
      </c>
      <c r="C1" s="160" t="s">
        <v>176</v>
      </c>
      <c r="D1" s="161" t="s">
        <v>177</v>
      </c>
      <c r="E1" s="160" t="s">
        <v>178</v>
      </c>
      <c r="F1" s="160" t="s">
        <v>179</v>
      </c>
      <c r="G1" s="160" t="s">
        <v>180</v>
      </c>
      <c r="H1" s="160" t="s">
        <v>181</v>
      </c>
      <c r="I1" s="160" t="s">
        <v>182</v>
      </c>
      <c r="J1" s="160" t="s">
        <v>183</v>
      </c>
      <c r="K1" s="160" t="s">
        <v>184</v>
      </c>
      <c r="L1" s="160" t="s">
        <v>185</v>
      </c>
      <c r="M1" s="160" t="s">
        <v>34</v>
      </c>
      <c r="N1" s="160" t="s">
        <v>186</v>
      </c>
      <c r="O1" s="160" t="s">
        <v>67</v>
      </c>
      <c r="P1" s="160" t="s">
        <v>187</v>
      </c>
      <c r="Q1" s="160" t="s">
        <v>133</v>
      </c>
      <c r="R1" s="160" t="s">
        <v>188</v>
      </c>
      <c r="S1" s="160" t="s">
        <v>189</v>
      </c>
    </row>
    <row r="2" spans="1:19" x14ac:dyDescent="0.3">
      <c r="A2" s="55" t="s">
        <v>40</v>
      </c>
      <c r="B2" s="55" t="s">
        <v>190</v>
      </c>
      <c r="C2" s="55" t="s">
        <v>191</v>
      </c>
      <c r="D2" s="138" t="s">
        <v>1182</v>
      </c>
      <c r="E2" s="55" t="s">
        <v>193</v>
      </c>
      <c r="F2" s="55" t="s">
        <v>194</v>
      </c>
      <c r="G2" s="55" t="s">
        <v>1183</v>
      </c>
      <c r="H2" s="55" t="s">
        <v>1184</v>
      </c>
      <c r="I2" s="139" t="s">
        <v>134</v>
      </c>
      <c r="J2" s="159" t="s">
        <v>1185</v>
      </c>
      <c r="K2" s="55">
        <v>20038918</v>
      </c>
      <c r="L2" s="55" t="s">
        <v>198</v>
      </c>
      <c r="M2" s="141" t="s">
        <v>1186</v>
      </c>
      <c r="N2" s="142" t="str">
        <f>LOOKUP(M2,'[2]Doc Set'!E:E,'[2]Doc Set'!F:F)</f>
        <v>_</v>
      </c>
      <c r="O2" s="141" t="s">
        <v>1186</v>
      </c>
      <c r="P2" s="142">
        <f>+LOOKUP(O2,'[2]Doc Set'!E:E,'[2]Doc Set'!G:G)</f>
        <v>43451</v>
      </c>
      <c r="Q2" s="55" t="str">
        <f>+O2</f>
        <v>MSP-F_A</v>
      </c>
      <c r="R2" s="142">
        <f>+LOOKUP(Q2,'[2]Doc Set'!E:E,'[2]Doc Set'!H:H)</f>
        <v>43479</v>
      </c>
      <c r="S2" s="143" t="s">
        <v>200</v>
      </c>
    </row>
    <row r="3" spans="1:19" x14ac:dyDescent="0.3">
      <c r="A3" s="55" t="s">
        <v>40</v>
      </c>
      <c r="B3" s="55" t="s">
        <v>190</v>
      </c>
      <c r="C3" s="55" t="s">
        <v>191</v>
      </c>
      <c r="D3" s="138" t="s">
        <v>1182</v>
      </c>
      <c r="E3" s="55" t="s">
        <v>193</v>
      </c>
      <c r="F3" s="55" t="s">
        <v>194</v>
      </c>
      <c r="G3" s="55" t="s">
        <v>1187</v>
      </c>
      <c r="H3" s="55" t="s">
        <v>1188</v>
      </c>
      <c r="I3" s="139" t="s">
        <v>134</v>
      </c>
      <c r="J3" s="159" t="s">
        <v>1189</v>
      </c>
      <c r="K3" s="55">
        <v>20038918</v>
      </c>
      <c r="L3" s="55" t="s">
        <v>198</v>
      </c>
      <c r="M3" s="141" t="s">
        <v>1186</v>
      </c>
      <c r="N3" s="142" t="str">
        <f>LOOKUP(M3,'[2]Doc Set'!E:E,'[2]Doc Set'!F:F)</f>
        <v>_</v>
      </c>
      <c r="O3" s="141" t="s">
        <v>1186</v>
      </c>
      <c r="P3" s="142">
        <f>+LOOKUP(O3,'[2]Doc Set'!E:E,'[2]Doc Set'!G:G)</f>
        <v>43451</v>
      </c>
      <c r="Q3" s="55" t="str">
        <f t="shared" ref="Q3:Q31" si="0">+O3</f>
        <v>MSP-F_A</v>
      </c>
      <c r="R3" s="142">
        <f>+LOOKUP(Q3,'[2]Doc Set'!E:E,'[2]Doc Set'!H:H)</f>
        <v>43479</v>
      </c>
      <c r="S3" s="143" t="s">
        <v>200</v>
      </c>
    </row>
    <row r="4" spans="1:19" x14ac:dyDescent="0.3">
      <c r="A4" s="55" t="s">
        <v>40</v>
      </c>
      <c r="B4" s="55" t="s">
        <v>190</v>
      </c>
      <c r="C4" s="55" t="s">
        <v>191</v>
      </c>
      <c r="D4" s="138" t="s">
        <v>1182</v>
      </c>
      <c r="E4" s="55" t="s">
        <v>193</v>
      </c>
      <c r="F4" s="55" t="s">
        <v>194</v>
      </c>
      <c r="G4" s="55" t="s">
        <v>1190</v>
      </c>
      <c r="H4" s="55" t="s">
        <v>1191</v>
      </c>
      <c r="I4" s="139" t="s">
        <v>134</v>
      </c>
      <c r="J4" s="159" t="s">
        <v>1192</v>
      </c>
      <c r="K4" s="55">
        <v>20038918</v>
      </c>
      <c r="L4" s="55" t="s">
        <v>198</v>
      </c>
      <c r="M4" s="141" t="s">
        <v>1186</v>
      </c>
      <c r="N4" s="142" t="str">
        <f>LOOKUP(M4,'[2]Doc Set'!E:E,'[2]Doc Set'!F:F)</f>
        <v>_</v>
      </c>
      <c r="O4" s="141" t="s">
        <v>1186</v>
      </c>
      <c r="P4" s="142">
        <f>+LOOKUP(O4,'[2]Doc Set'!E:E,'[2]Doc Set'!G:G)</f>
        <v>43451</v>
      </c>
      <c r="Q4" s="55" t="str">
        <f t="shared" si="0"/>
        <v>MSP-F_A</v>
      </c>
      <c r="R4" s="142">
        <f>+LOOKUP(Q4,'[2]Doc Set'!E:E,'[2]Doc Set'!H:H)</f>
        <v>43479</v>
      </c>
      <c r="S4" s="143" t="s">
        <v>200</v>
      </c>
    </row>
    <row r="5" spans="1:19" x14ac:dyDescent="0.3">
      <c r="A5" s="55" t="s">
        <v>40</v>
      </c>
      <c r="B5" s="55" t="s">
        <v>190</v>
      </c>
      <c r="C5" s="55" t="s">
        <v>191</v>
      </c>
      <c r="D5" s="138" t="s">
        <v>1182</v>
      </c>
      <c r="E5" s="55" t="s">
        <v>193</v>
      </c>
      <c r="F5" s="55" t="s">
        <v>194</v>
      </c>
      <c r="G5" s="55" t="s">
        <v>1193</v>
      </c>
      <c r="H5" s="55" t="s">
        <v>1194</v>
      </c>
      <c r="I5" s="139" t="s">
        <v>134</v>
      </c>
      <c r="J5" s="159" t="s">
        <v>1195</v>
      </c>
      <c r="K5" s="55">
        <v>20038918</v>
      </c>
      <c r="L5" s="55" t="s">
        <v>198</v>
      </c>
      <c r="M5" s="141" t="s">
        <v>1186</v>
      </c>
      <c r="N5" s="142" t="str">
        <f>LOOKUP(M5,'[2]Doc Set'!E:E,'[2]Doc Set'!F:F)</f>
        <v>_</v>
      </c>
      <c r="O5" s="141" t="s">
        <v>1186</v>
      </c>
      <c r="P5" s="142">
        <f>+LOOKUP(O5,'[2]Doc Set'!E:E,'[2]Doc Set'!G:G)</f>
        <v>43451</v>
      </c>
      <c r="Q5" s="55" t="str">
        <f t="shared" si="0"/>
        <v>MSP-F_A</v>
      </c>
      <c r="R5" s="142">
        <f>+LOOKUP(Q5,'[2]Doc Set'!E:E,'[2]Doc Set'!H:H)</f>
        <v>43479</v>
      </c>
      <c r="S5" s="143" t="s">
        <v>200</v>
      </c>
    </row>
    <row r="6" spans="1:19" x14ac:dyDescent="0.3">
      <c r="A6" s="55" t="s">
        <v>40</v>
      </c>
      <c r="B6" s="55" t="s">
        <v>190</v>
      </c>
      <c r="C6" s="55" t="s">
        <v>191</v>
      </c>
      <c r="D6" s="138" t="s">
        <v>1182</v>
      </c>
      <c r="E6" s="55" t="s">
        <v>193</v>
      </c>
      <c r="F6" s="55" t="s">
        <v>194</v>
      </c>
      <c r="G6" s="55" t="s">
        <v>1196</v>
      </c>
      <c r="H6" s="55" t="s">
        <v>1197</v>
      </c>
      <c r="I6" s="139" t="s">
        <v>134</v>
      </c>
      <c r="J6" s="159" t="s">
        <v>1198</v>
      </c>
      <c r="K6" s="55">
        <v>20038918</v>
      </c>
      <c r="L6" s="55" t="s">
        <v>198</v>
      </c>
      <c r="M6" s="141" t="s">
        <v>1186</v>
      </c>
      <c r="N6" s="142" t="str">
        <f>LOOKUP(M6,'[2]Doc Set'!E:E,'[2]Doc Set'!F:F)</f>
        <v>_</v>
      </c>
      <c r="O6" s="141" t="s">
        <v>1186</v>
      </c>
      <c r="P6" s="142">
        <f>+LOOKUP(O6,'[2]Doc Set'!E:E,'[2]Doc Set'!G:G)</f>
        <v>43451</v>
      </c>
      <c r="Q6" s="55" t="str">
        <f t="shared" si="0"/>
        <v>MSP-F_A</v>
      </c>
      <c r="R6" s="142">
        <f>+LOOKUP(Q6,'[2]Doc Set'!E:E,'[2]Doc Set'!H:H)</f>
        <v>43479</v>
      </c>
      <c r="S6" s="143" t="s">
        <v>200</v>
      </c>
    </row>
    <row r="7" spans="1:19" x14ac:dyDescent="0.3">
      <c r="A7" s="55" t="s">
        <v>40</v>
      </c>
      <c r="B7" s="55" t="s">
        <v>190</v>
      </c>
      <c r="C7" s="55" t="s">
        <v>191</v>
      </c>
      <c r="D7" s="138" t="s">
        <v>1182</v>
      </c>
      <c r="E7" s="55" t="s">
        <v>193</v>
      </c>
      <c r="F7" s="55" t="s">
        <v>194</v>
      </c>
      <c r="G7" s="55" t="s">
        <v>1199</v>
      </c>
      <c r="H7" s="55" t="s">
        <v>1200</v>
      </c>
      <c r="I7" s="139" t="s">
        <v>134</v>
      </c>
      <c r="J7" s="159" t="s">
        <v>1201</v>
      </c>
      <c r="K7" s="55">
        <v>20038918</v>
      </c>
      <c r="L7" s="55" t="s">
        <v>198</v>
      </c>
      <c r="M7" s="141" t="s">
        <v>1186</v>
      </c>
      <c r="N7" s="142" t="str">
        <f>LOOKUP(M7,'[2]Doc Set'!E:E,'[2]Doc Set'!F:F)</f>
        <v>_</v>
      </c>
      <c r="O7" s="141" t="s">
        <v>1186</v>
      </c>
      <c r="P7" s="142">
        <f>+LOOKUP(O7,'[2]Doc Set'!E:E,'[2]Doc Set'!G:G)</f>
        <v>43451</v>
      </c>
      <c r="Q7" s="55" t="str">
        <f t="shared" si="0"/>
        <v>MSP-F_A</v>
      </c>
      <c r="R7" s="142">
        <f>+LOOKUP(Q7,'[2]Doc Set'!E:E,'[2]Doc Set'!H:H)</f>
        <v>43479</v>
      </c>
      <c r="S7" s="143" t="s">
        <v>200</v>
      </c>
    </row>
    <row r="8" spans="1:19" x14ac:dyDescent="0.3">
      <c r="A8" s="55" t="s">
        <v>40</v>
      </c>
      <c r="B8" s="55" t="s">
        <v>190</v>
      </c>
      <c r="C8" s="55" t="s">
        <v>191</v>
      </c>
      <c r="D8" s="138" t="s">
        <v>1182</v>
      </c>
      <c r="E8" s="55" t="s">
        <v>193</v>
      </c>
      <c r="F8" s="55" t="s">
        <v>194</v>
      </c>
      <c r="G8" s="55" t="s">
        <v>1202</v>
      </c>
      <c r="H8" s="55" t="s">
        <v>1203</v>
      </c>
      <c r="I8" s="139" t="s">
        <v>134</v>
      </c>
      <c r="J8" s="159" t="s">
        <v>1204</v>
      </c>
      <c r="K8" s="55">
        <v>20038918</v>
      </c>
      <c r="L8" s="55" t="s">
        <v>198</v>
      </c>
      <c r="M8" s="141" t="s">
        <v>1186</v>
      </c>
      <c r="N8" s="142" t="str">
        <f>LOOKUP(M8,'[2]Doc Set'!E:E,'[2]Doc Set'!F:F)</f>
        <v>_</v>
      </c>
      <c r="O8" s="141" t="s">
        <v>1186</v>
      </c>
      <c r="P8" s="142">
        <f>+LOOKUP(O8,'[2]Doc Set'!E:E,'[2]Doc Set'!G:G)</f>
        <v>43451</v>
      </c>
      <c r="Q8" s="55" t="str">
        <f t="shared" si="0"/>
        <v>MSP-F_A</v>
      </c>
      <c r="R8" s="142">
        <f>+LOOKUP(Q8,'[2]Doc Set'!E:E,'[2]Doc Set'!H:H)</f>
        <v>43479</v>
      </c>
      <c r="S8" s="143" t="s">
        <v>200</v>
      </c>
    </row>
    <row r="9" spans="1:19" x14ac:dyDescent="0.3">
      <c r="A9" s="55" t="s">
        <v>40</v>
      </c>
      <c r="B9" s="55" t="s">
        <v>190</v>
      </c>
      <c r="C9" s="55" t="s">
        <v>191</v>
      </c>
      <c r="D9" s="138" t="s">
        <v>1182</v>
      </c>
      <c r="E9" s="55" t="s">
        <v>193</v>
      </c>
      <c r="F9" s="55" t="s">
        <v>194</v>
      </c>
      <c r="G9" s="55" t="s">
        <v>1205</v>
      </c>
      <c r="H9" s="55" t="s">
        <v>1206</v>
      </c>
      <c r="I9" s="139" t="s">
        <v>134</v>
      </c>
      <c r="J9" s="159" t="s">
        <v>1207</v>
      </c>
      <c r="K9" s="55">
        <v>20038918</v>
      </c>
      <c r="L9" s="55" t="s">
        <v>198</v>
      </c>
      <c r="M9" s="141" t="s">
        <v>1186</v>
      </c>
      <c r="N9" s="142" t="str">
        <f>LOOKUP(M9,'[2]Doc Set'!E:E,'[2]Doc Set'!F:F)</f>
        <v>_</v>
      </c>
      <c r="O9" s="141" t="s">
        <v>1186</v>
      </c>
      <c r="P9" s="142">
        <f>+LOOKUP(O9,'[2]Doc Set'!E:E,'[2]Doc Set'!G:G)</f>
        <v>43451</v>
      </c>
      <c r="Q9" s="55" t="str">
        <f t="shared" si="0"/>
        <v>MSP-F_A</v>
      </c>
      <c r="R9" s="142">
        <f>+LOOKUP(Q9,'[2]Doc Set'!E:E,'[2]Doc Set'!H:H)</f>
        <v>43479</v>
      </c>
      <c r="S9" s="143" t="s">
        <v>200</v>
      </c>
    </row>
    <row r="10" spans="1:19" x14ac:dyDescent="0.3">
      <c r="A10" s="55" t="s">
        <v>40</v>
      </c>
      <c r="B10" s="55" t="s">
        <v>190</v>
      </c>
      <c r="C10" s="55" t="s">
        <v>191</v>
      </c>
      <c r="D10" s="138" t="s">
        <v>1182</v>
      </c>
      <c r="E10" s="55" t="s">
        <v>193</v>
      </c>
      <c r="F10" s="55" t="s">
        <v>194</v>
      </c>
      <c r="G10" s="55" t="s">
        <v>1208</v>
      </c>
      <c r="H10" s="55" t="s">
        <v>1209</v>
      </c>
      <c r="I10" s="139" t="s">
        <v>134</v>
      </c>
      <c r="J10" s="159" t="s">
        <v>1210</v>
      </c>
      <c r="K10" s="55">
        <v>20038918</v>
      </c>
      <c r="L10" s="55" t="s">
        <v>198</v>
      </c>
      <c r="M10" s="141" t="s">
        <v>1186</v>
      </c>
      <c r="N10" s="142" t="str">
        <f>LOOKUP(M10,'[2]Doc Set'!E:E,'[2]Doc Set'!F:F)</f>
        <v>_</v>
      </c>
      <c r="O10" s="141" t="s">
        <v>1186</v>
      </c>
      <c r="P10" s="142">
        <f>+LOOKUP(O10,'[2]Doc Set'!E:E,'[2]Doc Set'!G:G)</f>
        <v>43451</v>
      </c>
      <c r="Q10" s="55" t="str">
        <f t="shared" si="0"/>
        <v>MSP-F_A</v>
      </c>
      <c r="R10" s="142">
        <f>+LOOKUP(Q10,'[2]Doc Set'!E:E,'[2]Doc Set'!H:H)</f>
        <v>43479</v>
      </c>
      <c r="S10" s="143" t="s">
        <v>200</v>
      </c>
    </row>
    <row r="11" spans="1:19" x14ac:dyDescent="0.3">
      <c r="A11" s="55" t="s">
        <v>40</v>
      </c>
      <c r="B11" s="55" t="s">
        <v>190</v>
      </c>
      <c r="C11" s="55" t="s">
        <v>191</v>
      </c>
      <c r="D11" s="138" t="s">
        <v>1182</v>
      </c>
      <c r="E11" s="55" t="s">
        <v>193</v>
      </c>
      <c r="F11" s="55" t="s">
        <v>451</v>
      </c>
      <c r="G11" s="55" t="s">
        <v>1211</v>
      </c>
      <c r="H11" s="55" t="s">
        <v>1212</v>
      </c>
      <c r="I11" s="139" t="s">
        <v>134</v>
      </c>
      <c r="J11" s="159" t="s">
        <v>1213</v>
      </c>
      <c r="K11" s="55">
        <v>20038918</v>
      </c>
      <c r="L11" s="55" t="s">
        <v>198</v>
      </c>
      <c r="M11" s="141" t="s">
        <v>1186</v>
      </c>
      <c r="N11" s="142" t="str">
        <f>LOOKUP(M11,'[2]Doc Set'!E:E,'[2]Doc Set'!F:F)</f>
        <v>_</v>
      </c>
      <c r="O11" s="141" t="s">
        <v>1186</v>
      </c>
      <c r="P11" s="142">
        <f>+LOOKUP(O11,'[2]Doc Set'!E:E,'[2]Doc Set'!G:G)</f>
        <v>43451</v>
      </c>
      <c r="Q11" s="55" t="str">
        <f t="shared" si="0"/>
        <v>MSP-F_A</v>
      </c>
      <c r="R11" s="142">
        <f>+LOOKUP(Q11,'[2]Doc Set'!E:E,'[2]Doc Set'!H:H)</f>
        <v>43479</v>
      </c>
      <c r="S11" s="143" t="s">
        <v>200</v>
      </c>
    </row>
    <row r="12" spans="1:19" x14ac:dyDescent="0.3">
      <c r="A12" s="55" t="s">
        <v>40</v>
      </c>
      <c r="B12" s="55" t="s">
        <v>190</v>
      </c>
      <c r="C12" s="55" t="s">
        <v>191</v>
      </c>
      <c r="D12" s="138" t="s">
        <v>1182</v>
      </c>
      <c r="E12" s="55" t="s">
        <v>193</v>
      </c>
      <c r="F12" s="55" t="s">
        <v>451</v>
      </c>
      <c r="G12" s="55" t="s">
        <v>1214</v>
      </c>
      <c r="H12" s="55" t="s">
        <v>1215</v>
      </c>
      <c r="I12" s="139" t="s">
        <v>134</v>
      </c>
      <c r="J12" s="159" t="s">
        <v>1216</v>
      </c>
      <c r="K12" s="55">
        <v>20038918</v>
      </c>
      <c r="L12" s="55" t="s">
        <v>198</v>
      </c>
      <c r="M12" s="141" t="s">
        <v>1186</v>
      </c>
      <c r="N12" s="142" t="str">
        <f>LOOKUP(M12,'[2]Doc Set'!E:E,'[2]Doc Set'!F:F)</f>
        <v>_</v>
      </c>
      <c r="O12" s="141" t="s">
        <v>1186</v>
      </c>
      <c r="P12" s="142">
        <f>+LOOKUP(O12,'[2]Doc Set'!E:E,'[2]Doc Set'!G:G)</f>
        <v>43451</v>
      </c>
      <c r="Q12" s="55" t="str">
        <f t="shared" si="0"/>
        <v>MSP-F_A</v>
      </c>
      <c r="R12" s="142">
        <f>+LOOKUP(Q12,'[2]Doc Set'!E:E,'[2]Doc Set'!H:H)</f>
        <v>43479</v>
      </c>
      <c r="S12" s="143" t="s">
        <v>200</v>
      </c>
    </row>
    <row r="13" spans="1:19" x14ac:dyDescent="0.3">
      <c r="A13" s="55" t="s">
        <v>40</v>
      </c>
      <c r="B13" s="55" t="s">
        <v>190</v>
      </c>
      <c r="C13" s="55" t="s">
        <v>191</v>
      </c>
      <c r="D13" s="138" t="s">
        <v>1182</v>
      </c>
      <c r="E13" s="55" t="s">
        <v>193</v>
      </c>
      <c r="F13" s="55" t="s">
        <v>451</v>
      </c>
      <c r="G13" s="55" t="s">
        <v>1217</v>
      </c>
      <c r="H13" s="55" t="s">
        <v>1218</v>
      </c>
      <c r="I13" s="139" t="s">
        <v>134</v>
      </c>
      <c r="J13" s="159" t="s">
        <v>1219</v>
      </c>
      <c r="K13" s="55">
        <v>20038918</v>
      </c>
      <c r="L13" s="55" t="s">
        <v>198</v>
      </c>
      <c r="M13" s="141" t="s">
        <v>1186</v>
      </c>
      <c r="N13" s="142" t="str">
        <f>LOOKUP(M13,'[2]Doc Set'!E:E,'[2]Doc Set'!F:F)</f>
        <v>_</v>
      </c>
      <c r="O13" s="141" t="s">
        <v>1186</v>
      </c>
      <c r="P13" s="142">
        <f>+LOOKUP(O13,'[2]Doc Set'!E:E,'[2]Doc Set'!G:G)</f>
        <v>43451</v>
      </c>
      <c r="Q13" s="55" t="str">
        <f t="shared" si="0"/>
        <v>MSP-F_A</v>
      </c>
      <c r="R13" s="142">
        <f>+LOOKUP(Q13,'[2]Doc Set'!E:E,'[2]Doc Set'!H:H)</f>
        <v>43479</v>
      </c>
      <c r="S13" s="143" t="s">
        <v>200</v>
      </c>
    </row>
    <row r="14" spans="1:19" x14ac:dyDescent="0.3">
      <c r="A14" s="55" t="s">
        <v>40</v>
      </c>
      <c r="B14" s="55" t="s">
        <v>190</v>
      </c>
      <c r="C14" s="55" t="s">
        <v>191</v>
      </c>
      <c r="D14" s="138" t="s">
        <v>1182</v>
      </c>
      <c r="E14" s="55" t="s">
        <v>193</v>
      </c>
      <c r="F14" s="55" t="s">
        <v>451</v>
      </c>
      <c r="G14" s="55" t="s">
        <v>1220</v>
      </c>
      <c r="H14" s="55" t="s">
        <v>1221</v>
      </c>
      <c r="I14" s="139" t="s">
        <v>134</v>
      </c>
      <c r="J14" s="159" t="s">
        <v>1222</v>
      </c>
      <c r="K14" s="55">
        <v>20038918</v>
      </c>
      <c r="L14" s="55" t="s">
        <v>198</v>
      </c>
      <c r="M14" s="141" t="s">
        <v>1186</v>
      </c>
      <c r="N14" s="142" t="str">
        <f>LOOKUP(M14,'[2]Doc Set'!E:E,'[2]Doc Set'!F:F)</f>
        <v>_</v>
      </c>
      <c r="O14" s="141" t="s">
        <v>1186</v>
      </c>
      <c r="P14" s="142">
        <f>+LOOKUP(O14,'[2]Doc Set'!E:E,'[2]Doc Set'!G:G)</f>
        <v>43451</v>
      </c>
      <c r="Q14" s="55" t="str">
        <f t="shared" si="0"/>
        <v>MSP-F_A</v>
      </c>
      <c r="R14" s="142">
        <f>+LOOKUP(Q14,'[2]Doc Set'!E:E,'[2]Doc Set'!H:H)</f>
        <v>43479</v>
      </c>
      <c r="S14" s="143" t="s">
        <v>200</v>
      </c>
    </row>
    <row r="15" spans="1:19" x14ac:dyDescent="0.3">
      <c r="A15" s="55" t="s">
        <v>40</v>
      </c>
      <c r="B15" s="55" t="s">
        <v>190</v>
      </c>
      <c r="C15" s="55" t="s">
        <v>191</v>
      </c>
      <c r="D15" s="138" t="s">
        <v>1182</v>
      </c>
      <c r="E15" s="55" t="s">
        <v>193</v>
      </c>
      <c r="F15" s="55" t="s">
        <v>451</v>
      </c>
      <c r="G15" s="55" t="s">
        <v>1223</v>
      </c>
      <c r="H15" s="55" t="s">
        <v>1224</v>
      </c>
      <c r="I15" s="139" t="s">
        <v>134</v>
      </c>
      <c r="J15" s="159" t="s">
        <v>1225</v>
      </c>
      <c r="K15" s="55">
        <v>20038918</v>
      </c>
      <c r="L15" s="55" t="s">
        <v>198</v>
      </c>
      <c r="M15" s="141" t="s">
        <v>1186</v>
      </c>
      <c r="N15" s="142" t="str">
        <f>LOOKUP(M15,'[2]Doc Set'!E:E,'[2]Doc Set'!F:F)</f>
        <v>_</v>
      </c>
      <c r="O15" s="141" t="s">
        <v>1186</v>
      </c>
      <c r="P15" s="142">
        <f>+LOOKUP(O15,'[2]Doc Set'!E:E,'[2]Doc Set'!G:G)</f>
        <v>43451</v>
      </c>
      <c r="Q15" s="55" t="str">
        <f t="shared" si="0"/>
        <v>MSP-F_A</v>
      </c>
      <c r="R15" s="142">
        <f>+LOOKUP(Q15,'[2]Doc Set'!E:E,'[2]Doc Set'!H:H)</f>
        <v>43479</v>
      </c>
      <c r="S15" s="143" t="s">
        <v>200</v>
      </c>
    </row>
    <row r="16" spans="1:19" x14ac:dyDescent="0.3">
      <c r="A16" s="55" t="s">
        <v>40</v>
      </c>
      <c r="B16" s="55" t="s">
        <v>190</v>
      </c>
      <c r="C16" s="55" t="s">
        <v>191</v>
      </c>
      <c r="D16" s="138" t="s">
        <v>1182</v>
      </c>
      <c r="E16" s="55" t="s">
        <v>193</v>
      </c>
      <c r="F16" s="55" t="s">
        <v>521</v>
      </c>
      <c r="G16" s="55" t="s">
        <v>1226</v>
      </c>
      <c r="H16" s="55" t="s">
        <v>1227</v>
      </c>
      <c r="I16" s="139" t="s">
        <v>134</v>
      </c>
      <c r="J16" s="159" t="s">
        <v>1228</v>
      </c>
      <c r="K16" s="55">
        <v>20038918</v>
      </c>
      <c r="L16" s="55" t="s">
        <v>198</v>
      </c>
      <c r="M16" s="141" t="s">
        <v>1186</v>
      </c>
      <c r="N16" s="142" t="str">
        <f>LOOKUP(M16,'[2]Doc Set'!E:E,'[2]Doc Set'!F:F)</f>
        <v>_</v>
      </c>
      <c r="O16" s="141" t="s">
        <v>1186</v>
      </c>
      <c r="P16" s="142">
        <f>+LOOKUP(O16,'[2]Doc Set'!E:E,'[2]Doc Set'!G:G)</f>
        <v>43451</v>
      </c>
      <c r="Q16" s="55" t="str">
        <f t="shared" si="0"/>
        <v>MSP-F_A</v>
      </c>
      <c r="R16" s="142">
        <f>+LOOKUP(Q16,'[2]Doc Set'!E:E,'[2]Doc Set'!H:H)</f>
        <v>43479</v>
      </c>
      <c r="S16" s="143" t="s">
        <v>200</v>
      </c>
    </row>
    <row r="17" spans="1:19" x14ac:dyDescent="0.3">
      <c r="A17" s="55" t="s">
        <v>40</v>
      </c>
      <c r="B17" s="55" t="s">
        <v>190</v>
      </c>
      <c r="C17" s="55" t="s">
        <v>191</v>
      </c>
      <c r="D17" s="138" t="s">
        <v>1182</v>
      </c>
      <c r="E17" s="55" t="s">
        <v>193</v>
      </c>
      <c r="F17" s="55" t="s">
        <v>521</v>
      </c>
      <c r="G17" s="55" t="s">
        <v>1229</v>
      </c>
      <c r="H17" s="55" t="s">
        <v>1230</v>
      </c>
      <c r="I17" s="139" t="s">
        <v>134</v>
      </c>
      <c r="J17" s="159" t="s">
        <v>1231</v>
      </c>
      <c r="K17" s="55">
        <v>20038918</v>
      </c>
      <c r="L17" s="55" t="s">
        <v>198</v>
      </c>
      <c r="M17" s="141" t="s">
        <v>1186</v>
      </c>
      <c r="N17" s="142" t="str">
        <f>LOOKUP(M17,'[2]Doc Set'!E:E,'[2]Doc Set'!F:F)</f>
        <v>_</v>
      </c>
      <c r="O17" s="141" t="s">
        <v>1186</v>
      </c>
      <c r="P17" s="142">
        <f>+LOOKUP(O17,'[2]Doc Set'!E:E,'[2]Doc Set'!G:G)</f>
        <v>43451</v>
      </c>
      <c r="Q17" s="55" t="str">
        <f t="shared" si="0"/>
        <v>MSP-F_A</v>
      </c>
      <c r="R17" s="142">
        <f>+LOOKUP(Q17,'[2]Doc Set'!E:E,'[2]Doc Set'!H:H)</f>
        <v>43479</v>
      </c>
      <c r="S17" s="143" t="s">
        <v>200</v>
      </c>
    </row>
    <row r="18" spans="1:19" x14ac:dyDescent="0.3">
      <c r="A18" s="55" t="s">
        <v>40</v>
      </c>
      <c r="B18" s="55" t="s">
        <v>190</v>
      </c>
      <c r="C18" s="55" t="s">
        <v>191</v>
      </c>
      <c r="D18" s="138" t="s">
        <v>1182</v>
      </c>
      <c r="E18" s="55" t="s">
        <v>193</v>
      </c>
      <c r="F18" s="55" t="s">
        <v>555</v>
      </c>
      <c r="G18" s="55" t="s">
        <v>53</v>
      </c>
      <c r="H18" s="55" t="s">
        <v>1232</v>
      </c>
      <c r="I18" s="139" t="s">
        <v>134</v>
      </c>
      <c r="J18" s="159" t="s">
        <v>1233</v>
      </c>
      <c r="K18" s="55">
        <v>20038918</v>
      </c>
      <c r="L18" t="s">
        <v>1234</v>
      </c>
      <c r="M18" s="141" t="s">
        <v>1186</v>
      </c>
      <c r="N18" s="142" t="str">
        <f>LOOKUP(M18,'[2]Doc Set'!E:E,'[2]Doc Set'!F:F)</f>
        <v>_</v>
      </c>
      <c r="O18" s="141" t="s">
        <v>1186</v>
      </c>
      <c r="P18" s="142">
        <f>+LOOKUP(O18,'[2]Doc Set'!E:E,'[2]Doc Set'!G:G)</f>
        <v>43451</v>
      </c>
      <c r="Q18" s="55" t="str">
        <f t="shared" si="0"/>
        <v>MSP-F_A</v>
      </c>
      <c r="R18" s="142">
        <f>+LOOKUP(Q18,'[2]Doc Set'!E:E,'[2]Doc Set'!H:H)</f>
        <v>43479</v>
      </c>
      <c r="S18" s="143" t="s">
        <v>200</v>
      </c>
    </row>
    <row r="19" spans="1:19" ht="28.8" x14ac:dyDescent="0.3">
      <c r="A19" s="55" t="s">
        <v>40</v>
      </c>
      <c r="B19" s="55" t="s">
        <v>190</v>
      </c>
      <c r="C19" s="55" t="s">
        <v>191</v>
      </c>
      <c r="D19" s="138" t="s">
        <v>1182</v>
      </c>
      <c r="E19" s="55" t="s">
        <v>193</v>
      </c>
      <c r="F19" s="55" t="s">
        <v>555</v>
      </c>
      <c r="G19" s="55" t="s">
        <v>561</v>
      </c>
      <c r="H19" s="55" t="s">
        <v>1235</v>
      </c>
      <c r="I19" s="139" t="s">
        <v>134</v>
      </c>
      <c r="J19" s="159" t="s">
        <v>1236</v>
      </c>
      <c r="K19" s="55">
        <v>20038918</v>
      </c>
      <c r="L19" t="s">
        <v>1234</v>
      </c>
      <c r="M19" s="141" t="s">
        <v>1186</v>
      </c>
      <c r="N19" s="142" t="str">
        <f>LOOKUP(M19,'[2]Doc Set'!E:E,'[2]Doc Set'!F:F)</f>
        <v>_</v>
      </c>
      <c r="O19" s="141" t="s">
        <v>1186</v>
      </c>
      <c r="P19" s="142">
        <f>+LOOKUP(O19,'[2]Doc Set'!E:E,'[2]Doc Set'!G:G)</f>
        <v>43451</v>
      </c>
      <c r="Q19" s="55" t="str">
        <f t="shared" si="0"/>
        <v>MSP-F_A</v>
      </c>
      <c r="R19" s="142">
        <f>+LOOKUP(Q19,'[2]Doc Set'!E:E,'[2]Doc Set'!H:H)</f>
        <v>43479</v>
      </c>
      <c r="S19" s="143" t="s">
        <v>200</v>
      </c>
    </row>
    <row r="20" spans="1:19" x14ac:dyDescent="0.3">
      <c r="A20" s="55" t="s">
        <v>40</v>
      </c>
      <c r="B20" s="55" t="s">
        <v>190</v>
      </c>
      <c r="C20" s="55" t="s">
        <v>191</v>
      </c>
      <c r="D20" s="138" t="s">
        <v>1182</v>
      </c>
      <c r="E20" s="55" t="s">
        <v>193</v>
      </c>
      <c r="F20" s="55" t="s">
        <v>555</v>
      </c>
      <c r="G20" s="55" t="s">
        <v>564</v>
      </c>
      <c r="H20" s="55" t="s">
        <v>1237</v>
      </c>
      <c r="I20" s="139" t="s">
        <v>134</v>
      </c>
      <c r="J20" s="159" t="s">
        <v>1238</v>
      </c>
      <c r="K20" s="55">
        <v>20038918</v>
      </c>
      <c r="L20" t="s">
        <v>1234</v>
      </c>
      <c r="M20" s="141" t="s">
        <v>1186</v>
      </c>
      <c r="N20" s="142" t="str">
        <f>LOOKUP(M20,'[2]Doc Set'!E:E,'[2]Doc Set'!F:F)</f>
        <v>_</v>
      </c>
      <c r="O20" s="141" t="s">
        <v>1186</v>
      </c>
      <c r="P20" s="142">
        <f>+LOOKUP(O20,'[2]Doc Set'!E:E,'[2]Doc Set'!G:G)</f>
        <v>43451</v>
      </c>
      <c r="Q20" s="55" t="str">
        <f t="shared" si="0"/>
        <v>MSP-F_A</v>
      </c>
      <c r="R20" s="142">
        <f>+LOOKUP(Q20,'[2]Doc Set'!E:E,'[2]Doc Set'!H:H)</f>
        <v>43479</v>
      </c>
      <c r="S20" s="143" t="s">
        <v>200</v>
      </c>
    </row>
    <row r="21" spans="1:19" x14ac:dyDescent="0.3">
      <c r="A21" s="55" t="s">
        <v>40</v>
      </c>
      <c r="B21" s="55" t="s">
        <v>190</v>
      </c>
      <c r="C21" s="55" t="s">
        <v>191</v>
      </c>
      <c r="D21" s="138" t="s">
        <v>1182</v>
      </c>
      <c r="E21" s="55" t="s">
        <v>193</v>
      </c>
      <c r="F21" s="55" t="s">
        <v>555</v>
      </c>
      <c r="G21" s="55" t="s">
        <v>567</v>
      </c>
      <c r="H21" s="55" t="s">
        <v>1239</v>
      </c>
      <c r="I21" s="139" t="s">
        <v>134</v>
      </c>
      <c r="J21" s="159" t="s">
        <v>1240</v>
      </c>
      <c r="K21" s="55">
        <v>20038918</v>
      </c>
      <c r="L21" t="s">
        <v>1234</v>
      </c>
      <c r="M21" s="141" t="s">
        <v>1186</v>
      </c>
      <c r="N21" s="142" t="str">
        <f>LOOKUP(M21,'[2]Doc Set'!E:E,'[2]Doc Set'!F:F)</f>
        <v>_</v>
      </c>
      <c r="O21" s="141" t="s">
        <v>1186</v>
      </c>
      <c r="P21" s="142">
        <f>+LOOKUP(O21,'[2]Doc Set'!E:E,'[2]Doc Set'!G:G)</f>
        <v>43451</v>
      </c>
      <c r="Q21" s="55" t="str">
        <f t="shared" si="0"/>
        <v>MSP-F_A</v>
      </c>
      <c r="R21" s="142">
        <f>+LOOKUP(Q21,'[2]Doc Set'!E:E,'[2]Doc Set'!H:H)</f>
        <v>43479</v>
      </c>
      <c r="S21" s="143" t="s">
        <v>200</v>
      </c>
    </row>
    <row r="22" spans="1:19" x14ac:dyDescent="0.3">
      <c r="A22" s="55" t="s">
        <v>40</v>
      </c>
      <c r="B22" s="55" t="s">
        <v>190</v>
      </c>
      <c r="C22" s="55" t="s">
        <v>191</v>
      </c>
      <c r="D22" s="138" t="s">
        <v>1182</v>
      </c>
      <c r="E22" s="55" t="s">
        <v>193</v>
      </c>
      <c r="F22" s="55" t="s">
        <v>555</v>
      </c>
      <c r="G22" s="55" t="s">
        <v>570</v>
      </c>
      <c r="H22" s="55" t="s">
        <v>1241</v>
      </c>
      <c r="I22" s="139" t="s">
        <v>134</v>
      </c>
      <c r="J22" s="159" t="s">
        <v>1242</v>
      </c>
      <c r="K22" s="55">
        <v>20038918</v>
      </c>
      <c r="L22" t="s">
        <v>1234</v>
      </c>
      <c r="M22" s="141" t="s">
        <v>1186</v>
      </c>
      <c r="N22" s="142" t="str">
        <f>LOOKUP(M22,'[2]Doc Set'!E:E,'[2]Doc Set'!F:F)</f>
        <v>_</v>
      </c>
      <c r="O22" s="141" t="s">
        <v>1186</v>
      </c>
      <c r="P22" s="142">
        <f>+LOOKUP(O22,'[2]Doc Set'!E:E,'[2]Doc Set'!G:G)</f>
        <v>43451</v>
      </c>
      <c r="Q22" s="55" t="str">
        <f t="shared" si="0"/>
        <v>MSP-F_A</v>
      </c>
      <c r="R22" s="142">
        <f>+LOOKUP(Q22,'[2]Doc Set'!E:E,'[2]Doc Set'!H:H)</f>
        <v>43479</v>
      </c>
      <c r="S22" s="143" t="s">
        <v>200</v>
      </c>
    </row>
    <row r="23" spans="1:19" x14ac:dyDescent="0.3">
      <c r="A23" s="55" t="s">
        <v>40</v>
      </c>
      <c r="B23" s="55" t="s">
        <v>190</v>
      </c>
      <c r="C23" s="55" t="s">
        <v>191</v>
      </c>
      <c r="D23" s="138" t="s">
        <v>1182</v>
      </c>
      <c r="E23" s="55" t="s">
        <v>193</v>
      </c>
      <c r="F23" s="55" t="s">
        <v>555</v>
      </c>
      <c r="G23" s="55" t="s">
        <v>573</v>
      </c>
      <c r="H23" s="55" t="s">
        <v>1243</v>
      </c>
      <c r="I23" s="139" t="s">
        <v>134</v>
      </c>
      <c r="J23" s="159" t="s">
        <v>1244</v>
      </c>
      <c r="K23" s="55">
        <v>20038918</v>
      </c>
      <c r="L23" t="s">
        <v>1234</v>
      </c>
      <c r="M23" s="141" t="s">
        <v>1186</v>
      </c>
      <c r="N23" s="142" t="str">
        <f>LOOKUP(M23,'[2]Doc Set'!E:E,'[2]Doc Set'!F:F)</f>
        <v>_</v>
      </c>
      <c r="O23" s="141" t="s">
        <v>1186</v>
      </c>
      <c r="P23" s="142">
        <f>+LOOKUP(O23,'[2]Doc Set'!E:E,'[2]Doc Set'!G:G)</f>
        <v>43451</v>
      </c>
      <c r="Q23" s="55" t="str">
        <f t="shared" si="0"/>
        <v>MSP-F_A</v>
      </c>
      <c r="R23" s="142">
        <f>+LOOKUP(Q23,'[2]Doc Set'!E:E,'[2]Doc Set'!H:H)</f>
        <v>43479</v>
      </c>
      <c r="S23" s="143" t="s">
        <v>200</v>
      </c>
    </row>
    <row r="24" spans="1:19" x14ac:dyDescent="0.3">
      <c r="A24" s="55" t="s">
        <v>40</v>
      </c>
      <c r="B24" s="55" t="s">
        <v>190</v>
      </c>
      <c r="C24" s="55" t="s">
        <v>191</v>
      </c>
      <c r="D24" s="138" t="s">
        <v>1182</v>
      </c>
      <c r="E24" s="55" t="s">
        <v>193</v>
      </c>
      <c r="F24" s="55" t="s">
        <v>555</v>
      </c>
      <c r="G24" s="55" t="s">
        <v>576</v>
      </c>
      <c r="H24" s="55" t="s">
        <v>1245</v>
      </c>
      <c r="I24" s="139" t="s">
        <v>134</v>
      </c>
      <c r="J24" s="159" t="s">
        <v>1246</v>
      </c>
      <c r="K24" s="55">
        <v>20038918</v>
      </c>
      <c r="L24" t="s">
        <v>1234</v>
      </c>
      <c r="M24" s="141" t="s">
        <v>1186</v>
      </c>
      <c r="N24" s="142" t="str">
        <f>LOOKUP(M24,'[2]Doc Set'!E:E,'[2]Doc Set'!F:F)</f>
        <v>_</v>
      </c>
      <c r="O24" s="141" t="s">
        <v>1186</v>
      </c>
      <c r="P24" s="142">
        <f>+LOOKUP(O24,'[2]Doc Set'!E:E,'[2]Doc Set'!G:G)</f>
        <v>43451</v>
      </c>
      <c r="Q24" s="55" t="str">
        <f t="shared" si="0"/>
        <v>MSP-F_A</v>
      </c>
      <c r="R24" s="142">
        <f>+LOOKUP(Q24,'[2]Doc Set'!E:E,'[2]Doc Set'!H:H)</f>
        <v>43479</v>
      </c>
      <c r="S24" s="143" t="s">
        <v>200</v>
      </c>
    </row>
    <row r="25" spans="1:19" x14ac:dyDescent="0.3">
      <c r="A25" s="55" t="s">
        <v>40</v>
      </c>
      <c r="B25" s="55" t="s">
        <v>190</v>
      </c>
      <c r="C25" s="55" t="s">
        <v>191</v>
      </c>
      <c r="D25" s="138" t="s">
        <v>1182</v>
      </c>
      <c r="E25" s="55" t="s">
        <v>193</v>
      </c>
      <c r="F25" s="55" t="s">
        <v>521</v>
      </c>
      <c r="G25" s="55" t="s">
        <v>1247</v>
      </c>
      <c r="H25" s="55" t="s">
        <v>1248</v>
      </c>
      <c r="I25" s="139" t="s">
        <v>134</v>
      </c>
      <c r="J25" s="159" t="s">
        <v>1249</v>
      </c>
      <c r="K25" s="55">
        <v>20038918</v>
      </c>
      <c r="L25" t="s">
        <v>1234</v>
      </c>
      <c r="M25" s="141" t="s">
        <v>1186</v>
      </c>
      <c r="N25" s="142" t="str">
        <f>LOOKUP(M25,'[2]Doc Set'!E:E,'[2]Doc Set'!F:F)</f>
        <v>_</v>
      </c>
      <c r="O25" s="141" t="s">
        <v>1186</v>
      </c>
      <c r="P25" s="142">
        <f>+LOOKUP(O25,'[2]Doc Set'!E:E,'[2]Doc Set'!G:G)</f>
        <v>43451</v>
      </c>
      <c r="Q25" s="55" t="str">
        <f t="shared" si="0"/>
        <v>MSP-F_A</v>
      </c>
      <c r="R25" s="142">
        <f>+LOOKUP(Q25,'[2]Doc Set'!E:E,'[2]Doc Set'!H:H)</f>
        <v>43479</v>
      </c>
      <c r="S25" s="143" t="s">
        <v>200</v>
      </c>
    </row>
    <row r="26" spans="1:19" x14ac:dyDescent="0.3">
      <c r="A26" s="55" t="s">
        <v>40</v>
      </c>
      <c r="B26" s="55" t="s">
        <v>190</v>
      </c>
      <c r="C26" s="55" t="s">
        <v>191</v>
      </c>
      <c r="D26" s="138" t="s">
        <v>1182</v>
      </c>
      <c r="E26" s="55" t="s">
        <v>193</v>
      </c>
      <c r="F26" s="55" t="s">
        <v>1250</v>
      </c>
      <c r="G26" s="55" t="s">
        <v>1251</v>
      </c>
      <c r="H26" s="55" t="s">
        <v>1252</v>
      </c>
      <c r="I26" s="139" t="s">
        <v>134</v>
      </c>
      <c r="J26" s="159" t="s">
        <v>1253</v>
      </c>
      <c r="K26" s="55">
        <v>20038918</v>
      </c>
      <c r="L26" t="s">
        <v>1234</v>
      </c>
      <c r="M26" s="141" t="s">
        <v>1186</v>
      </c>
      <c r="N26" s="142" t="str">
        <f>LOOKUP(M26,'[2]Doc Set'!E:E,'[2]Doc Set'!F:F)</f>
        <v>_</v>
      </c>
      <c r="O26" s="141" t="s">
        <v>1186</v>
      </c>
      <c r="P26" s="142">
        <f>+LOOKUP(O26,'[2]Doc Set'!E:E,'[2]Doc Set'!G:G)</f>
        <v>43451</v>
      </c>
      <c r="Q26" s="55" t="str">
        <f t="shared" si="0"/>
        <v>MSP-F_A</v>
      </c>
      <c r="R26" s="142">
        <f>+LOOKUP(Q26,'[2]Doc Set'!E:E,'[2]Doc Set'!H:H)</f>
        <v>43479</v>
      </c>
      <c r="S26" s="143" t="s">
        <v>200</v>
      </c>
    </row>
    <row r="27" spans="1:19" x14ac:dyDescent="0.3">
      <c r="A27" s="55" t="s">
        <v>40</v>
      </c>
      <c r="B27" s="55" t="s">
        <v>190</v>
      </c>
      <c r="C27" s="55" t="s">
        <v>191</v>
      </c>
      <c r="D27" s="138" t="s">
        <v>1182</v>
      </c>
      <c r="E27" s="55" t="s">
        <v>193</v>
      </c>
      <c r="F27" s="55" t="s">
        <v>194</v>
      </c>
      <c r="G27" s="55" t="s">
        <v>1254</v>
      </c>
      <c r="H27" s="55" t="s">
        <v>1255</v>
      </c>
      <c r="I27" s="139" t="s">
        <v>51</v>
      </c>
      <c r="J27" s="159" t="s">
        <v>1256</v>
      </c>
      <c r="K27" s="55">
        <v>20038918</v>
      </c>
      <c r="L27" s="55" t="s">
        <v>198</v>
      </c>
      <c r="M27" s="141" t="s">
        <v>1186</v>
      </c>
      <c r="N27" s="142" t="str">
        <f>LOOKUP(M27,'[2]Doc Set'!E:E,'[2]Doc Set'!F:F)</f>
        <v>_</v>
      </c>
      <c r="O27" s="141" t="s">
        <v>1186</v>
      </c>
      <c r="P27" s="142">
        <f>+LOOKUP(O27,'[2]Doc Set'!E:E,'[2]Doc Set'!G:G)</f>
        <v>43451</v>
      </c>
      <c r="Q27" s="55" t="str">
        <f t="shared" si="0"/>
        <v>MSP-F_A</v>
      </c>
      <c r="R27" s="142">
        <f>+LOOKUP(Q27,'[2]Doc Set'!E:E,'[2]Doc Set'!H:H)</f>
        <v>43479</v>
      </c>
      <c r="S27" s="143" t="s">
        <v>200</v>
      </c>
    </row>
    <row r="28" spans="1:19" x14ac:dyDescent="0.3">
      <c r="A28" s="55" t="s">
        <v>40</v>
      </c>
      <c r="B28" s="55" t="s">
        <v>190</v>
      </c>
      <c r="C28" s="55" t="s">
        <v>191</v>
      </c>
      <c r="D28" s="138" t="s">
        <v>1182</v>
      </c>
      <c r="E28" s="55" t="s">
        <v>193</v>
      </c>
      <c r="F28" s="55" t="s">
        <v>194</v>
      </c>
      <c r="G28" s="55" t="s">
        <v>1257</v>
      </c>
      <c r="H28" s="55" t="s">
        <v>1258</v>
      </c>
      <c r="I28" s="139" t="s">
        <v>51</v>
      </c>
      <c r="J28" s="159" t="s">
        <v>1259</v>
      </c>
      <c r="K28" s="55">
        <v>20038918</v>
      </c>
      <c r="L28" s="55" t="s">
        <v>198</v>
      </c>
      <c r="M28" s="141" t="s">
        <v>1186</v>
      </c>
      <c r="N28" s="142" t="str">
        <f>LOOKUP(M28,'[2]Doc Set'!E:E,'[2]Doc Set'!F:F)</f>
        <v>_</v>
      </c>
      <c r="O28" s="141" t="s">
        <v>1186</v>
      </c>
      <c r="P28" s="142">
        <f>+LOOKUP(O28,'[2]Doc Set'!E:E,'[2]Doc Set'!G:G)</f>
        <v>43451</v>
      </c>
      <c r="Q28" s="55" t="str">
        <f t="shared" si="0"/>
        <v>MSP-F_A</v>
      </c>
      <c r="R28" s="142">
        <f>+LOOKUP(Q28,'[2]Doc Set'!E:E,'[2]Doc Set'!H:H)</f>
        <v>43479</v>
      </c>
      <c r="S28" s="143" t="s">
        <v>200</v>
      </c>
    </row>
    <row r="29" spans="1:19" x14ac:dyDescent="0.3">
      <c r="A29" s="55" t="s">
        <v>40</v>
      </c>
      <c r="B29" s="55" t="s">
        <v>190</v>
      </c>
      <c r="C29" s="55" t="s">
        <v>191</v>
      </c>
      <c r="D29" s="138" t="s">
        <v>1182</v>
      </c>
      <c r="E29" s="55" t="s">
        <v>193</v>
      </c>
      <c r="F29" s="55" t="s">
        <v>194</v>
      </c>
      <c r="G29" s="55" t="s">
        <v>1260</v>
      </c>
      <c r="H29" s="55" t="s">
        <v>1261</v>
      </c>
      <c r="I29" s="139" t="s">
        <v>128</v>
      </c>
      <c r="J29" s="159" t="s">
        <v>1262</v>
      </c>
      <c r="K29" s="55">
        <v>20038918</v>
      </c>
      <c r="L29" s="55" t="s">
        <v>198</v>
      </c>
      <c r="M29" s="141" t="s">
        <v>1186</v>
      </c>
      <c r="N29" s="142" t="str">
        <f>LOOKUP(M29,'[2]Doc Set'!E:E,'[2]Doc Set'!F:F)</f>
        <v>_</v>
      </c>
      <c r="O29" s="141" t="s">
        <v>1186</v>
      </c>
      <c r="P29" s="142">
        <f>+LOOKUP(O29,'[2]Doc Set'!E:E,'[2]Doc Set'!G:G)</f>
        <v>43451</v>
      </c>
      <c r="Q29" s="55" t="str">
        <f t="shared" si="0"/>
        <v>MSP-F_A</v>
      </c>
      <c r="R29" s="142">
        <f>+LOOKUP(Q29,'[2]Doc Set'!E:E,'[2]Doc Set'!H:H)</f>
        <v>43479</v>
      </c>
      <c r="S29" s="143" t="s">
        <v>200</v>
      </c>
    </row>
    <row r="30" spans="1:19" x14ac:dyDescent="0.3">
      <c r="A30" s="55" t="s">
        <v>40</v>
      </c>
      <c r="B30" s="55" t="s">
        <v>190</v>
      </c>
      <c r="C30" s="55" t="s">
        <v>191</v>
      </c>
      <c r="D30" s="138" t="s">
        <v>1182</v>
      </c>
      <c r="E30" s="55" t="s">
        <v>193</v>
      </c>
      <c r="F30" s="55" t="s">
        <v>194</v>
      </c>
      <c r="G30" s="55" t="s">
        <v>1263</v>
      </c>
      <c r="H30" s="55" t="s">
        <v>1264</v>
      </c>
      <c r="I30" s="139" t="s">
        <v>128</v>
      </c>
      <c r="J30" s="159" t="s">
        <v>1265</v>
      </c>
      <c r="K30" s="55">
        <v>20038918</v>
      </c>
      <c r="L30" s="55" t="s">
        <v>198</v>
      </c>
      <c r="M30" s="141" t="s">
        <v>1186</v>
      </c>
      <c r="N30" s="142" t="str">
        <f>LOOKUP(M30,'[2]Doc Set'!E:E,'[2]Doc Set'!F:F)</f>
        <v>_</v>
      </c>
      <c r="O30" s="141" t="s">
        <v>1186</v>
      </c>
      <c r="P30" s="142">
        <f>+LOOKUP(O30,'[2]Doc Set'!E:E,'[2]Doc Set'!G:G)</f>
        <v>43451</v>
      </c>
      <c r="Q30" s="55" t="str">
        <f t="shared" si="0"/>
        <v>MSP-F_A</v>
      </c>
      <c r="R30" s="142">
        <f>+LOOKUP(Q30,'[2]Doc Set'!E:E,'[2]Doc Set'!H:H)</f>
        <v>43479</v>
      </c>
      <c r="S30" s="143" t="s">
        <v>200</v>
      </c>
    </row>
    <row r="31" spans="1:19" x14ac:dyDescent="0.3">
      <c r="A31" s="55" t="s">
        <v>40</v>
      </c>
      <c r="B31" s="55" t="s">
        <v>190</v>
      </c>
      <c r="C31" s="55" t="s">
        <v>191</v>
      </c>
      <c r="D31" s="138" t="s">
        <v>1182</v>
      </c>
      <c r="E31" s="55" t="s">
        <v>193</v>
      </c>
      <c r="F31" s="55" t="s">
        <v>194</v>
      </c>
      <c r="G31" s="55" t="s">
        <v>1266</v>
      </c>
      <c r="H31" s="55" t="s">
        <v>1267</v>
      </c>
      <c r="I31" s="139" t="s">
        <v>128</v>
      </c>
      <c r="J31" s="159" t="s">
        <v>1268</v>
      </c>
      <c r="K31" s="55">
        <v>20038918</v>
      </c>
      <c r="L31" s="55" t="s">
        <v>198</v>
      </c>
      <c r="M31" s="141" t="s">
        <v>1186</v>
      </c>
      <c r="N31" s="142" t="str">
        <f>LOOKUP(M31,'[2]Doc Set'!E:E,'[2]Doc Set'!F:F)</f>
        <v>_</v>
      </c>
      <c r="O31" s="141" t="s">
        <v>1186</v>
      </c>
      <c r="P31" s="142">
        <f>+LOOKUP(O31,'[2]Doc Set'!E:E,'[2]Doc Set'!G:G)</f>
        <v>43451</v>
      </c>
      <c r="Q31" s="55" t="str">
        <f t="shared" si="0"/>
        <v>MSP-F_A</v>
      </c>
      <c r="R31" s="142">
        <f>+LOOKUP(Q31,'[2]Doc Set'!E:E,'[2]Doc Set'!H:H)</f>
        <v>43479</v>
      </c>
      <c r="S31" s="143" t="s">
        <v>200</v>
      </c>
    </row>
  </sheetData>
  <autoFilter ref="A1:S26"/>
  <conditionalFormatting sqref="G1:G1048576">
    <cfRule type="duplicateValues" dxfId="27" priority="2"/>
    <cfRule type="duplicateValues" dxfId="26" priority="3"/>
  </conditionalFormatting>
  <conditionalFormatting sqref="H1:H1048576">
    <cfRule type="duplicateValues" dxfId="25" priority="1"/>
  </conditionalFormatting>
  <dataValidations count="1">
    <dataValidation type="list" allowBlank="1" showInputMessage="1" showErrorMessage="1" sqref="O2:O31 M2:M31">
      <formula1>Document_Set_Name</formula1>
    </dataValidation>
  </dataValidations>
  <pageMargins left="0.7" right="0.7" top="0.75" bottom="0.75" header="0.3" footer="0.3"/>
  <pageSetup orientation="portrait" r:id="rId1"/>
  <headerFooter>
    <oddFooter>&amp;L&amp;1#&amp;"Calibri"&amp;8 Sensitivity: LNT Construction Internal Use</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S13"/>
  <sheetViews>
    <sheetView topLeftCell="H1" zoomScaleNormal="100" workbookViewId="0">
      <selection activeCell="H86" sqref="H86:H98"/>
    </sheetView>
  </sheetViews>
  <sheetFormatPr defaultRowHeight="14.4" x14ac:dyDescent="0.3"/>
  <cols>
    <col min="1" max="1" width="11.44140625" bestFit="1" customWidth="1"/>
    <col min="3" max="3" width="11.109375" bestFit="1" customWidth="1"/>
    <col min="4" max="4" width="11.33203125" style="155" bestFit="1" customWidth="1"/>
    <col min="5" max="5" width="10.5546875" bestFit="1" customWidth="1"/>
    <col min="6" max="6" width="8.5546875" bestFit="1" customWidth="1"/>
    <col min="8" max="8" width="22.5546875" bestFit="1" customWidth="1"/>
    <col min="10" max="10" width="38.88671875" bestFit="1" customWidth="1"/>
    <col min="11" max="11" width="11.6640625" customWidth="1"/>
    <col min="12" max="12" width="11.88671875" customWidth="1"/>
    <col min="14" max="14" width="11.5546875" bestFit="1" customWidth="1"/>
    <col min="16" max="16" width="12.5546875" bestFit="1" customWidth="1"/>
    <col min="18" max="18" width="9.6640625" bestFit="1" customWidth="1"/>
    <col min="19" max="19" width="13.88671875" bestFit="1" customWidth="1"/>
  </cols>
  <sheetData>
    <row r="1" spans="1:19" s="136" customFormat="1" x14ac:dyDescent="0.3">
      <c r="A1" s="136" t="s">
        <v>174</v>
      </c>
      <c r="B1" s="136" t="s">
        <v>175</v>
      </c>
      <c r="C1" s="136" t="s">
        <v>176</v>
      </c>
      <c r="D1" s="137" t="s">
        <v>177</v>
      </c>
      <c r="E1" s="136" t="s">
        <v>178</v>
      </c>
      <c r="F1" s="136" t="s">
        <v>179</v>
      </c>
      <c r="G1" s="136" t="s">
        <v>180</v>
      </c>
      <c r="H1" s="136" t="s">
        <v>181</v>
      </c>
      <c r="I1" s="136" t="s">
        <v>182</v>
      </c>
      <c r="J1" s="136" t="s">
        <v>183</v>
      </c>
      <c r="K1" s="136" t="s">
        <v>184</v>
      </c>
      <c r="L1" s="136" t="s">
        <v>185</v>
      </c>
      <c r="M1" s="136" t="s">
        <v>34</v>
      </c>
      <c r="N1" s="136" t="s">
        <v>186</v>
      </c>
      <c r="O1" s="136" t="s">
        <v>67</v>
      </c>
      <c r="P1" s="136" t="s">
        <v>187</v>
      </c>
      <c r="Q1" s="136" t="s">
        <v>133</v>
      </c>
      <c r="R1" s="136" t="s">
        <v>188</v>
      </c>
      <c r="S1" s="136" t="s">
        <v>189</v>
      </c>
    </row>
    <row r="2" spans="1:19" x14ac:dyDescent="0.3">
      <c r="A2" t="s">
        <v>40</v>
      </c>
      <c r="B2" t="s">
        <v>190</v>
      </c>
      <c r="C2" t="s">
        <v>191</v>
      </c>
      <c r="D2" s="165" t="s">
        <v>1156</v>
      </c>
      <c r="E2" t="s">
        <v>193</v>
      </c>
      <c r="F2" t="s">
        <v>194</v>
      </c>
      <c r="G2" t="s">
        <v>303</v>
      </c>
      <c r="H2" t="s">
        <v>1157</v>
      </c>
      <c r="I2" s="139" t="s">
        <v>51</v>
      </c>
      <c r="J2" s="159" t="s">
        <v>1158</v>
      </c>
      <c r="K2">
        <v>20038918</v>
      </c>
      <c r="L2" s="55" t="s">
        <v>198</v>
      </c>
      <c r="M2" s="141" t="str">
        <f t="shared" ref="M2:M7" si="0">+O2</f>
        <v>CCP-SS_B</v>
      </c>
      <c r="N2" s="142" t="str">
        <f>LOOKUP(M2,'[2]Doc Set'!E:E,'[2]Doc Set'!F:F)</f>
        <v>_</v>
      </c>
      <c r="O2" s="141" t="s">
        <v>1159</v>
      </c>
      <c r="P2" s="142">
        <f>+LOOKUP(O2,'[2]Doc Set'!E:E,'[2]Doc Set'!G:G)</f>
        <v>43260</v>
      </c>
      <c r="Q2" s="55" t="str">
        <f>+O2</f>
        <v>CCP-SS_B</v>
      </c>
      <c r="R2" s="142">
        <f>+LOOKUP(Q2,'[2]Doc Set'!E:E,'[2]Doc Set'!H:H)</f>
        <v>43299</v>
      </c>
      <c r="S2" s="143" t="s">
        <v>200</v>
      </c>
    </row>
    <row r="3" spans="1:19" x14ac:dyDescent="0.3">
      <c r="A3" t="s">
        <v>40</v>
      </c>
      <c r="B3" t="s">
        <v>190</v>
      </c>
      <c r="C3" t="s">
        <v>191</v>
      </c>
      <c r="D3" s="165" t="s">
        <v>1156</v>
      </c>
      <c r="E3" t="s">
        <v>193</v>
      </c>
      <c r="F3" t="s">
        <v>194</v>
      </c>
      <c r="G3" t="s">
        <v>307</v>
      </c>
      <c r="H3" t="s">
        <v>1160</v>
      </c>
      <c r="I3" s="139" t="s">
        <v>51</v>
      </c>
      <c r="J3" s="159" t="s">
        <v>1161</v>
      </c>
      <c r="K3">
        <v>20038918</v>
      </c>
      <c r="L3" s="55" t="s">
        <v>198</v>
      </c>
      <c r="M3" s="141" t="str">
        <f t="shared" si="0"/>
        <v>CCP-SS_B</v>
      </c>
      <c r="N3" s="142" t="str">
        <f>LOOKUP(M3,'[2]Doc Set'!E:E,'[2]Doc Set'!F:F)</f>
        <v>_</v>
      </c>
      <c r="O3" s="141" t="s">
        <v>1159</v>
      </c>
      <c r="P3" s="142">
        <f>+LOOKUP(O3,'[2]Doc Set'!E:E,'[2]Doc Set'!G:G)</f>
        <v>43260</v>
      </c>
      <c r="Q3" s="55" t="str">
        <f t="shared" ref="Q3:Q13" si="1">+O3</f>
        <v>CCP-SS_B</v>
      </c>
      <c r="R3" s="142">
        <f>+LOOKUP(Q3,'[2]Doc Set'!E:E,'[2]Doc Set'!H:H)</f>
        <v>43299</v>
      </c>
      <c r="S3" s="143" t="s">
        <v>200</v>
      </c>
    </row>
    <row r="4" spans="1:19" x14ac:dyDescent="0.3">
      <c r="A4" t="s">
        <v>40</v>
      </c>
      <c r="B4" t="s">
        <v>190</v>
      </c>
      <c r="C4" t="s">
        <v>191</v>
      </c>
      <c r="D4" s="165" t="s">
        <v>1156</v>
      </c>
      <c r="E4" t="s">
        <v>193</v>
      </c>
      <c r="F4" t="s">
        <v>194</v>
      </c>
      <c r="G4" t="s">
        <v>282</v>
      </c>
      <c r="H4" t="s">
        <v>1162</v>
      </c>
      <c r="I4" s="139" t="s">
        <v>51</v>
      </c>
      <c r="J4" s="159" t="s">
        <v>1163</v>
      </c>
      <c r="K4">
        <v>20038918</v>
      </c>
      <c r="L4" s="55" t="s">
        <v>198</v>
      </c>
      <c r="M4" s="141" t="str">
        <f t="shared" si="0"/>
        <v>CCP-SS_B</v>
      </c>
      <c r="N4" s="142" t="str">
        <f>LOOKUP(M4,'[2]Doc Set'!E:E,'[2]Doc Set'!F:F)</f>
        <v>_</v>
      </c>
      <c r="O4" s="141" t="s">
        <v>1159</v>
      </c>
      <c r="P4" s="142">
        <f>+LOOKUP(O4,'[2]Doc Set'!E:E,'[2]Doc Set'!G:G)</f>
        <v>43260</v>
      </c>
      <c r="Q4" s="55" t="str">
        <f t="shared" si="1"/>
        <v>CCP-SS_B</v>
      </c>
      <c r="R4" s="142">
        <f>+LOOKUP(Q4,'[2]Doc Set'!E:E,'[2]Doc Set'!H:H)</f>
        <v>43299</v>
      </c>
      <c r="S4" s="143" t="s">
        <v>200</v>
      </c>
    </row>
    <row r="5" spans="1:19" x14ac:dyDescent="0.3">
      <c r="A5" t="s">
        <v>40</v>
      </c>
      <c r="B5" t="s">
        <v>190</v>
      </c>
      <c r="C5" t="s">
        <v>191</v>
      </c>
      <c r="D5" s="165" t="s">
        <v>1156</v>
      </c>
      <c r="E5" t="s">
        <v>193</v>
      </c>
      <c r="F5" t="s">
        <v>194</v>
      </c>
      <c r="G5" t="s">
        <v>285</v>
      </c>
      <c r="H5" t="s">
        <v>1164</v>
      </c>
      <c r="I5" s="139" t="s">
        <v>51</v>
      </c>
      <c r="J5" s="159" t="s">
        <v>1165</v>
      </c>
      <c r="K5">
        <v>20038918</v>
      </c>
      <c r="L5" s="55" t="s">
        <v>198</v>
      </c>
      <c r="M5" s="141" t="str">
        <f t="shared" si="0"/>
        <v>CCP-SS_B</v>
      </c>
      <c r="N5" s="142" t="str">
        <f>LOOKUP(M5,'[2]Doc Set'!E:E,'[2]Doc Set'!F:F)</f>
        <v>_</v>
      </c>
      <c r="O5" s="141" t="s">
        <v>1159</v>
      </c>
      <c r="P5" s="142">
        <f>+LOOKUP(O5,'[2]Doc Set'!E:E,'[2]Doc Set'!G:G)</f>
        <v>43260</v>
      </c>
      <c r="Q5" s="55" t="str">
        <f t="shared" si="1"/>
        <v>CCP-SS_B</v>
      </c>
      <c r="R5" s="142">
        <f>+LOOKUP(Q5,'[2]Doc Set'!E:E,'[2]Doc Set'!H:H)</f>
        <v>43299</v>
      </c>
      <c r="S5" s="143" t="s">
        <v>200</v>
      </c>
    </row>
    <row r="6" spans="1:19" x14ac:dyDescent="0.3">
      <c r="A6" t="s">
        <v>40</v>
      </c>
      <c r="B6" t="s">
        <v>190</v>
      </c>
      <c r="C6" t="s">
        <v>191</v>
      </c>
      <c r="D6" s="165" t="s">
        <v>1156</v>
      </c>
      <c r="E6" t="s">
        <v>193</v>
      </c>
      <c r="F6" t="s">
        <v>194</v>
      </c>
      <c r="G6" t="s">
        <v>261</v>
      </c>
      <c r="H6" t="s">
        <v>1166</v>
      </c>
      <c r="I6" s="139" t="s">
        <v>51</v>
      </c>
      <c r="J6" s="159" t="s">
        <v>1167</v>
      </c>
      <c r="K6">
        <v>20038918</v>
      </c>
      <c r="L6" s="55" t="s">
        <v>198</v>
      </c>
      <c r="M6" s="141" t="str">
        <f t="shared" si="0"/>
        <v>CCP-SS_B</v>
      </c>
      <c r="N6" s="142" t="str">
        <f>LOOKUP(M6,'[2]Doc Set'!E:E,'[2]Doc Set'!F:F)</f>
        <v>_</v>
      </c>
      <c r="O6" s="141" t="s">
        <v>1159</v>
      </c>
      <c r="P6" s="142">
        <f>+LOOKUP(O6,'[2]Doc Set'!E:E,'[2]Doc Set'!G:G)</f>
        <v>43260</v>
      </c>
      <c r="Q6" s="55" t="str">
        <f t="shared" si="1"/>
        <v>CCP-SS_B</v>
      </c>
      <c r="R6" s="142">
        <f>+LOOKUP(Q6,'[2]Doc Set'!E:E,'[2]Doc Set'!H:H)</f>
        <v>43299</v>
      </c>
      <c r="S6" s="143" t="s">
        <v>200</v>
      </c>
    </row>
    <row r="7" spans="1:19" x14ac:dyDescent="0.3">
      <c r="A7" t="s">
        <v>40</v>
      </c>
      <c r="B7" t="s">
        <v>190</v>
      </c>
      <c r="C7" t="s">
        <v>191</v>
      </c>
      <c r="D7" s="165" t="s">
        <v>1156</v>
      </c>
      <c r="E7" t="s">
        <v>193</v>
      </c>
      <c r="F7" t="s">
        <v>194</v>
      </c>
      <c r="G7" t="s">
        <v>264</v>
      </c>
      <c r="H7" t="s">
        <v>1168</v>
      </c>
      <c r="I7" s="139" t="s">
        <v>51</v>
      </c>
      <c r="J7" s="159" t="s">
        <v>1169</v>
      </c>
      <c r="K7">
        <v>20038918</v>
      </c>
      <c r="L7" s="55" t="s">
        <v>198</v>
      </c>
      <c r="M7" s="141" t="str">
        <f t="shared" si="0"/>
        <v>CCP-SS_B</v>
      </c>
      <c r="N7" s="142" t="str">
        <f>LOOKUP(M7,'[2]Doc Set'!E:E,'[2]Doc Set'!F:F)</f>
        <v>_</v>
      </c>
      <c r="O7" s="141" t="s">
        <v>1159</v>
      </c>
      <c r="P7" s="142">
        <f>+LOOKUP(O7,'[2]Doc Set'!E:E,'[2]Doc Set'!G:G)</f>
        <v>43260</v>
      </c>
      <c r="Q7" s="55" t="str">
        <f t="shared" si="1"/>
        <v>CCP-SS_B</v>
      </c>
      <c r="R7" s="142">
        <f>+LOOKUP(Q7,'[2]Doc Set'!E:E,'[2]Doc Set'!H:H)</f>
        <v>43299</v>
      </c>
      <c r="S7" s="143" t="s">
        <v>200</v>
      </c>
    </row>
    <row r="8" spans="1:19" x14ac:dyDescent="0.3">
      <c r="A8" t="s">
        <v>40</v>
      </c>
      <c r="B8" t="s">
        <v>190</v>
      </c>
      <c r="C8" t="s">
        <v>191</v>
      </c>
      <c r="D8" s="165" t="s">
        <v>1156</v>
      </c>
      <c r="E8" t="s">
        <v>193</v>
      </c>
      <c r="F8" t="s">
        <v>194</v>
      </c>
      <c r="G8" t="s">
        <v>500</v>
      </c>
      <c r="H8" t="s">
        <v>1170</v>
      </c>
      <c r="I8" s="139" t="s">
        <v>51</v>
      </c>
      <c r="J8" s="159" t="s">
        <v>1171</v>
      </c>
      <c r="K8">
        <v>20038918</v>
      </c>
      <c r="L8" s="55" t="s">
        <v>198</v>
      </c>
      <c r="M8" s="141" t="s">
        <v>1159</v>
      </c>
      <c r="N8" s="142" t="str">
        <f>LOOKUP(M8,'[2]Doc Set'!E:E,'[2]Doc Set'!F:F)</f>
        <v>_</v>
      </c>
      <c r="O8" s="141" t="s">
        <v>1159</v>
      </c>
      <c r="P8" s="142">
        <f>+LOOKUP(O8,'[2]Doc Set'!E:E,'[2]Doc Set'!G:G)</f>
        <v>43260</v>
      </c>
      <c r="Q8" s="55" t="str">
        <f t="shared" si="1"/>
        <v>CCP-SS_B</v>
      </c>
      <c r="R8" s="142">
        <f>+LOOKUP(Q8,'[2]Doc Set'!E:E,'[2]Doc Set'!H:H)</f>
        <v>43299</v>
      </c>
      <c r="S8" s="143" t="s">
        <v>200</v>
      </c>
    </row>
    <row r="9" spans="1:19" x14ac:dyDescent="0.3">
      <c r="A9" t="s">
        <v>40</v>
      </c>
      <c r="B9" t="s">
        <v>190</v>
      </c>
      <c r="C9" t="s">
        <v>191</v>
      </c>
      <c r="D9" s="165" t="s">
        <v>1156</v>
      </c>
      <c r="E9" t="s">
        <v>193</v>
      </c>
      <c r="F9" t="s">
        <v>194</v>
      </c>
      <c r="G9" t="s">
        <v>497</v>
      </c>
      <c r="H9" t="s">
        <v>1172</v>
      </c>
      <c r="I9" s="139" t="s">
        <v>51</v>
      </c>
      <c r="J9" s="159" t="s">
        <v>1173</v>
      </c>
      <c r="K9">
        <v>20038918</v>
      </c>
      <c r="L9" s="55" t="s">
        <v>198</v>
      </c>
      <c r="M9" s="141" t="str">
        <f>+O9</f>
        <v>CCP-SS_B</v>
      </c>
      <c r="N9" s="142" t="str">
        <f>LOOKUP(M9,'[2]Doc Set'!E:E,'[2]Doc Set'!F:F)</f>
        <v>_</v>
      </c>
      <c r="O9" s="141" t="s">
        <v>1159</v>
      </c>
      <c r="P9" s="142">
        <f>+LOOKUP(O9,'[2]Doc Set'!E:E,'[2]Doc Set'!G:G)</f>
        <v>43260</v>
      </c>
      <c r="Q9" s="55" t="str">
        <f t="shared" si="1"/>
        <v>CCP-SS_B</v>
      </c>
      <c r="R9" s="142">
        <f>+LOOKUP(Q9,'[2]Doc Set'!E:E,'[2]Doc Set'!H:H)</f>
        <v>43299</v>
      </c>
      <c r="S9" s="143" t="s">
        <v>200</v>
      </c>
    </row>
    <row r="10" spans="1:19" x14ac:dyDescent="0.3">
      <c r="A10" t="s">
        <v>40</v>
      </c>
      <c r="B10" t="s">
        <v>190</v>
      </c>
      <c r="C10" t="s">
        <v>191</v>
      </c>
      <c r="D10" s="165" t="s">
        <v>1156</v>
      </c>
      <c r="E10" t="s">
        <v>193</v>
      </c>
      <c r="F10" t="s">
        <v>194</v>
      </c>
      <c r="G10" t="s">
        <v>494</v>
      </c>
      <c r="H10" t="s">
        <v>1174</v>
      </c>
      <c r="I10" s="139" t="s">
        <v>51</v>
      </c>
      <c r="J10" s="159" t="s">
        <v>1175</v>
      </c>
      <c r="K10">
        <v>20038918</v>
      </c>
      <c r="L10" s="55" t="s">
        <v>198</v>
      </c>
      <c r="M10" s="141" t="str">
        <f>+O10</f>
        <v>CCP-SS_B</v>
      </c>
      <c r="N10" s="142" t="str">
        <f>LOOKUP(M10,'[2]Doc Set'!E:E,'[2]Doc Set'!F:F)</f>
        <v>_</v>
      </c>
      <c r="O10" s="141" t="s">
        <v>1159</v>
      </c>
      <c r="P10" s="142">
        <f>+LOOKUP(O10,'[2]Doc Set'!E:E,'[2]Doc Set'!G:G)</f>
        <v>43260</v>
      </c>
      <c r="Q10" s="55" t="str">
        <f t="shared" si="1"/>
        <v>CCP-SS_B</v>
      </c>
      <c r="R10" s="142">
        <f>+LOOKUP(Q10,'[2]Doc Set'!E:E,'[2]Doc Set'!H:H)</f>
        <v>43299</v>
      </c>
      <c r="S10" s="143" t="s">
        <v>200</v>
      </c>
    </row>
    <row r="11" spans="1:19" x14ac:dyDescent="0.3">
      <c r="A11" t="s">
        <v>40</v>
      </c>
      <c r="B11" t="s">
        <v>190</v>
      </c>
      <c r="C11" t="s">
        <v>191</v>
      </c>
      <c r="D11" s="165" t="s">
        <v>1156</v>
      </c>
      <c r="E11" t="s">
        <v>193</v>
      </c>
      <c r="F11" t="s">
        <v>663</v>
      </c>
      <c r="G11" t="s">
        <v>673</v>
      </c>
      <c r="H11" t="s">
        <v>1176</v>
      </c>
      <c r="I11" s="139" t="s">
        <v>134</v>
      </c>
      <c r="J11" s="159" t="s">
        <v>1177</v>
      </c>
      <c r="K11">
        <v>20038918</v>
      </c>
      <c r="L11" s="55" t="s">
        <v>198</v>
      </c>
      <c r="M11" s="141" t="str">
        <f>+O11</f>
        <v>CCP-SS_B</v>
      </c>
      <c r="N11" s="142" t="str">
        <f>LOOKUP(M11,'[2]Doc Set'!E:E,'[2]Doc Set'!F:F)</f>
        <v>_</v>
      </c>
      <c r="O11" s="141" t="s">
        <v>1159</v>
      </c>
      <c r="P11" s="142">
        <f>+LOOKUP(O11,'[2]Doc Set'!E:E,'[2]Doc Set'!G:G)</f>
        <v>43260</v>
      </c>
      <c r="Q11" s="55" t="str">
        <f t="shared" si="1"/>
        <v>CCP-SS_B</v>
      </c>
      <c r="R11" s="142">
        <f>+LOOKUP(Q11,'[2]Doc Set'!E:E,'[2]Doc Set'!H:H)</f>
        <v>43299</v>
      </c>
      <c r="S11" s="143" t="s">
        <v>200</v>
      </c>
    </row>
    <row r="12" spans="1:19" x14ac:dyDescent="0.3">
      <c r="A12" t="s">
        <v>40</v>
      </c>
      <c r="B12" t="s">
        <v>190</v>
      </c>
      <c r="C12" t="s">
        <v>191</v>
      </c>
      <c r="D12" s="165" t="s">
        <v>1156</v>
      </c>
      <c r="E12" t="s">
        <v>193</v>
      </c>
      <c r="F12" t="s">
        <v>663</v>
      </c>
      <c r="G12" t="s">
        <v>679</v>
      </c>
      <c r="H12" t="s">
        <v>1178</v>
      </c>
      <c r="I12" s="139" t="s">
        <v>134</v>
      </c>
      <c r="J12" s="159" t="s">
        <v>1179</v>
      </c>
      <c r="K12">
        <v>20038918</v>
      </c>
      <c r="L12" s="55" t="s">
        <v>198</v>
      </c>
      <c r="M12" s="141" t="str">
        <f>+O12</f>
        <v>CCP-SS_B</v>
      </c>
      <c r="N12" s="142" t="str">
        <f>LOOKUP(M12,'[2]Doc Set'!E:E,'[2]Doc Set'!F:F)</f>
        <v>_</v>
      </c>
      <c r="O12" s="141" t="s">
        <v>1159</v>
      </c>
      <c r="P12" s="142">
        <f>+LOOKUP(O12,'[2]Doc Set'!E:E,'[2]Doc Set'!G:G)</f>
        <v>43260</v>
      </c>
      <c r="Q12" s="55" t="str">
        <f t="shared" si="1"/>
        <v>CCP-SS_B</v>
      </c>
      <c r="R12" s="142">
        <f>+LOOKUP(Q12,'[2]Doc Set'!E:E,'[2]Doc Set'!H:H)</f>
        <v>43299</v>
      </c>
      <c r="S12" s="143" t="s">
        <v>200</v>
      </c>
    </row>
    <row r="13" spans="1:19" x14ac:dyDescent="0.3">
      <c r="A13" t="s">
        <v>40</v>
      </c>
      <c r="B13" t="s">
        <v>190</v>
      </c>
      <c r="C13" t="s">
        <v>191</v>
      </c>
      <c r="D13" s="165" t="s">
        <v>1156</v>
      </c>
      <c r="E13" t="s">
        <v>193</v>
      </c>
      <c r="F13" t="s">
        <v>663</v>
      </c>
      <c r="G13" t="s">
        <v>682</v>
      </c>
      <c r="H13" t="s">
        <v>1180</v>
      </c>
      <c r="I13" s="139" t="s">
        <v>134</v>
      </c>
      <c r="J13" s="159" t="s">
        <v>1181</v>
      </c>
      <c r="K13">
        <v>20038918</v>
      </c>
      <c r="L13" s="55" t="s">
        <v>198</v>
      </c>
      <c r="M13" s="141" t="str">
        <f>+O13</f>
        <v>CCP-SS_B</v>
      </c>
      <c r="N13" s="142" t="str">
        <f>LOOKUP(M13,'[2]Doc Set'!E:E,'[2]Doc Set'!F:F)</f>
        <v>_</v>
      </c>
      <c r="O13" s="141" t="s">
        <v>1159</v>
      </c>
      <c r="P13" s="142">
        <f>+LOOKUP(O13,'[2]Doc Set'!E:E,'[2]Doc Set'!G:G)</f>
        <v>43260</v>
      </c>
      <c r="Q13" s="55" t="str">
        <f t="shared" si="1"/>
        <v>CCP-SS_B</v>
      </c>
      <c r="R13" s="142">
        <f>+LOOKUP(Q13,'[2]Doc Set'!E:E,'[2]Doc Set'!H:H)</f>
        <v>43299</v>
      </c>
      <c r="S13" s="143" t="s">
        <v>200</v>
      </c>
    </row>
  </sheetData>
  <autoFilter ref="A1:S13"/>
  <conditionalFormatting sqref="G2:G13">
    <cfRule type="duplicateValues" dxfId="24" priority="5"/>
  </conditionalFormatting>
  <conditionalFormatting sqref="G2:G13">
    <cfRule type="duplicateValues" dxfId="23" priority="4"/>
  </conditionalFormatting>
  <conditionalFormatting sqref="G1:G1048576">
    <cfRule type="duplicateValues" dxfId="22" priority="2"/>
    <cfRule type="duplicateValues" dxfId="21" priority="3"/>
  </conditionalFormatting>
  <conditionalFormatting sqref="H1:H1048576">
    <cfRule type="duplicateValues" dxfId="20" priority="1"/>
  </conditionalFormatting>
  <dataValidations count="1">
    <dataValidation type="list" allowBlank="1" showInputMessage="1" showErrorMessage="1" sqref="O2:O13 M2:M13">
      <formula1>Document_Set_Name</formula1>
    </dataValidation>
  </dataValidations>
  <pageMargins left="0.7" right="0.7" top="0.75" bottom="0.75" header="0.3" footer="0.3"/>
  <pageSetup orientation="portrait" r:id="rId1"/>
  <headerFooter>
    <oddFooter>&amp;L&amp;1#&amp;"Calibri"&amp;8 Sensitivity: LNT Construction Internal Use</odd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S19"/>
  <sheetViews>
    <sheetView topLeftCell="D1" zoomScaleNormal="100" workbookViewId="0">
      <selection activeCell="H86" sqref="H86:H98"/>
    </sheetView>
  </sheetViews>
  <sheetFormatPr defaultRowHeight="14.4" x14ac:dyDescent="0.3"/>
  <cols>
    <col min="1" max="1" width="11.44140625" bestFit="1" customWidth="1"/>
    <col min="3" max="3" width="11.109375" bestFit="1" customWidth="1"/>
    <col min="4" max="4" width="11.33203125" style="155" bestFit="1" customWidth="1"/>
    <col min="5" max="5" width="10.5546875" bestFit="1" customWidth="1"/>
    <col min="6" max="6" width="8.5546875" bestFit="1" customWidth="1"/>
    <col min="8" max="8" width="22.5546875" bestFit="1" customWidth="1"/>
    <col min="10" max="10" width="56.5546875" bestFit="1" customWidth="1"/>
    <col min="11" max="11" width="11.6640625" customWidth="1"/>
    <col min="12" max="12" width="20.44140625" customWidth="1"/>
    <col min="15" max="15" width="9.109375" customWidth="1"/>
    <col min="16" max="16" width="12.5546875" bestFit="1" customWidth="1"/>
    <col min="17" max="17" width="0" hidden="1" customWidth="1"/>
    <col min="18" max="18" width="9.6640625" bestFit="1" customWidth="1"/>
    <col min="19" max="19" width="13.88671875" hidden="1" customWidth="1"/>
  </cols>
  <sheetData>
    <row r="1" spans="1:19" s="136" customFormat="1" x14ac:dyDescent="0.3">
      <c r="A1" s="136" t="s">
        <v>174</v>
      </c>
      <c r="B1" s="136" t="s">
        <v>175</v>
      </c>
      <c r="C1" s="136" t="s">
        <v>176</v>
      </c>
      <c r="D1" s="136" t="s">
        <v>177</v>
      </c>
      <c r="E1" s="136" t="s">
        <v>178</v>
      </c>
      <c r="F1" s="136" t="s">
        <v>179</v>
      </c>
      <c r="G1" s="136" t="s">
        <v>180</v>
      </c>
      <c r="H1" s="136" t="s">
        <v>181</v>
      </c>
      <c r="I1" s="136" t="s">
        <v>182</v>
      </c>
      <c r="J1" s="136" t="s">
        <v>183</v>
      </c>
      <c r="K1" s="136" t="s">
        <v>184</v>
      </c>
      <c r="L1" s="136" t="s">
        <v>185</v>
      </c>
      <c r="M1" s="136" t="s">
        <v>34</v>
      </c>
      <c r="N1" s="136" t="s">
        <v>186</v>
      </c>
      <c r="O1" s="160" t="s">
        <v>67</v>
      </c>
      <c r="P1" s="160" t="s">
        <v>187</v>
      </c>
      <c r="Q1" s="136" t="s">
        <v>133</v>
      </c>
      <c r="R1" s="136" t="s">
        <v>188</v>
      </c>
      <c r="S1" s="136" t="s">
        <v>189</v>
      </c>
    </row>
    <row r="2" spans="1:19" x14ac:dyDescent="0.3">
      <c r="A2" t="s">
        <v>40</v>
      </c>
      <c r="B2" t="s">
        <v>190</v>
      </c>
      <c r="C2" t="s">
        <v>191</v>
      </c>
      <c r="D2" s="165" t="s">
        <v>1114</v>
      </c>
      <c r="E2" t="s">
        <v>193</v>
      </c>
      <c r="F2" t="s">
        <v>194</v>
      </c>
      <c r="G2" t="s">
        <v>261</v>
      </c>
      <c r="H2" t="s">
        <v>1115</v>
      </c>
      <c r="I2" s="139" t="s">
        <v>51</v>
      </c>
      <c r="J2" s="159" t="s">
        <v>1116</v>
      </c>
      <c r="K2">
        <v>20038918</v>
      </c>
      <c r="L2" s="55" t="s">
        <v>198</v>
      </c>
      <c r="M2" s="141" t="str">
        <f>+O2</f>
        <v>EH3-SS_B</v>
      </c>
      <c r="N2" s="142" t="str">
        <f>LOOKUP(M2,'[2]Doc Set'!E:E,'[2]Doc Set'!F:F)</f>
        <v>_</v>
      </c>
      <c r="O2" s="141" t="s">
        <v>1117</v>
      </c>
      <c r="P2" s="142">
        <f>+LOOKUP(O2,'[2]Doc Set'!E:E,'[2]Doc Set'!G:G)</f>
        <v>43259</v>
      </c>
      <c r="Q2" s="55" t="str">
        <f>+O2</f>
        <v>EH3-SS_B</v>
      </c>
      <c r="R2" s="142">
        <f>+LOOKUP(Q2,'[2]Doc Set'!E:E,'[2]Doc Set'!H:H)</f>
        <v>43313</v>
      </c>
      <c r="S2" s="143" t="s">
        <v>200</v>
      </c>
    </row>
    <row r="3" spans="1:19" x14ac:dyDescent="0.3">
      <c r="A3" t="s">
        <v>40</v>
      </c>
      <c r="B3" t="s">
        <v>190</v>
      </c>
      <c r="C3" t="s">
        <v>191</v>
      </c>
      <c r="D3" s="165" t="s">
        <v>1114</v>
      </c>
      <c r="E3" t="s">
        <v>193</v>
      </c>
      <c r="F3" t="s">
        <v>194</v>
      </c>
      <c r="G3" t="s">
        <v>264</v>
      </c>
      <c r="H3" t="s">
        <v>1118</v>
      </c>
      <c r="I3" s="139" t="s">
        <v>51</v>
      </c>
      <c r="J3" s="159" t="s">
        <v>1119</v>
      </c>
      <c r="K3">
        <v>20038918</v>
      </c>
      <c r="L3" s="55" t="s">
        <v>198</v>
      </c>
      <c r="M3" s="141" t="str">
        <f t="shared" ref="M3:M19" si="0">+O3</f>
        <v>EH3-SS_B</v>
      </c>
      <c r="N3" s="142" t="str">
        <f>LOOKUP(M3,'[2]Doc Set'!E:E,'[2]Doc Set'!F:F)</f>
        <v>_</v>
      </c>
      <c r="O3" s="141" t="s">
        <v>1117</v>
      </c>
      <c r="P3" s="142">
        <f>+LOOKUP(O3,'[2]Doc Set'!E:E,'[2]Doc Set'!G:G)</f>
        <v>43259</v>
      </c>
      <c r="Q3" s="55" t="str">
        <f t="shared" ref="Q3:Q19" si="1">+O3</f>
        <v>EH3-SS_B</v>
      </c>
      <c r="R3" s="142">
        <f>+LOOKUP(Q3,'[2]Doc Set'!E:E,'[2]Doc Set'!H:H)</f>
        <v>43313</v>
      </c>
      <c r="S3" s="143" t="s">
        <v>200</v>
      </c>
    </row>
    <row r="4" spans="1:19" x14ac:dyDescent="0.3">
      <c r="A4" t="s">
        <v>40</v>
      </c>
      <c r="B4" t="s">
        <v>190</v>
      </c>
      <c r="C4" t="s">
        <v>191</v>
      </c>
      <c r="D4" s="165" t="s">
        <v>1114</v>
      </c>
      <c r="E4" t="s">
        <v>193</v>
      </c>
      <c r="F4" t="s">
        <v>194</v>
      </c>
      <c r="G4" t="s">
        <v>267</v>
      </c>
      <c r="H4" t="s">
        <v>1120</v>
      </c>
      <c r="I4" s="139" t="s">
        <v>51</v>
      </c>
      <c r="J4" s="159" t="s">
        <v>1121</v>
      </c>
      <c r="K4">
        <v>20038918</v>
      </c>
      <c r="L4" s="55" t="s">
        <v>198</v>
      </c>
      <c r="M4" s="141" t="str">
        <f t="shared" si="0"/>
        <v>EH3-SS_B</v>
      </c>
      <c r="N4" s="142" t="str">
        <f>LOOKUP(M4,'[2]Doc Set'!E:E,'[2]Doc Set'!F:F)</f>
        <v>_</v>
      </c>
      <c r="O4" s="141" t="s">
        <v>1117</v>
      </c>
      <c r="P4" s="142">
        <f>+LOOKUP(O4,'[2]Doc Set'!E:E,'[2]Doc Set'!G:G)</f>
        <v>43259</v>
      </c>
      <c r="Q4" s="55" t="str">
        <f t="shared" si="1"/>
        <v>EH3-SS_B</v>
      </c>
      <c r="R4" s="142">
        <f>+LOOKUP(Q4,'[2]Doc Set'!E:E,'[2]Doc Set'!H:H)</f>
        <v>43313</v>
      </c>
      <c r="S4" s="143" t="s">
        <v>200</v>
      </c>
    </row>
    <row r="5" spans="1:19" x14ac:dyDescent="0.3">
      <c r="A5" t="s">
        <v>40</v>
      </c>
      <c r="B5" t="s">
        <v>190</v>
      </c>
      <c r="C5" t="s">
        <v>191</v>
      </c>
      <c r="D5" s="165" t="s">
        <v>1114</v>
      </c>
      <c r="E5" t="s">
        <v>193</v>
      </c>
      <c r="F5" t="s">
        <v>194</v>
      </c>
      <c r="G5" t="s">
        <v>270</v>
      </c>
      <c r="H5" t="s">
        <v>1122</v>
      </c>
      <c r="I5" s="139" t="s">
        <v>51</v>
      </c>
      <c r="J5" s="159" t="s">
        <v>1123</v>
      </c>
      <c r="K5">
        <v>20038918</v>
      </c>
      <c r="L5" s="55" t="s">
        <v>198</v>
      </c>
      <c r="M5" s="141" t="str">
        <f t="shared" si="0"/>
        <v>EH3-SS_B</v>
      </c>
      <c r="N5" s="142" t="str">
        <f>LOOKUP(M5,'[2]Doc Set'!E:E,'[2]Doc Set'!F:F)</f>
        <v>_</v>
      </c>
      <c r="O5" s="141" t="s">
        <v>1117</v>
      </c>
      <c r="P5" s="142">
        <f>+LOOKUP(O5,'[2]Doc Set'!E:E,'[2]Doc Set'!G:G)</f>
        <v>43259</v>
      </c>
      <c r="Q5" s="55" t="str">
        <f t="shared" si="1"/>
        <v>EH3-SS_B</v>
      </c>
      <c r="R5" s="142">
        <f>+LOOKUP(Q5,'[2]Doc Set'!E:E,'[2]Doc Set'!H:H)</f>
        <v>43313</v>
      </c>
      <c r="S5" s="143" t="s">
        <v>200</v>
      </c>
    </row>
    <row r="6" spans="1:19" x14ac:dyDescent="0.3">
      <c r="A6" t="s">
        <v>40</v>
      </c>
      <c r="B6" t="s">
        <v>190</v>
      </c>
      <c r="C6" t="s">
        <v>191</v>
      </c>
      <c r="D6" s="165" t="s">
        <v>1114</v>
      </c>
      <c r="E6" t="s">
        <v>193</v>
      </c>
      <c r="F6" t="s">
        <v>194</v>
      </c>
      <c r="G6" t="s">
        <v>273</v>
      </c>
      <c r="H6" t="s">
        <v>1124</v>
      </c>
      <c r="I6" s="139" t="s">
        <v>51</v>
      </c>
      <c r="J6" s="159" t="s">
        <v>1125</v>
      </c>
      <c r="K6">
        <v>20038918</v>
      </c>
      <c r="L6" s="55" t="s">
        <v>198</v>
      </c>
      <c r="M6" s="141" t="str">
        <f t="shared" si="0"/>
        <v>EH3-SS_B</v>
      </c>
      <c r="N6" s="142" t="str">
        <f>LOOKUP(M6,'[2]Doc Set'!E:E,'[2]Doc Set'!F:F)</f>
        <v>_</v>
      </c>
      <c r="O6" s="141" t="s">
        <v>1117</v>
      </c>
      <c r="P6" s="142">
        <f>+LOOKUP(O6,'[2]Doc Set'!E:E,'[2]Doc Set'!G:G)</f>
        <v>43259</v>
      </c>
      <c r="Q6" s="55" t="str">
        <f t="shared" si="1"/>
        <v>EH3-SS_B</v>
      </c>
      <c r="R6" s="142">
        <f>+LOOKUP(Q6,'[2]Doc Set'!E:E,'[2]Doc Set'!H:H)</f>
        <v>43313</v>
      </c>
      <c r="S6" s="143" t="s">
        <v>200</v>
      </c>
    </row>
    <row r="7" spans="1:19" x14ac:dyDescent="0.3">
      <c r="A7" t="s">
        <v>40</v>
      </c>
      <c r="B7" t="s">
        <v>190</v>
      </c>
      <c r="C7" t="s">
        <v>191</v>
      </c>
      <c r="D7" s="165" t="s">
        <v>1114</v>
      </c>
      <c r="E7" t="s">
        <v>193</v>
      </c>
      <c r="F7" t="s">
        <v>194</v>
      </c>
      <c r="G7" t="s">
        <v>276</v>
      </c>
      <c r="H7" t="s">
        <v>1126</v>
      </c>
      <c r="I7" s="139" t="s">
        <v>51</v>
      </c>
      <c r="J7" s="159" t="s">
        <v>1127</v>
      </c>
      <c r="K7">
        <v>20038918</v>
      </c>
      <c r="L7" s="55" t="s">
        <v>198</v>
      </c>
      <c r="M7" s="141" t="str">
        <f t="shared" si="0"/>
        <v>EH3-SS_B</v>
      </c>
      <c r="N7" s="142" t="str">
        <f>LOOKUP(M7,'[2]Doc Set'!E:E,'[2]Doc Set'!F:F)</f>
        <v>_</v>
      </c>
      <c r="O7" s="141" t="s">
        <v>1117</v>
      </c>
      <c r="P7" s="142">
        <f>+LOOKUP(O7,'[2]Doc Set'!E:E,'[2]Doc Set'!G:G)</f>
        <v>43259</v>
      </c>
      <c r="Q7" s="55" t="str">
        <f t="shared" si="1"/>
        <v>EH3-SS_B</v>
      </c>
      <c r="R7" s="142">
        <f>+LOOKUP(Q7,'[2]Doc Set'!E:E,'[2]Doc Set'!H:H)</f>
        <v>43313</v>
      </c>
      <c r="S7" s="143" t="s">
        <v>200</v>
      </c>
    </row>
    <row r="8" spans="1:19" x14ac:dyDescent="0.3">
      <c r="A8" t="s">
        <v>40</v>
      </c>
      <c r="B8" t="s">
        <v>190</v>
      </c>
      <c r="C8" t="s">
        <v>191</v>
      </c>
      <c r="D8" s="165" t="s">
        <v>1114</v>
      </c>
      <c r="E8" t="s">
        <v>193</v>
      </c>
      <c r="F8" t="s">
        <v>194</v>
      </c>
      <c r="G8" t="s">
        <v>494</v>
      </c>
      <c r="H8" t="s">
        <v>1128</v>
      </c>
      <c r="I8" s="139" t="s">
        <v>51</v>
      </c>
      <c r="J8" s="159" t="s">
        <v>1129</v>
      </c>
      <c r="K8">
        <v>20038918</v>
      </c>
      <c r="L8" s="55" t="s">
        <v>198</v>
      </c>
      <c r="M8" s="141" t="str">
        <f t="shared" si="0"/>
        <v>EH3-SS_B</v>
      </c>
      <c r="N8" s="142" t="str">
        <f>LOOKUP(M8,'[2]Doc Set'!E:E,'[2]Doc Set'!F:F)</f>
        <v>_</v>
      </c>
      <c r="O8" s="141" t="s">
        <v>1117</v>
      </c>
      <c r="P8" s="142">
        <f>+LOOKUP(O8,'[2]Doc Set'!E:E,'[2]Doc Set'!G:G)</f>
        <v>43259</v>
      </c>
      <c r="Q8" s="55" t="str">
        <f t="shared" si="1"/>
        <v>EH3-SS_B</v>
      </c>
      <c r="R8" s="142">
        <f>+LOOKUP(Q8,'[2]Doc Set'!E:E,'[2]Doc Set'!H:H)</f>
        <v>43313</v>
      </c>
      <c r="S8" s="143" t="s">
        <v>200</v>
      </c>
    </row>
    <row r="9" spans="1:19" x14ac:dyDescent="0.3">
      <c r="A9" t="s">
        <v>40</v>
      </c>
      <c r="B9" t="s">
        <v>190</v>
      </c>
      <c r="C9" t="s">
        <v>191</v>
      </c>
      <c r="D9" s="165" t="s">
        <v>1114</v>
      </c>
      <c r="E9" t="s">
        <v>193</v>
      </c>
      <c r="F9" t="s">
        <v>194</v>
      </c>
      <c r="G9" t="s">
        <v>282</v>
      </c>
      <c r="H9" t="s">
        <v>1130</v>
      </c>
      <c r="I9" s="139" t="s">
        <v>51</v>
      </c>
      <c r="J9" s="159" t="s">
        <v>1131</v>
      </c>
      <c r="K9">
        <v>20038918</v>
      </c>
      <c r="L9" s="55" t="s">
        <v>198</v>
      </c>
      <c r="M9" s="141" t="str">
        <f t="shared" si="0"/>
        <v>EH3-SS_B</v>
      </c>
      <c r="N9" s="142" t="str">
        <f>LOOKUP(M9,'[2]Doc Set'!E:E,'[2]Doc Set'!F:F)</f>
        <v>_</v>
      </c>
      <c r="O9" s="141" t="s">
        <v>1117</v>
      </c>
      <c r="P9" s="142">
        <f>+LOOKUP(O9,'[2]Doc Set'!E:E,'[2]Doc Set'!G:G)</f>
        <v>43259</v>
      </c>
      <c r="Q9" s="55" t="str">
        <f t="shared" si="1"/>
        <v>EH3-SS_B</v>
      </c>
      <c r="R9" s="142">
        <f>+LOOKUP(Q9,'[2]Doc Set'!E:E,'[2]Doc Set'!H:H)</f>
        <v>43313</v>
      </c>
      <c r="S9" s="143" t="s">
        <v>200</v>
      </c>
    </row>
    <row r="10" spans="1:19" x14ac:dyDescent="0.3">
      <c r="A10" t="s">
        <v>40</v>
      </c>
      <c r="B10" t="s">
        <v>190</v>
      </c>
      <c r="C10" t="s">
        <v>191</v>
      </c>
      <c r="D10" s="165" t="s">
        <v>1114</v>
      </c>
      <c r="E10" t="s">
        <v>193</v>
      </c>
      <c r="F10" t="s">
        <v>194</v>
      </c>
      <c r="G10" t="s">
        <v>285</v>
      </c>
      <c r="H10" t="s">
        <v>1132</v>
      </c>
      <c r="I10" s="139" t="s">
        <v>51</v>
      </c>
      <c r="J10" s="159" t="s">
        <v>1133</v>
      </c>
      <c r="K10">
        <v>20038918</v>
      </c>
      <c r="L10" s="55" t="s">
        <v>198</v>
      </c>
      <c r="M10" s="141" t="str">
        <f t="shared" si="0"/>
        <v>EH3-SS_B</v>
      </c>
      <c r="N10" s="142" t="str">
        <f>LOOKUP(M10,'[2]Doc Set'!E:E,'[2]Doc Set'!F:F)</f>
        <v>_</v>
      </c>
      <c r="O10" s="141" t="s">
        <v>1117</v>
      </c>
      <c r="P10" s="142">
        <f>+LOOKUP(O10,'[2]Doc Set'!E:E,'[2]Doc Set'!G:G)</f>
        <v>43259</v>
      </c>
      <c r="Q10" s="55" t="str">
        <f t="shared" si="1"/>
        <v>EH3-SS_B</v>
      </c>
      <c r="R10" s="142">
        <f>+LOOKUP(Q10,'[2]Doc Set'!E:E,'[2]Doc Set'!H:H)</f>
        <v>43313</v>
      </c>
      <c r="S10" s="143" t="s">
        <v>200</v>
      </c>
    </row>
    <row r="11" spans="1:19" x14ac:dyDescent="0.3">
      <c r="A11" t="s">
        <v>40</v>
      </c>
      <c r="B11" t="s">
        <v>190</v>
      </c>
      <c r="C11" t="s">
        <v>191</v>
      </c>
      <c r="D11" s="165" t="s">
        <v>1114</v>
      </c>
      <c r="E11" t="s">
        <v>193</v>
      </c>
      <c r="F11" t="s">
        <v>194</v>
      </c>
      <c r="G11" t="s">
        <v>288</v>
      </c>
      <c r="H11" t="s">
        <v>1134</v>
      </c>
      <c r="I11" s="139" t="s">
        <v>51</v>
      </c>
      <c r="J11" s="159" t="s">
        <v>1135</v>
      </c>
      <c r="K11">
        <v>20038918</v>
      </c>
      <c r="L11" s="55" t="s">
        <v>198</v>
      </c>
      <c r="M11" s="141" t="str">
        <f t="shared" si="0"/>
        <v>EH3-SS_B</v>
      </c>
      <c r="N11" s="142" t="str">
        <f>LOOKUP(M11,'[2]Doc Set'!E:E,'[2]Doc Set'!F:F)</f>
        <v>_</v>
      </c>
      <c r="O11" s="141" t="s">
        <v>1117</v>
      </c>
      <c r="P11" s="142">
        <f>+LOOKUP(O11,'[2]Doc Set'!E:E,'[2]Doc Set'!G:G)</f>
        <v>43259</v>
      </c>
      <c r="Q11" s="55" t="str">
        <f t="shared" si="1"/>
        <v>EH3-SS_B</v>
      </c>
      <c r="R11" s="142">
        <f>+LOOKUP(Q11,'[2]Doc Set'!E:E,'[2]Doc Set'!H:H)</f>
        <v>43313</v>
      </c>
      <c r="S11" s="143" t="s">
        <v>200</v>
      </c>
    </row>
    <row r="12" spans="1:19" x14ac:dyDescent="0.3">
      <c r="A12" t="s">
        <v>40</v>
      </c>
      <c r="B12" t="s">
        <v>190</v>
      </c>
      <c r="C12" t="s">
        <v>191</v>
      </c>
      <c r="D12" s="165" t="s">
        <v>1114</v>
      </c>
      <c r="E12" t="s">
        <v>193</v>
      </c>
      <c r="F12" t="s">
        <v>194</v>
      </c>
      <c r="G12" t="s">
        <v>291</v>
      </c>
      <c r="H12" t="s">
        <v>1136</v>
      </c>
      <c r="I12" s="139" t="s">
        <v>51</v>
      </c>
      <c r="J12" s="159" t="s">
        <v>1137</v>
      </c>
      <c r="K12">
        <v>20038918</v>
      </c>
      <c r="L12" s="55" t="s">
        <v>198</v>
      </c>
      <c r="M12" s="141" t="str">
        <f t="shared" si="0"/>
        <v>EH3-SS_B</v>
      </c>
      <c r="N12" s="142" t="str">
        <f>LOOKUP(M12,'[2]Doc Set'!E:E,'[2]Doc Set'!F:F)</f>
        <v>_</v>
      </c>
      <c r="O12" s="141" t="s">
        <v>1117</v>
      </c>
      <c r="P12" s="142">
        <f>+LOOKUP(O12,'[2]Doc Set'!E:E,'[2]Doc Set'!G:G)</f>
        <v>43259</v>
      </c>
      <c r="Q12" s="55" t="str">
        <f t="shared" si="1"/>
        <v>EH3-SS_B</v>
      </c>
      <c r="R12" s="142">
        <f>+LOOKUP(Q12,'[2]Doc Set'!E:E,'[2]Doc Set'!H:H)</f>
        <v>43313</v>
      </c>
      <c r="S12" s="143" t="s">
        <v>200</v>
      </c>
    </row>
    <row r="13" spans="1:19" x14ac:dyDescent="0.3">
      <c r="A13" t="s">
        <v>40</v>
      </c>
      <c r="B13" t="s">
        <v>190</v>
      </c>
      <c r="C13" t="s">
        <v>191</v>
      </c>
      <c r="D13" s="165" t="s">
        <v>1114</v>
      </c>
      <c r="E13" t="s">
        <v>193</v>
      </c>
      <c r="F13" t="s">
        <v>194</v>
      </c>
      <c r="G13" t="s">
        <v>294</v>
      </c>
      <c r="H13" t="s">
        <v>1138</v>
      </c>
      <c r="I13" s="139" t="s">
        <v>51</v>
      </c>
      <c r="J13" s="159" t="s">
        <v>1139</v>
      </c>
      <c r="K13">
        <v>20038918</v>
      </c>
      <c r="L13" s="55" t="s">
        <v>198</v>
      </c>
      <c r="M13" s="141" t="str">
        <f t="shared" si="0"/>
        <v>EH3-SS_B</v>
      </c>
      <c r="N13" s="142" t="str">
        <f>LOOKUP(M13,'[2]Doc Set'!E:E,'[2]Doc Set'!F:F)</f>
        <v>_</v>
      </c>
      <c r="O13" s="141" t="s">
        <v>1117</v>
      </c>
      <c r="P13" s="142">
        <f>+LOOKUP(O13,'[2]Doc Set'!E:E,'[2]Doc Set'!G:G)</f>
        <v>43259</v>
      </c>
      <c r="Q13" s="55" t="str">
        <f t="shared" si="1"/>
        <v>EH3-SS_B</v>
      </c>
      <c r="R13" s="142">
        <f>+LOOKUP(Q13,'[2]Doc Set'!E:E,'[2]Doc Set'!H:H)</f>
        <v>43313</v>
      </c>
      <c r="S13" s="143" t="s">
        <v>200</v>
      </c>
    </row>
    <row r="14" spans="1:19" x14ac:dyDescent="0.3">
      <c r="A14" t="s">
        <v>40</v>
      </c>
      <c r="B14" t="s">
        <v>190</v>
      </c>
      <c r="C14" t="s">
        <v>191</v>
      </c>
      <c r="D14" s="165" t="s">
        <v>1114</v>
      </c>
      <c r="E14" t="s">
        <v>193</v>
      </c>
      <c r="F14" t="s">
        <v>194</v>
      </c>
      <c r="G14" t="s">
        <v>297</v>
      </c>
      <c r="H14" t="s">
        <v>1140</v>
      </c>
      <c r="I14" s="139" t="s">
        <v>51</v>
      </c>
      <c r="J14" s="159" t="s">
        <v>1141</v>
      </c>
      <c r="K14">
        <v>20038918</v>
      </c>
      <c r="L14" s="55" t="s">
        <v>198</v>
      </c>
      <c r="M14" s="141" t="str">
        <f t="shared" si="0"/>
        <v>EH3-SS_B</v>
      </c>
      <c r="N14" s="142" t="str">
        <f>LOOKUP(M14,'[2]Doc Set'!E:E,'[2]Doc Set'!F:F)</f>
        <v>_</v>
      </c>
      <c r="O14" s="141" t="s">
        <v>1117</v>
      </c>
      <c r="P14" s="142">
        <f>+LOOKUP(O14,'[2]Doc Set'!E:E,'[2]Doc Set'!G:G)</f>
        <v>43259</v>
      </c>
      <c r="Q14" s="55" t="str">
        <f t="shared" si="1"/>
        <v>EH3-SS_B</v>
      </c>
      <c r="R14" s="142">
        <f>+LOOKUP(Q14,'[2]Doc Set'!E:E,'[2]Doc Set'!H:H)</f>
        <v>43313</v>
      </c>
      <c r="S14" s="143" t="s">
        <v>200</v>
      </c>
    </row>
    <row r="15" spans="1:19" x14ac:dyDescent="0.3">
      <c r="A15" t="s">
        <v>40</v>
      </c>
      <c r="B15" t="s">
        <v>190</v>
      </c>
      <c r="C15" t="s">
        <v>191</v>
      </c>
      <c r="D15" s="165" t="s">
        <v>1114</v>
      </c>
      <c r="E15" t="s">
        <v>193</v>
      </c>
      <c r="F15" t="s">
        <v>194</v>
      </c>
      <c r="G15" t="s">
        <v>497</v>
      </c>
      <c r="H15" t="s">
        <v>1142</v>
      </c>
      <c r="I15" s="139" t="s">
        <v>51</v>
      </c>
      <c r="J15" s="159" t="s">
        <v>1143</v>
      </c>
      <c r="K15">
        <v>20038918</v>
      </c>
      <c r="L15" s="55" t="s">
        <v>198</v>
      </c>
      <c r="M15" s="141" t="str">
        <f t="shared" si="0"/>
        <v>EH3-SS_B</v>
      </c>
      <c r="N15" s="142" t="str">
        <f>LOOKUP(M15,'[2]Doc Set'!E:E,'[2]Doc Set'!F:F)</f>
        <v>_</v>
      </c>
      <c r="O15" s="141" t="s">
        <v>1117</v>
      </c>
      <c r="P15" s="142">
        <f>+LOOKUP(O15,'[2]Doc Set'!E:E,'[2]Doc Set'!G:G)</f>
        <v>43259</v>
      </c>
      <c r="Q15" s="55" t="str">
        <f t="shared" si="1"/>
        <v>EH3-SS_B</v>
      </c>
      <c r="R15" s="142">
        <f>+LOOKUP(Q15,'[2]Doc Set'!E:E,'[2]Doc Set'!H:H)</f>
        <v>43313</v>
      </c>
      <c r="S15" s="143" t="s">
        <v>200</v>
      </c>
    </row>
    <row r="16" spans="1:19" x14ac:dyDescent="0.3">
      <c r="A16" t="s">
        <v>40</v>
      </c>
      <c r="B16" t="s">
        <v>190</v>
      </c>
      <c r="C16" t="s">
        <v>191</v>
      </c>
      <c r="D16" s="165" t="s">
        <v>1114</v>
      </c>
      <c r="E16" t="s">
        <v>193</v>
      </c>
      <c r="F16" t="s">
        <v>663</v>
      </c>
      <c r="G16" t="s">
        <v>1144</v>
      </c>
      <c r="H16" t="s">
        <v>1145</v>
      </c>
      <c r="I16" s="154" t="s">
        <v>134</v>
      </c>
      <c r="J16" s="159" t="s">
        <v>1146</v>
      </c>
      <c r="K16">
        <v>20038918</v>
      </c>
      <c r="L16" s="55" t="s">
        <v>198</v>
      </c>
      <c r="M16" s="141" t="str">
        <f t="shared" si="0"/>
        <v>EH3-SS_B</v>
      </c>
      <c r="N16" s="142" t="str">
        <f>LOOKUP(M16,'[2]Doc Set'!E:E,'[2]Doc Set'!F:F)</f>
        <v>_</v>
      </c>
      <c r="O16" s="141" t="s">
        <v>1117</v>
      </c>
      <c r="P16" s="142">
        <f>+LOOKUP(O16,'[2]Doc Set'!E:E,'[2]Doc Set'!G:G)</f>
        <v>43259</v>
      </c>
      <c r="Q16" s="55" t="str">
        <f t="shared" si="1"/>
        <v>EH3-SS_B</v>
      </c>
      <c r="R16" s="142">
        <f>+LOOKUP(Q16,'[2]Doc Set'!E:E,'[2]Doc Set'!H:H)</f>
        <v>43313</v>
      </c>
      <c r="S16" s="143" t="s">
        <v>200</v>
      </c>
    </row>
    <row r="17" spans="1:19" x14ac:dyDescent="0.3">
      <c r="A17" t="s">
        <v>40</v>
      </c>
      <c r="B17" t="s">
        <v>190</v>
      </c>
      <c r="C17" t="s">
        <v>191</v>
      </c>
      <c r="D17" s="165" t="s">
        <v>1114</v>
      </c>
      <c r="E17" t="s">
        <v>193</v>
      </c>
      <c r="F17" t="s">
        <v>663</v>
      </c>
      <c r="G17" t="s">
        <v>1147</v>
      </c>
      <c r="H17" t="s">
        <v>1148</v>
      </c>
      <c r="I17" s="154" t="s">
        <v>134</v>
      </c>
      <c r="J17" s="159" t="s">
        <v>1149</v>
      </c>
      <c r="K17">
        <v>20038918</v>
      </c>
      <c r="L17" s="55" t="s">
        <v>198</v>
      </c>
      <c r="M17" s="141" t="str">
        <f t="shared" si="0"/>
        <v>EH3-SS_B</v>
      </c>
      <c r="N17" s="142" t="str">
        <f>LOOKUP(M17,'[2]Doc Set'!E:E,'[2]Doc Set'!F:F)</f>
        <v>_</v>
      </c>
      <c r="O17" s="141" t="s">
        <v>1117</v>
      </c>
      <c r="P17" s="142">
        <f>+LOOKUP(O17,'[2]Doc Set'!E:E,'[2]Doc Set'!G:G)</f>
        <v>43259</v>
      </c>
      <c r="Q17" s="55" t="str">
        <f t="shared" si="1"/>
        <v>EH3-SS_B</v>
      </c>
      <c r="R17" s="142">
        <f>+LOOKUP(Q17,'[2]Doc Set'!E:E,'[2]Doc Set'!H:H)</f>
        <v>43313</v>
      </c>
      <c r="S17" s="143" t="s">
        <v>200</v>
      </c>
    </row>
    <row r="18" spans="1:19" x14ac:dyDescent="0.3">
      <c r="A18" t="s">
        <v>40</v>
      </c>
      <c r="B18" t="s">
        <v>190</v>
      </c>
      <c r="C18" t="s">
        <v>191</v>
      </c>
      <c r="D18" s="165" t="s">
        <v>1114</v>
      </c>
      <c r="E18" t="s">
        <v>193</v>
      </c>
      <c r="F18" t="s">
        <v>663</v>
      </c>
      <c r="G18" t="s">
        <v>1150</v>
      </c>
      <c r="H18" t="s">
        <v>1151</v>
      </c>
      <c r="I18" s="154" t="s">
        <v>134</v>
      </c>
      <c r="J18" s="159" t="s">
        <v>1152</v>
      </c>
      <c r="K18">
        <v>20038918</v>
      </c>
      <c r="L18" s="55" t="s">
        <v>198</v>
      </c>
      <c r="M18" s="141" t="str">
        <f t="shared" si="0"/>
        <v>EH3-SS_B</v>
      </c>
      <c r="N18" s="142" t="str">
        <f>LOOKUP(M18,'[2]Doc Set'!E:E,'[2]Doc Set'!F:F)</f>
        <v>_</v>
      </c>
      <c r="O18" s="141" t="s">
        <v>1117</v>
      </c>
      <c r="P18" s="142">
        <f>+LOOKUP(O18,'[2]Doc Set'!E:E,'[2]Doc Set'!G:G)</f>
        <v>43259</v>
      </c>
      <c r="Q18" s="55" t="str">
        <f t="shared" si="1"/>
        <v>EH3-SS_B</v>
      </c>
      <c r="R18" s="142">
        <f>+LOOKUP(Q18,'[2]Doc Set'!E:E,'[2]Doc Set'!H:H)</f>
        <v>43313</v>
      </c>
      <c r="S18" s="143" t="s">
        <v>200</v>
      </c>
    </row>
    <row r="19" spans="1:19" x14ac:dyDescent="0.3">
      <c r="A19" t="s">
        <v>40</v>
      </c>
      <c r="B19" t="s">
        <v>190</v>
      </c>
      <c r="C19" t="s">
        <v>191</v>
      </c>
      <c r="D19" s="165" t="s">
        <v>1114</v>
      </c>
      <c r="E19" t="s">
        <v>193</v>
      </c>
      <c r="F19" t="s">
        <v>663</v>
      </c>
      <c r="G19" t="s">
        <v>1153</v>
      </c>
      <c r="H19" t="s">
        <v>1154</v>
      </c>
      <c r="I19" s="154" t="s">
        <v>134</v>
      </c>
      <c r="J19" s="159" t="s">
        <v>1155</v>
      </c>
      <c r="K19">
        <v>20038918</v>
      </c>
      <c r="L19" s="55" t="s">
        <v>198</v>
      </c>
      <c r="M19" s="141" t="str">
        <f t="shared" si="0"/>
        <v>EH3-SS_B</v>
      </c>
      <c r="N19" s="142" t="str">
        <f>LOOKUP(M19,'[2]Doc Set'!E:E,'[2]Doc Set'!F:F)</f>
        <v>_</v>
      </c>
      <c r="O19" s="141" t="s">
        <v>1117</v>
      </c>
      <c r="P19" s="142">
        <f>+LOOKUP(O19,'[2]Doc Set'!E:E,'[2]Doc Set'!G:G)</f>
        <v>43259</v>
      </c>
      <c r="Q19" s="55" t="str">
        <f t="shared" si="1"/>
        <v>EH3-SS_B</v>
      </c>
      <c r="R19" s="142">
        <f>+LOOKUP(Q19,'[2]Doc Set'!E:E,'[2]Doc Set'!H:H)</f>
        <v>43313</v>
      </c>
      <c r="S19" s="143" t="s">
        <v>200</v>
      </c>
    </row>
  </sheetData>
  <autoFilter ref="A1:S19"/>
  <conditionalFormatting sqref="G20:G1048576">
    <cfRule type="duplicateValues" dxfId="19" priority="5"/>
  </conditionalFormatting>
  <conditionalFormatting sqref="G2:G19">
    <cfRule type="duplicateValues" dxfId="18" priority="4"/>
  </conditionalFormatting>
  <conditionalFormatting sqref="G2:G19">
    <cfRule type="duplicateValues" dxfId="17" priority="3"/>
  </conditionalFormatting>
  <conditionalFormatting sqref="G2:G1048576">
    <cfRule type="duplicateValues" dxfId="16" priority="2"/>
  </conditionalFormatting>
  <conditionalFormatting sqref="H2:H1048576">
    <cfRule type="duplicateValues" dxfId="15" priority="1"/>
  </conditionalFormatting>
  <dataValidations count="1">
    <dataValidation type="list" allowBlank="1" showInputMessage="1" showErrorMessage="1" sqref="O2:O19 M2:M19">
      <formula1>Document_Set_Name</formula1>
    </dataValidation>
  </dataValidations>
  <pageMargins left="0.7" right="0.7" top="0.75" bottom="0.75" header="0.3" footer="0.3"/>
  <pageSetup orientation="portrait" r:id="rId1"/>
  <headerFooter>
    <oddFooter>&amp;L&amp;1#&amp;"Calibri"&amp;8 Sensitivity: LNT Construction Internal Use</oddFoot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S95"/>
  <sheetViews>
    <sheetView topLeftCell="H76" zoomScaleNormal="100" workbookViewId="0">
      <selection activeCell="H86" sqref="H86:H98"/>
    </sheetView>
  </sheetViews>
  <sheetFormatPr defaultRowHeight="14.4" x14ac:dyDescent="0.3"/>
  <cols>
    <col min="1" max="1" width="11.44140625" bestFit="1" customWidth="1"/>
    <col min="3" max="3" width="11.109375" bestFit="1" customWidth="1"/>
    <col min="4" max="4" width="11.33203125" style="155" bestFit="1" customWidth="1"/>
    <col min="5" max="5" width="10.5546875" bestFit="1" customWidth="1"/>
    <col min="6" max="6" width="8.5546875" bestFit="1" customWidth="1"/>
    <col min="8" max="8" width="22.5546875" bestFit="1" customWidth="1"/>
    <col min="10" max="10" width="56.5546875" bestFit="1" customWidth="1"/>
    <col min="11" max="11" width="11.6640625" customWidth="1"/>
    <col min="12" max="12" width="20.44140625" customWidth="1"/>
    <col min="14" max="14" width="9.88671875" bestFit="1" customWidth="1"/>
    <col min="15" max="15" width="10.33203125" customWidth="1"/>
    <col min="16" max="16" width="12.5546875" bestFit="1" customWidth="1"/>
    <col min="17" max="17" width="10.33203125" customWidth="1"/>
    <col min="18" max="18" width="9.6640625" bestFit="1" customWidth="1"/>
    <col min="19" max="19" width="9.109375" customWidth="1"/>
  </cols>
  <sheetData>
    <row r="1" spans="1:19" s="136" customFormat="1" x14ac:dyDescent="0.3">
      <c r="A1" s="160" t="s">
        <v>174</v>
      </c>
      <c r="B1" s="160" t="s">
        <v>175</v>
      </c>
      <c r="C1" s="160" t="s">
        <v>176</v>
      </c>
      <c r="D1" s="161" t="s">
        <v>177</v>
      </c>
      <c r="E1" s="160" t="s">
        <v>178</v>
      </c>
      <c r="F1" s="160" t="s">
        <v>179</v>
      </c>
      <c r="G1" s="160" t="s">
        <v>180</v>
      </c>
      <c r="H1" s="160" t="s">
        <v>181</v>
      </c>
      <c r="I1" s="160" t="s">
        <v>182</v>
      </c>
      <c r="J1" s="160" t="s">
        <v>183</v>
      </c>
      <c r="K1" s="160" t="s">
        <v>184</v>
      </c>
      <c r="L1" s="160" t="s">
        <v>185</v>
      </c>
      <c r="M1" s="160" t="s">
        <v>34</v>
      </c>
      <c r="N1" s="160" t="s">
        <v>186</v>
      </c>
      <c r="O1" s="160" t="s">
        <v>67</v>
      </c>
      <c r="P1" s="160" t="s">
        <v>187</v>
      </c>
      <c r="Q1" s="160" t="s">
        <v>133</v>
      </c>
      <c r="R1" s="160" t="s">
        <v>188</v>
      </c>
      <c r="S1" s="160" t="s">
        <v>189</v>
      </c>
    </row>
    <row r="2" spans="1:19" x14ac:dyDescent="0.3">
      <c r="A2" s="55" t="s">
        <v>40</v>
      </c>
      <c r="B2" s="55" t="s">
        <v>190</v>
      </c>
      <c r="C2" s="55" t="s">
        <v>191</v>
      </c>
      <c r="D2" s="162" t="s">
        <v>65</v>
      </c>
      <c r="E2" s="55" t="s">
        <v>193</v>
      </c>
      <c r="F2" s="55" t="s">
        <v>194</v>
      </c>
      <c r="G2" s="55" t="s">
        <v>346</v>
      </c>
      <c r="H2" s="55" t="s">
        <v>929</v>
      </c>
      <c r="I2" s="139" t="s">
        <v>51</v>
      </c>
      <c r="J2" s="159" t="s">
        <v>930</v>
      </c>
      <c r="K2" s="55">
        <v>20038918</v>
      </c>
      <c r="L2" s="55" t="s">
        <v>198</v>
      </c>
      <c r="M2" s="141" t="str">
        <f>+O2</f>
        <v>EH2-INT_D</v>
      </c>
      <c r="N2" s="142" t="str">
        <f>LOOKUP(M2,'[2]Doc Set'!E:E,'[2]Doc Set'!F:F)</f>
        <v>_</v>
      </c>
      <c r="O2" s="141" t="s">
        <v>931</v>
      </c>
      <c r="P2" s="142">
        <f>+LOOKUP(O2,'[2]Doc Set'!E:E,'[2]Doc Set'!G:G)</f>
        <v>43500</v>
      </c>
      <c r="Q2" s="55" t="str">
        <f>+O2</f>
        <v>EH2-INT_D</v>
      </c>
      <c r="R2" s="142">
        <f>+LOOKUP(Q2,'[2]Doc Set'!E:E,'[2]Doc Set'!H:H)</f>
        <v>43528</v>
      </c>
      <c r="S2" s="143" t="s">
        <v>200</v>
      </c>
    </row>
    <row r="3" spans="1:19" x14ac:dyDescent="0.3">
      <c r="A3" s="55" t="s">
        <v>40</v>
      </c>
      <c r="B3" s="55" t="s">
        <v>190</v>
      </c>
      <c r="C3" s="55" t="s">
        <v>191</v>
      </c>
      <c r="D3" s="162" t="s">
        <v>65</v>
      </c>
      <c r="E3" s="55" t="s">
        <v>193</v>
      </c>
      <c r="F3" s="55" t="s">
        <v>194</v>
      </c>
      <c r="G3" s="55" t="s">
        <v>349</v>
      </c>
      <c r="H3" s="55" t="s">
        <v>932</v>
      </c>
      <c r="I3" s="139" t="s">
        <v>51</v>
      </c>
      <c r="J3" s="159" t="s">
        <v>933</v>
      </c>
      <c r="K3" s="55">
        <v>20038918</v>
      </c>
      <c r="L3" s="55" t="s">
        <v>198</v>
      </c>
      <c r="M3" s="141" t="str">
        <f t="shared" ref="M3:M66" si="0">+O3</f>
        <v>EH2-INT_D</v>
      </c>
      <c r="N3" s="142" t="str">
        <f>LOOKUP(M3,'[2]Doc Set'!E:E,'[2]Doc Set'!F:F)</f>
        <v>_</v>
      </c>
      <c r="O3" s="141" t="s">
        <v>931</v>
      </c>
      <c r="P3" s="142">
        <f>+LOOKUP(O3,'[2]Doc Set'!E:E,'[2]Doc Set'!G:G)</f>
        <v>43500</v>
      </c>
      <c r="Q3" s="55" t="str">
        <f t="shared" ref="Q3:Q66" si="1">+O3</f>
        <v>EH2-INT_D</v>
      </c>
      <c r="R3" s="142">
        <f>+LOOKUP(Q3,'[2]Doc Set'!E:E,'[2]Doc Set'!H:H)</f>
        <v>43528</v>
      </c>
      <c r="S3" s="143" t="s">
        <v>200</v>
      </c>
    </row>
    <row r="4" spans="1:19" x14ac:dyDescent="0.3">
      <c r="A4" s="55" t="s">
        <v>40</v>
      </c>
      <c r="B4" s="55" t="s">
        <v>190</v>
      </c>
      <c r="C4" s="55" t="s">
        <v>191</v>
      </c>
      <c r="D4" s="162" t="s">
        <v>65</v>
      </c>
      <c r="E4" s="55" t="s">
        <v>193</v>
      </c>
      <c r="F4" s="55" t="s">
        <v>194</v>
      </c>
      <c r="G4" s="55" t="s">
        <v>352</v>
      </c>
      <c r="H4" s="55" t="s">
        <v>934</v>
      </c>
      <c r="I4" s="139" t="s">
        <v>51</v>
      </c>
      <c r="J4" s="159" t="s">
        <v>935</v>
      </c>
      <c r="K4" s="55">
        <v>20038918</v>
      </c>
      <c r="L4" s="55" t="s">
        <v>198</v>
      </c>
      <c r="M4" s="141" t="str">
        <f t="shared" si="0"/>
        <v>EH2-INT_D</v>
      </c>
      <c r="N4" s="142" t="str">
        <f>LOOKUP(M4,'[2]Doc Set'!E:E,'[2]Doc Set'!F:F)</f>
        <v>_</v>
      </c>
      <c r="O4" s="141" t="s">
        <v>931</v>
      </c>
      <c r="P4" s="142">
        <f>+LOOKUP(O4,'[2]Doc Set'!E:E,'[2]Doc Set'!G:G)</f>
        <v>43500</v>
      </c>
      <c r="Q4" s="55" t="str">
        <f t="shared" si="1"/>
        <v>EH2-INT_D</v>
      </c>
      <c r="R4" s="142">
        <f>+LOOKUP(Q4,'[2]Doc Set'!E:E,'[2]Doc Set'!H:H)</f>
        <v>43528</v>
      </c>
      <c r="S4" s="143" t="s">
        <v>200</v>
      </c>
    </row>
    <row r="5" spans="1:19" x14ac:dyDescent="0.3">
      <c r="A5" s="55" t="s">
        <v>40</v>
      </c>
      <c r="B5" s="55" t="s">
        <v>190</v>
      </c>
      <c r="C5" s="55" t="s">
        <v>191</v>
      </c>
      <c r="D5" s="162" t="s">
        <v>65</v>
      </c>
      <c r="E5" s="55" t="s">
        <v>193</v>
      </c>
      <c r="F5" s="55" t="s">
        <v>194</v>
      </c>
      <c r="G5" s="55" t="s">
        <v>355</v>
      </c>
      <c r="H5" s="55" t="s">
        <v>936</v>
      </c>
      <c r="I5" s="139" t="s">
        <v>51</v>
      </c>
      <c r="J5" s="159" t="s">
        <v>937</v>
      </c>
      <c r="K5" s="55">
        <v>20038918</v>
      </c>
      <c r="L5" s="55" t="s">
        <v>198</v>
      </c>
      <c r="M5" s="141" t="str">
        <f t="shared" si="0"/>
        <v>EH2-INT_D</v>
      </c>
      <c r="N5" s="142" t="str">
        <f>LOOKUP(M5,'[2]Doc Set'!E:E,'[2]Doc Set'!F:F)</f>
        <v>_</v>
      </c>
      <c r="O5" s="141" t="s">
        <v>931</v>
      </c>
      <c r="P5" s="142">
        <f>+LOOKUP(O5,'[2]Doc Set'!E:E,'[2]Doc Set'!G:G)</f>
        <v>43500</v>
      </c>
      <c r="Q5" s="55" t="str">
        <f t="shared" si="1"/>
        <v>EH2-INT_D</v>
      </c>
      <c r="R5" s="142">
        <f>+LOOKUP(Q5,'[2]Doc Set'!E:E,'[2]Doc Set'!H:H)</f>
        <v>43528</v>
      </c>
      <c r="S5" s="143" t="s">
        <v>200</v>
      </c>
    </row>
    <row r="6" spans="1:19" x14ac:dyDescent="0.3">
      <c r="A6" s="55" t="s">
        <v>40</v>
      </c>
      <c r="B6" s="55" t="s">
        <v>190</v>
      </c>
      <c r="C6" s="55" t="s">
        <v>191</v>
      </c>
      <c r="D6" s="162" t="s">
        <v>65</v>
      </c>
      <c r="E6" s="55" t="s">
        <v>193</v>
      </c>
      <c r="F6" s="55" t="s">
        <v>194</v>
      </c>
      <c r="G6" s="55" t="s">
        <v>358</v>
      </c>
      <c r="H6" s="55" t="s">
        <v>938</v>
      </c>
      <c r="I6" s="139" t="s">
        <v>51</v>
      </c>
      <c r="J6" s="159" t="s">
        <v>939</v>
      </c>
      <c r="K6" s="55">
        <v>20038918</v>
      </c>
      <c r="L6" s="55" t="s">
        <v>198</v>
      </c>
      <c r="M6" s="141" t="str">
        <f t="shared" si="0"/>
        <v>EH2-INT_D</v>
      </c>
      <c r="N6" s="142" t="str">
        <f>LOOKUP(M6,'[2]Doc Set'!E:E,'[2]Doc Set'!F:F)</f>
        <v>_</v>
      </c>
      <c r="O6" s="141" t="s">
        <v>931</v>
      </c>
      <c r="P6" s="142">
        <f>+LOOKUP(O6,'[2]Doc Set'!E:E,'[2]Doc Set'!G:G)</f>
        <v>43500</v>
      </c>
      <c r="Q6" s="55" t="str">
        <f t="shared" si="1"/>
        <v>EH2-INT_D</v>
      </c>
      <c r="R6" s="142">
        <f>+LOOKUP(Q6,'[2]Doc Set'!E:E,'[2]Doc Set'!H:H)</f>
        <v>43528</v>
      </c>
      <c r="S6" s="143" t="s">
        <v>200</v>
      </c>
    </row>
    <row r="7" spans="1:19" x14ac:dyDescent="0.3">
      <c r="A7" s="55" t="s">
        <v>40</v>
      </c>
      <c r="B7" s="55" t="s">
        <v>190</v>
      </c>
      <c r="C7" s="55" t="s">
        <v>191</v>
      </c>
      <c r="D7" s="162" t="s">
        <v>65</v>
      </c>
      <c r="E7" s="55" t="s">
        <v>193</v>
      </c>
      <c r="F7" s="55" t="s">
        <v>194</v>
      </c>
      <c r="G7" s="55" t="s">
        <v>361</v>
      </c>
      <c r="H7" s="55" t="s">
        <v>940</v>
      </c>
      <c r="I7" s="139" t="s">
        <v>51</v>
      </c>
      <c r="J7" s="159" t="s">
        <v>941</v>
      </c>
      <c r="K7" s="55">
        <v>20038918</v>
      </c>
      <c r="L7" s="55" t="s">
        <v>198</v>
      </c>
      <c r="M7" s="141" t="str">
        <f t="shared" si="0"/>
        <v>EH2-INT_D</v>
      </c>
      <c r="N7" s="142" t="str">
        <f>LOOKUP(M7,'[2]Doc Set'!E:E,'[2]Doc Set'!F:F)</f>
        <v>_</v>
      </c>
      <c r="O7" s="141" t="s">
        <v>931</v>
      </c>
      <c r="P7" s="142">
        <f>+LOOKUP(O7,'[2]Doc Set'!E:E,'[2]Doc Set'!G:G)</f>
        <v>43500</v>
      </c>
      <c r="Q7" s="55" t="str">
        <f t="shared" si="1"/>
        <v>EH2-INT_D</v>
      </c>
      <c r="R7" s="142">
        <f>+LOOKUP(Q7,'[2]Doc Set'!E:E,'[2]Doc Set'!H:H)</f>
        <v>43528</v>
      </c>
      <c r="S7" s="143" t="s">
        <v>200</v>
      </c>
    </row>
    <row r="8" spans="1:19" x14ac:dyDescent="0.3">
      <c r="A8" s="55" t="s">
        <v>40</v>
      </c>
      <c r="B8" s="55" t="s">
        <v>190</v>
      </c>
      <c r="C8" s="55" t="s">
        <v>191</v>
      </c>
      <c r="D8" s="162" t="s">
        <v>65</v>
      </c>
      <c r="E8" s="55" t="s">
        <v>193</v>
      </c>
      <c r="F8" s="55" t="s">
        <v>194</v>
      </c>
      <c r="G8" s="55" t="s">
        <v>240</v>
      </c>
      <c r="H8" s="55" t="s">
        <v>942</v>
      </c>
      <c r="I8" s="139" t="s">
        <v>51</v>
      </c>
      <c r="J8" s="159" t="s">
        <v>943</v>
      </c>
      <c r="K8" s="55">
        <v>20038918</v>
      </c>
      <c r="L8" s="55" t="s">
        <v>198</v>
      </c>
      <c r="M8" s="141" t="str">
        <f t="shared" si="0"/>
        <v>EH2-INT_D</v>
      </c>
      <c r="N8" s="142" t="str">
        <f>LOOKUP(M8,'[2]Doc Set'!E:E,'[2]Doc Set'!F:F)</f>
        <v>_</v>
      </c>
      <c r="O8" s="141" t="s">
        <v>931</v>
      </c>
      <c r="P8" s="142">
        <f>+LOOKUP(O8,'[2]Doc Set'!E:E,'[2]Doc Set'!G:G)</f>
        <v>43500</v>
      </c>
      <c r="Q8" s="55" t="str">
        <f t="shared" si="1"/>
        <v>EH2-INT_D</v>
      </c>
      <c r="R8" s="142">
        <f>+LOOKUP(Q8,'[2]Doc Set'!E:E,'[2]Doc Set'!H:H)</f>
        <v>43528</v>
      </c>
      <c r="S8" s="143" t="s">
        <v>200</v>
      </c>
    </row>
    <row r="9" spans="1:19" x14ac:dyDescent="0.3">
      <c r="A9" s="55" t="s">
        <v>40</v>
      </c>
      <c r="B9" s="55" t="s">
        <v>190</v>
      </c>
      <c r="C9" s="55" t="s">
        <v>191</v>
      </c>
      <c r="D9" s="162" t="s">
        <v>65</v>
      </c>
      <c r="E9" s="55" t="s">
        <v>193</v>
      </c>
      <c r="F9" s="55" t="s">
        <v>194</v>
      </c>
      <c r="G9" s="55" t="s">
        <v>243</v>
      </c>
      <c r="H9" s="55" t="s">
        <v>944</v>
      </c>
      <c r="I9" s="139" t="s">
        <v>51</v>
      </c>
      <c r="J9" s="159" t="s">
        <v>945</v>
      </c>
      <c r="K9" s="55">
        <v>20038918</v>
      </c>
      <c r="L9" s="55" t="s">
        <v>198</v>
      </c>
      <c r="M9" s="141" t="str">
        <f t="shared" si="0"/>
        <v>EH2-INT_D</v>
      </c>
      <c r="N9" s="142" t="str">
        <f>LOOKUP(M9,'[2]Doc Set'!E:E,'[2]Doc Set'!F:F)</f>
        <v>_</v>
      </c>
      <c r="O9" s="141" t="s">
        <v>931</v>
      </c>
      <c r="P9" s="142">
        <f>+LOOKUP(O9,'[2]Doc Set'!E:E,'[2]Doc Set'!G:G)</f>
        <v>43500</v>
      </c>
      <c r="Q9" s="55" t="str">
        <f t="shared" si="1"/>
        <v>EH2-INT_D</v>
      </c>
      <c r="R9" s="142">
        <f>+LOOKUP(Q9,'[2]Doc Set'!E:E,'[2]Doc Set'!H:H)</f>
        <v>43528</v>
      </c>
      <c r="S9" s="143" t="s">
        <v>200</v>
      </c>
    </row>
    <row r="10" spans="1:19" x14ac:dyDescent="0.3">
      <c r="A10" s="55" t="s">
        <v>40</v>
      </c>
      <c r="B10" s="55" t="s">
        <v>190</v>
      </c>
      <c r="C10" s="55" t="s">
        <v>191</v>
      </c>
      <c r="D10" s="162" t="s">
        <v>65</v>
      </c>
      <c r="E10" s="55" t="s">
        <v>193</v>
      </c>
      <c r="F10" s="55" t="s">
        <v>194</v>
      </c>
      <c r="G10" s="55" t="s">
        <v>246</v>
      </c>
      <c r="H10" s="55" t="s">
        <v>946</v>
      </c>
      <c r="I10" s="139" t="s">
        <v>51</v>
      </c>
      <c r="J10" s="159" t="s">
        <v>947</v>
      </c>
      <c r="K10" s="55">
        <v>20038918</v>
      </c>
      <c r="L10" s="55" t="s">
        <v>198</v>
      </c>
      <c r="M10" s="141" t="str">
        <f t="shared" si="0"/>
        <v>EH2-INT_D</v>
      </c>
      <c r="N10" s="142" t="str">
        <f>LOOKUP(M10,'[2]Doc Set'!E:E,'[2]Doc Set'!F:F)</f>
        <v>_</v>
      </c>
      <c r="O10" s="141" t="s">
        <v>931</v>
      </c>
      <c r="P10" s="142">
        <f>+LOOKUP(O10,'[2]Doc Set'!E:E,'[2]Doc Set'!G:G)</f>
        <v>43500</v>
      </c>
      <c r="Q10" s="55" t="str">
        <f t="shared" si="1"/>
        <v>EH2-INT_D</v>
      </c>
      <c r="R10" s="142">
        <f>+LOOKUP(Q10,'[2]Doc Set'!E:E,'[2]Doc Set'!H:H)</f>
        <v>43528</v>
      </c>
      <c r="S10" s="143" t="s">
        <v>200</v>
      </c>
    </row>
    <row r="11" spans="1:19" x14ac:dyDescent="0.3">
      <c r="A11" s="55" t="s">
        <v>40</v>
      </c>
      <c r="B11" s="55" t="s">
        <v>190</v>
      </c>
      <c r="C11" s="55" t="s">
        <v>191</v>
      </c>
      <c r="D11" s="162" t="s">
        <v>65</v>
      </c>
      <c r="E11" s="55" t="s">
        <v>193</v>
      </c>
      <c r="F11" s="55" t="s">
        <v>194</v>
      </c>
      <c r="G11" s="55" t="s">
        <v>249</v>
      </c>
      <c r="H11" s="55" t="s">
        <v>948</v>
      </c>
      <c r="I11" s="139" t="s">
        <v>51</v>
      </c>
      <c r="J11" s="159" t="s">
        <v>949</v>
      </c>
      <c r="K11" s="55">
        <v>20038918</v>
      </c>
      <c r="L11" s="55" t="s">
        <v>198</v>
      </c>
      <c r="M11" s="141" t="str">
        <f t="shared" si="0"/>
        <v>EH2-INT_D</v>
      </c>
      <c r="N11" s="142" t="str">
        <f>LOOKUP(M11,'[2]Doc Set'!E:E,'[2]Doc Set'!F:F)</f>
        <v>_</v>
      </c>
      <c r="O11" s="141" t="s">
        <v>931</v>
      </c>
      <c r="P11" s="142">
        <f>+LOOKUP(O11,'[2]Doc Set'!E:E,'[2]Doc Set'!G:G)</f>
        <v>43500</v>
      </c>
      <c r="Q11" s="55" t="str">
        <f t="shared" si="1"/>
        <v>EH2-INT_D</v>
      </c>
      <c r="R11" s="142">
        <f>+LOOKUP(Q11,'[2]Doc Set'!E:E,'[2]Doc Set'!H:H)</f>
        <v>43528</v>
      </c>
      <c r="S11" s="143" t="s">
        <v>200</v>
      </c>
    </row>
    <row r="12" spans="1:19" x14ac:dyDescent="0.3">
      <c r="A12" s="55" t="s">
        <v>40</v>
      </c>
      <c r="B12" s="55" t="s">
        <v>190</v>
      </c>
      <c r="C12" s="55" t="s">
        <v>191</v>
      </c>
      <c r="D12" s="162" t="s">
        <v>65</v>
      </c>
      <c r="E12" s="55" t="s">
        <v>193</v>
      </c>
      <c r="F12" s="55" t="s">
        <v>194</v>
      </c>
      <c r="G12" s="55" t="s">
        <v>252</v>
      </c>
      <c r="H12" s="55" t="s">
        <v>950</v>
      </c>
      <c r="I12" s="139" t="s">
        <v>51</v>
      </c>
      <c r="J12" s="159" t="s">
        <v>951</v>
      </c>
      <c r="K12" s="55">
        <v>20038918</v>
      </c>
      <c r="L12" s="55" t="s">
        <v>198</v>
      </c>
      <c r="M12" s="141" t="str">
        <f t="shared" si="0"/>
        <v>EH2-INT_D</v>
      </c>
      <c r="N12" s="142" t="str">
        <f>LOOKUP(M12,'[2]Doc Set'!E:E,'[2]Doc Set'!F:F)</f>
        <v>_</v>
      </c>
      <c r="O12" s="141" t="s">
        <v>931</v>
      </c>
      <c r="P12" s="142">
        <f>+LOOKUP(O12,'[2]Doc Set'!E:E,'[2]Doc Set'!G:G)</f>
        <v>43500</v>
      </c>
      <c r="Q12" s="55" t="str">
        <f t="shared" si="1"/>
        <v>EH2-INT_D</v>
      </c>
      <c r="R12" s="142">
        <f>+LOOKUP(Q12,'[2]Doc Set'!E:E,'[2]Doc Set'!H:H)</f>
        <v>43528</v>
      </c>
      <c r="S12" s="143" t="s">
        <v>200</v>
      </c>
    </row>
    <row r="13" spans="1:19" x14ac:dyDescent="0.3">
      <c r="A13" s="55" t="s">
        <v>40</v>
      </c>
      <c r="B13" s="55" t="s">
        <v>190</v>
      </c>
      <c r="C13" s="55" t="s">
        <v>191</v>
      </c>
      <c r="D13" s="162" t="s">
        <v>65</v>
      </c>
      <c r="E13" s="55" t="s">
        <v>193</v>
      </c>
      <c r="F13" s="55" t="s">
        <v>194</v>
      </c>
      <c r="G13" s="55" t="s">
        <v>255</v>
      </c>
      <c r="H13" s="55" t="s">
        <v>952</v>
      </c>
      <c r="I13" s="139" t="s">
        <v>51</v>
      </c>
      <c r="J13" s="159" t="s">
        <v>953</v>
      </c>
      <c r="K13" s="55">
        <v>20038918</v>
      </c>
      <c r="L13" s="55" t="s">
        <v>198</v>
      </c>
      <c r="M13" s="141" t="str">
        <f t="shared" si="0"/>
        <v>EH2-INT_D</v>
      </c>
      <c r="N13" s="142" t="str">
        <f>LOOKUP(M13,'[2]Doc Set'!E:E,'[2]Doc Set'!F:F)</f>
        <v>_</v>
      </c>
      <c r="O13" s="141" t="s">
        <v>931</v>
      </c>
      <c r="P13" s="142">
        <f>+LOOKUP(O13,'[2]Doc Set'!E:E,'[2]Doc Set'!G:G)</f>
        <v>43500</v>
      </c>
      <c r="Q13" s="55" t="str">
        <f t="shared" si="1"/>
        <v>EH2-INT_D</v>
      </c>
      <c r="R13" s="142">
        <f>+LOOKUP(Q13,'[2]Doc Set'!E:E,'[2]Doc Set'!H:H)</f>
        <v>43528</v>
      </c>
      <c r="S13" s="143" t="s">
        <v>200</v>
      </c>
    </row>
    <row r="14" spans="1:19" x14ac:dyDescent="0.3">
      <c r="A14" s="55" t="s">
        <v>40</v>
      </c>
      <c r="B14" s="55" t="s">
        <v>190</v>
      </c>
      <c r="C14" s="55" t="s">
        <v>191</v>
      </c>
      <c r="D14" s="162" t="s">
        <v>65</v>
      </c>
      <c r="E14" s="55" t="s">
        <v>193</v>
      </c>
      <c r="F14" s="55" t="s">
        <v>194</v>
      </c>
      <c r="G14" s="55" t="s">
        <v>258</v>
      </c>
      <c r="H14" s="55" t="s">
        <v>954</v>
      </c>
      <c r="I14" s="139" t="s">
        <v>51</v>
      </c>
      <c r="J14" s="159" t="s">
        <v>955</v>
      </c>
      <c r="K14" s="55">
        <v>20038918</v>
      </c>
      <c r="L14" s="55" t="s">
        <v>198</v>
      </c>
      <c r="M14" s="141" t="str">
        <f t="shared" si="0"/>
        <v>EH2-INT_D</v>
      </c>
      <c r="N14" s="142" t="str">
        <f>LOOKUP(M14,'[2]Doc Set'!E:E,'[2]Doc Set'!F:F)</f>
        <v>_</v>
      </c>
      <c r="O14" s="141" t="s">
        <v>931</v>
      </c>
      <c r="P14" s="142">
        <f>+LOOKUP(O14,'[2]Doc Set'!E:E,'[2]Doc Set'!G:G)</f>
        <v>43500</v>
      </c>
      <c r="Q14" s="55" t="str">
        <f t="shared" si="1"/>
        <v>EH2-INT_D</v>
      </c>
      <c r="R14" s="142">
        <f>+LOOKUP(Q14,'[2]Doc Set'!E:E,'[2]Doc Set'!H:H)</f>
        <v>43528</v>
      </c>
      <c r="S14" s="143" t="s">
        <v>200</v>
      </c>
    </row>
    <row r="15" spans="1:19" x14ac:dyDescent="0.3">
      <c r="A15" s="55" t="s">
        <v>40</v>
      </c>
      <c r="B15" s="55" t="s">
        <v>190</v>
      </c>
      <c r="C15" s="55" t="s">
        <v>191</v>
      </c>
      <c r="D15" s="162" t="s">
        <v>65</v>
      </c>
      <c r="E15" s="55" t="s">
        <v>193</v>
      </c>
      <c r="F15" s="55" t="s">
        <v>194</v>
      </c>
      <c r="G15" s="55" t="s">
        <v>739</v>
      </c>
      <c r="H15" s="55" t="s">
        <v>956</v>
      </c>
      <c r="I15" s="139" t="s">
        <v>51</v>
      </c>
      <c r="J15" s="159" t="s">
        <v>957</v>
      </c>
      <c r="K15" s="55">
        <v>20038918</v>
      </c>
      <c r="L15" s="55" t="s">
        <v>198</v>
      </c>
      <c r="M15" s="141" t="str">
        <f t="shared" si="0"/>
        <v>EH2-INT_D</v>
      </c>
      <c r="N15" s="142" t="str">
        <f>LOOKUP(M15,'[2]Doc Set'!E:E,'[2]Doc Set'!F:F)</f>
        <v>_</v>
      </c>
      <c r="O15" s="141" t="s">
        <v>931</v>
      </c>
      <c r="P15" s="142">
        <f>+LOOKUP(O15,'[2]Doc Set'!E:E,'[2]Doc Set'!G:G)</f>
        <v>43500</v>
      </c>
      <c r="Q15" s="55" t="str">
        <f t="shared" si="1"/>
        <v>EH2-INT_D</v>
      </c>
      <c r="R15" s="142">
        <f>+LOOKUP(Q15,'[2]Doc Set'!E:E,'[2]Doc Set'!H:H)</f>
        <v>43528</v>
      </c>
      <c r="S15" s="143" t="s">
        <v>200</v>
      </c>
    </row>
    <row r="16" spans="1:19" x14ac:dyDescent="0.3">
      <c r="A16" s="55" t="s">
        <v>40</v>
      </c>
      <c r="B16" s="55" t="s">
        <v>190</v>
      </c>
      <c r="C16" s="55" t="s">
        <v>191</v>
      </c>
      <c r="D16" s="162" t="s">
        <v>65</v>
      </c>
      <c r="E16" s="55" t="s">
        <v>193</v>
      </c>
      <c r="F16" s="55" t="s">
        <v>194</v>
      </c>
      <c r="G16" s="55" t="s">
        <v>742</v>
      </c>
      <c r="H16" s="55" t="s">
        <v>958</v>
      </c>
      <c r="I16" s="139" t="s">
        <v>51</v>
      </c>
      <c r="J16" s="159" t="s">
        <v>959</v>
      </c>
      <c r="K16" s="55">
        <v>20038918</v>
      </c>
      <c r="L16" s="55" t="s">
        <v>198</v>
      </c>
      <c r="M16" s="141" t="str">
        <f t="shared" si="0"/>
        <v>EH2-INT_D</v>
      </c>
      <c r="N16" s="142" t="str">
        <f>LOOKUP(M16,'[2]Doc Set'!E:E,'[2]Doc Set'!F:F)</f>
        <v>_</v>
      </c>
      <c r="O16" s="141" t="s">
        <v>931</v>
      </c>
      <c r="P16" s="142">
        <f>+LOOKUP(O16,'[2]Doc Set'!E:E,'[2]Doc Set'!G:G)</f>
        <v>43500</v>
      </c>
      <c r="Q16" s="55" t="str">
        <f t="shared" si="1"/>
        <v>EH2-INT_D</v>
      </c>
      <c r="R16" s="142">
        <f>+LOOKUP(Q16,'[2]Doc Set'!E:E,'[2]Doc Set'!H:H)</f>
        <v>43528</v>
      </c>
      <c r="S16" s="143" t="s">
        <v>200</v>
      </c>
    </row>
    <row r="17" spans="1:19" x14ac:dyDescent="0.3">
      <c r="A17" s="55" t="s">
        <v>40</v>
      </c>
      <c r="B17" s="55" t="s">
        <v>190</v>
      </c>
      <c r="C17" s="55" t="s">
        <v>191</v>
      </c>
      <c r="D17" s="162" t="s">
        <v>65</v>
      </c>
      <c r="E17" s="55" t="s">
        <v>193</v>
      </c>
      <c r="F17" s="55" t="s">
        <v>194</v>
      </c>
      <c r="G17" s="55" t="s">
        <v>430</v>
      </c>
      <c r="H17" s="55" t="s">
        <v>960</v>
      </c>
      <c r="I17" s="139" t="s">
        <v>51</v>
      </c>
      <c r="J17" s="159" t="s">
        <v>961</v>
      </c>
      <c r="K17" s="55">
        <v>20038918</v>
      </c>
      <c r="L17" s="55" t="s">
        <v>198</v>
      </c>
      <c r="M17" s="141" t="str">
        <f t="shared" si="0"/>
        <v>EH2-INT_D</v>
      </c>
      <c r="N17" s="142" t="str">
        <f>LOOKUP(M17,'[2]Doc Set'!E:E,'[2]Doc Set'!F:F)</f>
        <v>_</v>
      </c>
      <c r="O17" s="141" t="s">
        <v>931</v>
      </c>
      <c r="P17" s="142">
        <f>+LOOKUP(O17,'[2]Doc Set'!E:E,'[2]Doc Set'!G:G)</f>
        <v>43500</v>
      </c>
      <c r="Q17" s="55" t="str">
        <f t="shared" si="1"/>
        <v>EH2-INT_D</v>
      </c>
      <c r="R17" s="142">
        <f>+LOOKUP(Q17,'[2]Doc Set'!E:E,'[2]Doc Set'!H:H)</f>
        <v>43528</v>
      </c>
      <c r="S17" s="143" t="s">
        <v>200</v>
      </c>
    </row>
    <row r="18" spans="1:19" x14ac:dyDescent="0.3">
      <c r="A18" s="55" t="s">
        <v>40</v>
      </c>
      <c r="B18" s="55" t="s">
        <v>190</v>
      </c>
      <c r="C18" s="55" t="s">
        <v>191</v>
      </c>
      <c r="D18" s="162" t="s">
        <v>65</v>
      </c>
      <c r="E18" s="55" t="s">
        <v>193</v>
      </c>
      <c r="F18" s="55" t="s">
        <v>194</v>
      </c>
      <c r="G18" s="55" t="s">
        <v>433</v>
      </c>
      <c r="H18" s="55" t="s">
        <v>962</v>
      </c>
      <c r="I18" s="139" t="s">
        <v>51</v>
      </c>
      <c r="J18" s="159" t="s">
        <v>963</v>
      </c>
      <c r="K18" s="55">
        <v>20038918</v>
      </c>
      <c r="L18" s="55" t="s">
        <v>198</v>
      </c>
      <c r="M18" s="141" t="str">
        <f t="shared" si="0"/>
        <v>EH2-INT_D</v>
      </c>
      <c r="N18" s="142" t="str">
        <f>LOOKUP(M18,'[2]Doc Set'!E:E,'[2]Doc Set'!F:F)</f>
        <v>_</v>
      </c>
      <c r="O18" s="141" t="s">
        <v>931</v>
      </c>
      <c r="P18" s="142">
        <f>+LOOKUP(O18,'[2]Doc Set'!E:E,'[2]Doc Set'!G:G)</f>
        <v>43500</v>
      </c>
      <c r="Q18" s="55" t="str">
        <f t="shared" si="1"/>
        <v>EH2-INT_D</v>
      </c>
      <c r="R18" s="142">
        <f>+LOOKUP(Q18,'[2]Doc Set'!E:E,'[2]Doc Set'!H:H)</f>
        <v>43528</v>
      </c>
      <c r="S18" s="143" t="s">
        <v>200</v>
      </c>
    </row>
    <row r="19" spans="1:19" x14ac:dyDescent="0.3">
      <c r="A19" s="55" t="s">
        <v>40</v>
      </c>
      <c r="B19" s="55" t="s">
        <v>190</v>
      </c>
      <c r="C19" s="55" t="s">
        <v>191</v>
      </c>
      <c r="D19" s="162" t="s">
        <v>65</v>
      </c>
      <c r="E19" s="55" t="s">
        <v>193</v>
      </c>
      <c r="F19" s="55" t="s">
        <v>194</v>
      </c>
      <c r="G19" s="55" t="s">
        <v>261</v>
      </c>
      <c r="H19" s="55" t="s">
        <v>964</v>
      </c>
      <c r="I19" s="139" t="s">
        <v>51</v>
      </c>
      <c r="J19" s="159" t="s">
        <v>965</v>
      </c>
      <c r="K19" s="55">
        <v>20038918</v>
      </c>
      <c r="L19" s="55" t="s">
        <v>198</v>
      </c>
      <c r="M19" s="141" t="str">
        <f t="shared" si="0"/>
        <v>EH2-INT_D</v>
      </c>
      <c r="N19" s="142" t="str">
        <f>LOOKUP(M19,'[2]Doc Set'!E:E,'[2]Doc Set'!F:F)</f>
        <v>_</v>
      </c>
      <c r="O19" s="141" t="s">
        <v>931</v>
      </c>
      <c r="P19" s="142">
        <f>+LOOKUP(O19,'[2]Doc Set'!E:E,'[2]Doc Set'!G:G)</f>
        <v>43500</v>
      </c>
      <c r="Q19" s="55" t="str">
        <f t="shared" si="1"/>
        <v>EH2-INT_D</v>
      </c>
      <c r="R19" s="142">
        <f>+LOOKUP(Q19,'[2]Doc Set'!E:E,'[2]Doc Set'!H:H)</f>
        <v>43528</v>
      </c>
      <c r="S19" s="143" t="s">
        <v>200</v>
      </c>
    </row>
    <row r="20" spans="1:19" x14ac:dyDescent="0.3">
      <c r="A20" s="55" t="s">
        <v>40</v>
      </c>
      <c r="B20" s="55" t="s">
        <v>190</v>
      </c>
      <c r="C20" s="55" t="s">
        <v>191</v>
      </c>
      <c r="D20" s="162" t="s">
        <v>65</v>
      </c>
      <c r="E20" s="55" t="s">
        <v>193</v>
      </c>
      <c r="F20" s="55" t="s">
        <v>194</v>
      </c>
      <c r="G20" s="55" t="s">
        <v>264</v>
      </c>
      <c r="H20" s="55" t="s">
        <v>966</v>
      </c>
      <c r="I20" s="139" t="s">
        <v>51</v>
      </c>
      <c r="J20" s="159" t="s">
        <v>967</v>
      </c>
      <c r="K20" s="55">
        <v>20038918</v>
      </c>
      <c r="L20" s="55" t="s">
        <v>198</v>
      </c>
      <c r="M20" s="141" t="str">
        <f t="shared" si="0"/>
        <v>EH2-INT_D</v>
      </c>
      <c r="N20" s="142" t="str">
        <f>LOOKUP(M20,'[2]Doc Set'!E:E,'[2]Doc Set'!F:F)</f>
        <v>_</v>
      </c>
      <c r="O20" s="141" t="s">
        <v>931</v>
      </c>
      <c r="P20" s="142">
        <f>+LOOKUP(O20,'[2]Doc Set'!E:E,'[2]Doc Set'!G:G)</f>
        <v>43500</v>
      </c>
      <c r="Q20" s="55" t="str">
        <f t="shared" si="1"/>
        <v>EH2-INT_D</v>
      </c>
      <c r="R20" s="142">
        <f>+LOOKUP(Q20,'[2]Doc Set'!E:E,'[2]Doc Set'!H:H)</f>
        <v>43528</v>
      </c>
      <c r="S20" s="143" t="s">
        <v>200</v>
      </c>
    </row>
    <row r="21" spans="1:19" x14ac:dyDescent="0.3">
      <c r="A21" s="55" t="s">
        <v>40</v>
      </c>
      <c r="B21" s="55" t="s">
        <v>190</v>
      </c>
      <c r="C21" s="55" t="s">
        <v>191</v>
      </c>
      <c r="D21" s="162" t="s">
        <v>65</v>
      </c>
      <c r="E21" s="55" t="s">
        <v>193</v>
      </c>
      <c r="F21" s="55" t="s">
        <v>194</v>
      </c>
      <c r="G21" s="55" t="s">
        <v>267</v>
      </c>
      <c r="H21" s="55" t="s">
        <v>968</v>
      </c>
      <c r="I21" s="139" t="s">
        <v>51</v>
      </c>
      <c r="J21" s="159" t="s">
        <v>969</v>
      </c>
      <c r="K21" s="55">
        <v>20038918</v>
      </c>
      <c r="L21" s="55" t="s">
        <v>198</v>
      </c>
      <c r="M21" s="141" t="str">
        <f t="shared" si="0"/>
        <v>EH2-INT_D</v>
      </c>
      <c r="N21" s="142" t="str">
        <f>LOOKUP(M21,'[2]Doc Set'!E:E,'[2]Doc Set'!F:F)</f>
        <v>_</v>
      </c>
      <c r="O21" s="141" t="s">
        <v>931</v>
      </c>
      <c r="P21" s="142">
        <f>+LOOKUP(O21,'[2]Doc Set'!E:E,'[2]Doc Set'!G:G)</f>
        <v>43500</v>
      </c>
      <c r="Q21" s="55" t="str">
        <f t="shared" si="1"/>
        <v>EH2-INT_D</v>
      </c>
      <c r="R21" s="142">
        <f>+LOOKUP(Q21,'[2]Doc Set'!E:E,'[2]Doc Set'!H:H)</f>
        <v>43528</v>
      </c>
      <c r="S21" s="143" t="s">
        <v>200</v>
      </c>
    </row>
    <row r="22" spans="1:19" x14ac:dyDescent="0.3">
      <c r="A22" s="55" t="s">
        <v>40</v>
      </c>
      <c r="B22" s="55" t="s">
        <v>190</v>
      </c>
      <c r="C22" s="55" t="s">
        <v>191</v>
      </c>
      <c r="D22" s="162" t="s">
        <v>65</v>
      </c>
      <c r="E22" s="55" t="s">
        <v>193</v>
      </c>
      <c r="F22" s="55" t="s">
        <v>194</v>
      </c>
      <c r="G22" s="55" t="s">
        <v>270</v>
      </c>
      <c r="H22" s="55" t="s">
        <v>970</v>
      </c>
      <c r="I22" s="139" t="s">
        <v>51</v>
      </c>
      <c r="J22" s="159" t="s">
        <v>971</v>
      </c>
      <c r="K22" s="55">
        <v>20038918</v>
      </c>
      <c r="L22" s="55" t="s">
        <v>198</v>
      </c>
      <c r="M22" s="141" t="str">
        <f t="shared" si="0"/>
        <v>EH2-INT_D</v>
      </c>
      <c r="N22" s="142" t="str">
        <f>LOOKUP(M22,'[2]Doc Set'!E:E,'[2]Doc Set'!F:F)</f>
        <v>_</v>
      </c>
      <c r="O22" s="141" t="s">
        <v>931</v>
      </c>
      <c r="P22" s="142">
        <f>+LOOKUP(O22,'[2]Doc Set'!E:E,'[2]Doc Set'!G:G)</f>
        <v>43500</v>
      </c>
      <c r="Q22" s="55" t="str">
        <f t="shared" si="1"/>
        <v>EH2-INT_D</v>
      </c>
      <c r="R22" s="142">
        <f>+LOOKUP(Q22,'[2]Doc Set'!E:E,'[2]Doc Set'!H:H)</f>
        <v>43528</v>
      </c>
      <c r="S22" s="143" t="s">
        <v>200</v>
      </c>
    </row>
    <row r="23" spans="1:19" x14ac:dyDescent="0.3">
      <c r="A23" s="55" t="s">
        <v>40</v>
      </c>
      <c r="B23" s="55" t="s">
        <v>190</v>
      </c>
      <c r="C23" s="55" t="s">
        <v>191</v>
      </c>
      <c r="D23" s="162" t="s">
        <v>65</v>
      </c>
      <c r="E23" s="55" t="s">
        <v>193</v>
      </c>
      <c r="F23" s="55" t="s">
        <v>194</v>
      </c>
      <c r="G23" s="55" t="s">
        <v>273</v>
      </c>
      <c r="H23" s="55" t="s">
        <v>972</v>
      </c>
      <c r="I23" s="139" t="s">
        <v>51</v>
      </c>
      <c r="J23" s="159" t="s">
        <v>973</v>
      </c>
      <c r="K23" s="55">
        <v>20038918</v>
      </c>
      <c r="L23" s="55" t="s">
        <v>198</v>
      </c>
      <c r="M23" s="141" t="str">
        <f t="shared" si="0"/>
        <v>EH2-INT_D</v>
      </c>
      <c r="N23" s="142" t="str">
        <f>LOOKUP(M23,'[2]Doc Set'!E:E,'[2]Doc Set'!F:F)</f>
        <v>_</v>
      </c>
      <c r="O23" s="141" t="s">
        <v>931</v>
      </c>
      <c r="P23" s="142">
        <f>+LOOKUP(O23,'[2]Doc Set'!E:E,'[2]Doc Set'!G:G)</f>
        <v>43500</v>
      </c>
      <c r="Q23" s="55" t="str">
        <f t="shared" si="1"/>
        <v>EH2-INT_D</v>
      </c>
      <c r="R23" s="142">
        <f>+LOOKUP(Q23,'[2]Doc Set'!E:E,'[2]Doc Set'!H:H)</f>
        <v>43528</v>
      </c>
      <c r="S23" s="143" t="s">
        <v>200</v>
      </c>
    </row>
    <row r="24" spans="1:19" x14ac:dyDescent="0.3">
      <c r="A24" s="55" t="s">
        <v>40</v>
      </c>
      <c r="B24" s="55" t="s">
        <v>190</v>
      </c>
      <c r="C24" s="55" t="s">
        <v>191</v>
      </c>
      <c r="D24" s="162" t="s">
        <v>65</v>
      </c>
      <c r="E24" s="55" t="s">
        <v>193</v>
      </c>
      <c r="F24" s="55" t="s">
        <v>194</v>
      </c>
      <c r="G24" s="55" t="s">
        <v>276</v>
      </c>
      <c r="H24" s="55" t="s">
        <v>974</v>
      </c>
      <c r="I24" s="139" t="s">
        <v>51</v>
      </c>
      <c r="J24" s="159" t="s">
        <v>975</v>
      </c>
      <c r="K24" s="55">
        <v>20038918</v>
      </c>
      <c r="L24" s="55" t="s">
        <v>198</v>
      </c>
      <c r="M24" s="141" t="str">
        <f t="shared" si="0"/>
        <v>EH2-INT_D</v>
      </c>
      <c r="N24" s="142" t="str">
        <f>LOOKUP(M24,'[2]Doc Set'!E:E,'[2]Doc Set'!F:F)</f>
        <v>_</v>
      </c>
      <c r="O24" s="141" t="s">
        <v>931</v>
      </c>
      <c r="P24" s="142">
        <f>+LOOKUP(O24,'[2]Doc Set'!E:E,'[2]Doc Set'!G:G)</f>
        <v>43500</v>
      </c>
      <c r="Q24" s="55" t="str">
        <f t="shared" si="1"/>
        <v>EH2-INT_D</v>
      </c>
      <c r="R24" s="142">
        <f>+LOOKUP(Q24,'[2]Doc Set'!E:E,'[2]Doc Set'!H:H)</f>
        <v>43528</v>
      </c>
      <c r="S24" s="143" t="s">
        <v>200</v>
      </c>
    </row>
    <row r="25" spans="1:19" x14ac:dyDescent="0.3">
      <c r="A25" s="55" t="s">
        <v>40</v>
      </c>
      <c r="B25" s="55" t="s">
        <v>190</v>
      </c>
      <c r="C25" s="55" t="s">
        <v>191</v>
      </c>
      <c r="D25" s="162" t="s">
        <v>65</v>
      </c>
      <c r="E25" s="55" t="s">
        <v>193</v>
      </c>
      <c r="F25" s="55" t="s">
        <v>194</v>
      </c>
      <c r="G25" s="55" t="s">
        <v>282</v>
      </c>
      <c r="H25" s="55" t="s">
        <v>976</v>
      </c>
      <c r="I25" s="139" t="s">
        <v>51</v>
      </c>
      <c r="J25" s="159" t="s">
        <v>977</v>
      </c>
      <c r="K25" s="55">
        <v>20038918</v>
      </c>
      <c r="L25" s="55" t="s">
        <v>198</v>
      </c>
      <c r="M25" s="141" t="str">
        <f t="shared" si="0"/>
        <v>EH2-INT_D</v>
      </c>
      <c r="N25" s="142" t="str">
        <f>LOOKUP(M25,'[2]Doc Set'!E:E,'[2]Doc Set'!F:F)</f>
        <v>_</v>
      </c>
      <c r="O25" s="141" t="s">
        <v>931</v>
      </c>
      <c r="P25" s="142">
        <f>+LOOKUP(O25,'[2]Doc Set'!E:E,'[2]Doc Set'!G:G)</f>
        <v>43500</v>
      </c>
      <c r="Q25" s="55" t="str">
        <f t="shared" si="1"/>
        <v>EH2-INT_D</v>
      </c>
      <c r="R25" s="142">
        <f>+LOOKUP(Q25,'[2]Doc Set'!E:E,'[2]Doc Set'!H:H)</f>
        <v>43528</v>
      </c>
      <c r="S25" s="143" t="s">
        <v>200</v>
      </c>
    </row>
    <row r="26" spans="1:19" x14ac:dyDescent="0.3">
      <c r="A26" s="55" t="s">
        <v>40</v>
      </c>
      <c r="B26" s="55" t="s">
        <v>190</v>
      </c>
      <c r="C26" s="55" t="s">
        <v>191</v>
      </c>
      <c r="D26" s="162" t="s">
        <v>65</v>
      </c>
      <c r="E26" s="55" t="s">
        <v>193</v>
      </c>
      <c r="F26" s="55" t="s">
        <v>194</v>
      </c>
      <c r="G26" s="55" t="s">
        <v>285</v>
      </c>
      <c r="H26" s="55" t="s">
        <v>978</v>
      </c>
      <c r="I26" s="139" t="s">
        <v>51</v>
      </c>
      <c r="J26" s="159" t="s">
        <v>979</v>
      </c>
      <c r="K26" s="55">
        <v>20038918</v>
      </c>
      <c r="L26" s="55" t="s">
        <v>198</v>
      </c>
      <c r="M26" s="141" t="str">
        <f t="shared" si="0"/>
        <v>EH2-INT_D</v>
      </c>
      <c r="N26" s="142" t="str">
        <f>LOOKUP(M26,'[2]Doc Set'!E:E,'[2]Doc Set'!F:F)</f>
        <v>_</v>
      </c>
      <c r="O26" s="141" t="s">
        <v>931</v>
      </c>
      <c r="P26" s="142">
        <f>+LOOKUP(O26,'[2]Doc Set'!E:E,'[2]Doc Set'!G:G)</f>
        <v>43500</v>
      </c>
      <c r="Q26" s="55" t="str">
        <f t="shared" si="1"/>
        <v>EH2-INT_D</v>
      </c>
      <c r="R26" s="142">
        <f>+LOOKUP(Q26,'[2]Doc Set'!E:E,'[2]Doc Set'!H:H)</f>
        <v>43528</v>
      </c>
      <c r="S26" s="143" t="s">
        <v>200</v>
      </c>
    </row>
    <row r="27" spans="1:19" x14ac:dyDescent="0.3">
      <c r="A27" s="55" t="s">
        <v>40</v>
      </c>
      <c r="B27" s="55" t="s">
        <v>190</v>
      </c>
      <c r="C27" s="55" t="s">
        <v>191</v>
      </c>
      <c r="D27" s="162" t="s">
        <v>65</v>
      </c>
      <c r="E27" s="55" t="s">
        <v>193</v>
      </c>
      <c r="F27" s="55" t="s">
        <v>194</v>
      </c>
      <c r="G27" s="55" t="s">
        <v>288</v>
      </c>
      <c r="H27" s="55" t="s">
        <v>980</v>
      </c>
      <c r="I27" s="139" t="s">
        <v>51</v>
      </c>
      <c r="J27" s="159" t="s">
        <v>981</v>
      </c>
      <c r="K27" s="55">
        <v>20038918</v>
      </c>
      <c r="L27" s="55" t="s">
        <v>198</v>
      </c>
      <c r="M27" s="141" t="str">
        <f t="shared" si="0"/>
        <v>EH2-INT_D</v>
      </c>
      <c r="N27" s="142" t="str">
        <f>LOOKUP(M27,'[2]Doc Set'!E:E,'[2]Doc Set'!F:F)</f>
        <v>_</v>
      </c>
      <c r="O27" s="141" t="s">
        <v>931</v>
      </c>
      <c r="P27" s="142">
        <f>+LOOKUP(O27,'[2]Doc Set'!E:E,'[2]Doc Set'!G:G)</f>
        <v>43500</v>
      </c>
      <c r="Q27" s="55" t="str">
        <f t="shared" si="1"/>
        <v>EH2-INT_D</v>
      </c>
      <c r="R27" s="142">
        <f>+LOOKUP(Q27,'[2]Doc Set'!E:E,'[2]Doc Set'!H:H)</f>
        <v>43528</v>
      </c>
      <c r="S27" s="143" t="s">
        <v>200</v>
      </c>
    </row>
    <row r="28" spans="1:19" x14ac:dyDescent="0.3">
      <c r="A28" s="55" t="s">
        <v>40</v>
      </c>
      <c r="B28" s="55" t="s">
        <v>190</v>
      </c>
      <c r="C28" s="55" t="s">
        <v>191</v>
      </c>
      <c r="D28" s="162" t="s">
        <v>65</v>
      </c>
      <c r="E28" s="55" t="s">
        <v>193</v>
      </c>
      <c r="F28" s="55" t="s">
        <v>194</v>
      </c>
      <c r="G28" s="55" t="s">
        <v>291</v>
      </c>
      <c r="H28" s="55" t="s">
        <v>982</v>
      </c>
      <c r="I28" s="139" t="s">
        <v>51</v>
      </c>
      <c r="J28" s="159" t="s">
        <v>983</v>
      </c>
      <c r="K28" s="55">
        <v>20038918</v>
      </c>
      <c r="L28" s="55" t="s">
        <v>198</v>
      </c>
      <c r="M28" s="141" t="str">
        <f t="shared" si="0"/>
        <v>EH2-INT_D</v>
      </c>
      <c r="N28" s="142" t="str">
        <f>LOOKUP(M28,'[2]Doc Set'!E:E,'[2]Doc Set'!F:F)</f>
        <v>_</v>
      </c>
      <c r="O28" s="141" t="s">
        <v>931</v>
      </c>
      <c r="P28" s="142">
        <f>+LOOKUP(O28,'[2]Doc Set'!E:E,'[2]Doc Set'!G:G)</f>
        <v>43500</v>
      </c>
      <c r="Q28" s="55" t="str">
        <f t="shared" si="1"/>
        <v>EH2-INT_D</v>
      </c>
      <c r="R28" s="142">
        <f>+LOOKUP(Q28,'[2]Doc Set'!E:E,'[2]Doc Set'!H:H)</f>
        <v>43528</v>
      </c>
      <c r="S28" s="143" t="s">
        <v>200</v>
      </c>
    </row>
    <row r="29" spans="1:19" x14ac:dyDescent="0.3">
      <c r="A29" s="55" t="s">
        <v>40</v>
      </c>
      <c r="B29" s="55" t="s">
        <v>190</v>
      </c>
      <c r="C29" s="55" t="s">
        <v>191</v>
      </c>
      <c r="D29" s="162" t="s">
        <v>65</v>
      </c>
      <c r="E29" s="55" t="s">
        <v>193</v>
      </c>
      <c r="F29" s="55" t="s">
        <v>194</v>
      </c>
      <c r="G29" s="55" t="s">
        <v>294</v>
      </c>
      <c r="H29" s="55" t="s">
        <v>984</v>
      </c>
      <c r="I29" s="139" t="s">
        <v>51</v>
      </c>
      <c r="J29" s="159" t="s">
        <v>985</v>
      </c>
      <c r="K29" s="55">
        <v>20038918</v>
      </c>
      <c r="L29" s="55" t="s">
        <v>198</v>
      </c>
      <c r="M29" s="141" t="str">
        <f t="shared" si="0"/>
        <v>EH2-INT_D</v>
      </c>
      <c r="N29" s="142" t="str">
        <f>LOOKUP(M29,'[2]Doc Set'!E:E,'[2]Doc Set'!F:F)</f>
        <v>_</v>
      </c>
      <c r="O29" s="141" t="s">
        <v>931</v>
      </c>
      <c r="P29" s="142">
        <f>+LOOKUP(O29,'[2]Doc Set'!E:E,'[2]Doc Set'!G:G)</f>
        <v>43500</v>
      </c>
      <c r="Q29" s="55" t="str">
        <f t="shared" si="1"/>
        <v>EH2-INT_D</v>
      </c>
      <c r="R29" s="142">
        <f>+LOOKUP(Q29,'[2]Doc Set'!E:E,'[2]Doc Set'!H:H)</f>
        <v>43528</v>
      </c>
      <c r="S29" s="143" t="s">
        <v>200</v>
      </c>
    </row>
    <row r="30" spans="1:19" x14ac:dyDescent="0.3">
      <c r="A30" s="55" t="s">
        <v>40</v>
      </c>
      <c r="B30" s="55" t="s">
        <v>190</v>
      </c>
      <c r="C30" s="55" t="s">
        <v>191</v>
      </c>
      <c r="D30" s="162" t="s">
        <v>65</v>
      </c>
      <c r="E30" s="55" t="s">
        <v>193</v>
      </c>
      <c r="F30" s="55" t="s">
        <v>194</v>
      </c>
      <c r="G30" s="55" t="s">
        <v>297</v>
      </c>
      <c r="H30" s="55" t="s">
        <v>986</v>
      </c>
      <c r="I30" s="139" t="s">
        <v>51</v>
      </c>
      <c r="J30" s="159" t="s">
        <v>987</v>
      </c>
      <c r="K30" s="55">
        <v>20038918</v>
      </c>
      <c r="L30" s="55" t="s">
        <v>198</v>
      </c>
      <c r="M30" s="141" t="str">
        <f t="shared" si="0"/>
        <v>EH2-INT_D</v>
      </c>
      <c r="N30" s="142" t="str">
        <f>LOOKUP(M30,'[2]Doc Set'!E:E,'[2]Doc Set'!F:F)</f>
        <v>_</v>
      </c>
      <c r="O30" s="141" t="s">
        <v>931</v>
      </c>
      <c r="P30" s="142">
        <f>+LOOKUP(O30,'[2]Doc Set'!E:E,'[2]Doc Set'!G:G)</f>
        <v>43500</v>
      </c>
      <c r="Q30" s="55" t="str">
        <f t="shared" si="1"/>
        <v>EH2-INT_D</v>
      </c>
      <c r="R30" s="142">
        <f>+LOOKUP(Q30,'[2]Doc Set'!E:E,'[2]Doc Set'!H:H)</f>
        <v>43528</v>
      </c>
      <c r="S30" s="143" t="s">
        <v>200</v>
      </c>
    </row>
    <row r="31" spans="1:19" x14ac:dyDescent="0.3">
      <c r="A31" s="55" t="s">
        <v>40</v>
      </c>
      <c r="B31" s="55" t="s">
        <v>190</v>
      </c>
      <c r="C31" s="55" t="s">
        <v>191</v>
      </c>
      <c r="D31" s="162" t="s">
        <v>65</v>
      </c>
      <c r="E31" s="55" t="s">
        <v>193</v>
      </c>
      <c r="F31" s="55" t="s">
        <v>194</v>
      </c>
      <c r="G31" s="55" t="s">
        <v>303</v>
      </c>
      <c r="H31" s="55" t="s">
        <v>988</v>
      </c>
      <c r="I31" s="139" t="s">
        <v>51</v>
      </c>
      <c r="J31" s="159" t="s">
        <v>989</v>
      </c>
      <c r="K31" s="55">
        <v>20038918</v>
      </c>
      <c r="L31" s="55" t="s">
        <v>198</v>
      </c>
      <c r="M31" s="141" t="str">
        <f t="shared" si="0"/>
        <v>EH2-INT_D</v>
      </c>
      <c r="N31" s="142" t="str">
        <f>LOOKUP(M31,'[2]Doc Set'!E:E,'[2]Doc Set'!F:F)</f>
        <v>_</v>
      </c>
      <c r="O31" s="141" t="s">
        <v>931</v>
      </c>
      <c r="P31" s="142">
        <f>+LOOKUP(O31,'[2]Doc Set'!E:E,'[2]Doc Set'!G:G)</f>
        <v>43500</v>
      </c>
      <c r="Q31" s="55" t="str">
        <f t="shared" si="1"/>
        <v>EH2-INT_D</v>
      </c>
      <c r="R31" s="142">
        <f>+LOOKUP(Q31,'[2]Doc Set'!E:E,'[2]Doc Set'!H:H)</f>
        <v>43528</v>
      </c>
      <c r="S31" s="143" t="s">
        <v>200</v>
      </c>
    </row>
    <row r="32" spans="1:19" x14ac:dyDescent="0.3">
      <c r="A32" s="55" t="s">
        <v>40</v>
      </c>
      <c r="B32" s="55" t="s">
        <v>190</v>
      </c>
      <c r="C32" s="55" t="s">
        <v>191</v>
      </c>
      <c r="D32" s="162" t="s">
        <v>65</v>
      </c>
      <c r="E32" s="55" t="s">
        <v>193</v>
      </c>
      <c r="F32" s="55" t="s">
        <v>194</v>
      </c>
      <c r="G32" s="55" t="s">
        <v>307</v>
      </c>
      <c r="H32" s="55" t="s">
        <v>990</v>
      </c>
      <c r="I32" s="139" t="s">
        <v>51</v>
      </c>
      <c r="J32" s="159" t="s">
        <v>991</v>
      </c>
      <c r="K32" s="55">
        <v>20038918</v>
      </c>
      <c r="L32" s="55" t="s">
        <v>198</v>
      </c>
      <c r="M32" s="141" t="str">
        <f t="shared" si="0"/>
        <v>EH2-INT_D</v>
      </c>
      <c r="N32" s="142" t="str">
        <f>LOOKUP(M32,'[2]Doc Set'!E:E,'[2]Doc Set'!F:F)</f>
        <v>_</v>
      </c>
      <c r="O32" s="141" t="s">
        <v>931</v>
      </c>
      <c r="P32" s="142">
        <f>+LOOKUP(O32,'[2]Doc Set'!E:E,'[2]Doc Set'!G:G)</f>
        <v>43500</v>
      </c>
      <c r="Q32" s="55" t="str">
        <f t="shared" si="1"/>
        <v>EH2-INT_D</v>
      </c>
      <c r="R32" s="142">
        <f>+LOOKUP(Q32,'[2]Doc Set'!E:E,'[2]Doc Set'!H:H)</f>
        <v>43528</v>
      </c>
      <c r="S32" s="143" t="s">
        <v>200</v>
      </c>
    </row>
    <row r="33" spans="1:19" x14ac:dyDescent="0.3">
      <c r="A33" s="55" t="s">
        <v>40</v>
      </c>
      <c r="B33" s="55" t="s">
        <v>190</v>
      </c>
      <c r="C33" s="55" t="s">
        <v>191</v>
      </c>
      <c r="D33" s="162" t="s">
        <v>65</v>
      </c>
      <c r="E33" s="55" t="s">
        <v>193</v>
      </c>
      <c r="F33" s="55" t="s">
        <v>194</v>
      </c>
      <c r="G33" s="55" t="s">
        <v>310</v>
      </c>
      <c r="H33" s="55" t="s">
        <v>992</v>
      </c>
      <c r="I33" s="139" t="s">
        <v>51</v>
      </c>
      <c r="J33" s="159" t="s">
        <v>993</v>
      </c>
      <c r="K33" s="55">
        <v>20038918</v>
      </c>
      <c r="L33" s="55" t="s">
        <v>198</v>
      </c>
      <c r="M33" s="141" t="str">
        <f t="shared" si="0"/>
        <v>EH2-INT_D</v>
      </c>
      <c r="N33" s="142" t="str">
        <f>LOOKUP(M33,'[2]Doc Set'!E:E,'[2]Doc Set'!F:F)</f>
        <v>_</v>
      </c>
      <c r="O33" s="141" t="s">
        <v>931</v>
      </c>
      <c r="P33" s="142">
        <f>+LOOKUP(O33,'[2]Doc Set'!E:E,'[2]Doc Set'!G:G)</f>
        <v>43500</v>
      </c>
      <c r="Q33" s="55" t="str">
        <f t="shared" si="1"/>
        <v>EH2-INT_D</v>
      </c>
      <c r="R33" s="142">
        <f>+LOOKUP(Q33,'[2]Doc Set'!E:E,'[2]Doc Set'!H:H)</f>
        <v>43528</v>
      </c>
      <c r="S33" s="143" t="s">
        <v>200</v>
      </c>
    </row>
    <row r="34" spans="1:19" x14ac:dyDescent="0.3">
      <c r="A34" s="55" t="s">
        <v>40</v>
      </c>
      <c r="B34" s="55" t="s">
        <v>190</v>
      </c>
      <c r="C34" s="55" t="s">
        <v>191</v>
      </c>
      <c r="D34" s="162" t="s">
        <v>65</v>
      </c>
      <c r="E34" s="55" t="s">
        <v>193</v>
      </c>
      <c r="F34" s="55" t="s">
        <v>194</v>
      </c>
      <c r="G34" s="55" t="s">
        <v>313</v>
      </c>
      <c r="H34" s="55" t="s">
        <v>994</v>
      </c>
      <c r="I34" s="139" t="s">
        <v>51</v>
      </c>
      <c r="J34" s="159" t="s">
        <v>995</v>
      </c>
      <c r="K34" s="55">
        <v>20038918</v>
      </c>
      <c r="L34" s="55" t="s">
        <v>198</v>
      </c>
      <c r="M34" s="141" t="str">
        <f t="shared" si="0"/>
        <v>EH2-INT_D</v>
      </c>
      <c r="N34" s="142" t="str">
        <f>LOOKUP(M34,'[2]Doc Set'!E:E,'[2]Doc Set'!F:F)</f>
        <v>_</v>
      </c>
      <c r="O34" s="141" t="s">
        <v>931</v>
      </c>
      <c r="P34" s="142">
        <f>+LOOKUP(O34,'[2]Doc Set'!E:E,'[2]Doc Set'!G:G)</f>
        <v>43500</v>
      </c>
      <c r="Q34" s="55" t="str">
        <f t="shared" si="1"/>
        <v>EH2-INT_D</v>
      </c>
      <c r="R34" s="142">
        <f>+LOOKUP(Q34,'[2]Doc Set'!E:E,'[2]Doc Set'!H:H)</f>
        <v>43528</v>
      </c>
      <c r="S34" s="143" t="s">
        <v>200</v>
      </c>
    </row>
    <row r="35" spans="1:19" x14ac:dyDescent="0.3">
      <c r="A35" s="55" t="s">
        <v>40</v>
      </c>
      <c r="B35" s="55" t="s">
        <v>190</v>
      </c>
      <c r="C35" s="55" t="s">
        <v>191</v>
      </c>
      <c r="D35" s="162" t="s">
        <v>65</v>
      </c>
      <c r="E35" s="55" t="s">
        <v>193</v>
      </c>
      <c r="F35" s="55" t="s">
        <v>194</v>
      </c>
      <c r="G35" s="55" t="s">
        <v>316</v>
      </c>
      <c r="H35" s="55" t="s">
        <v>996</v>
      </c>
      <c r="I35" s="139" t="s">
        <v>51</v>
      </c>
      <c r="J35" s="159" t="s">
        <v>997</v>
      </c>
      <c r="K35" s="55">
        <v>20038918</v>
      </c>
      <c r="L35" s="55" t="s">
        <v>198</v>
      </c>
      <c r="M35" s="141" t="str">
        <f t="shared" si="0"/>
        <v>EH2-INT_D</v>
      </c>
      <c r="N35" s="142" t="str">
        <f>LOOKUP(M35,'[2]Doc Set'!E:E,'[2]Doc Set'!F:F)</f>
        <v>_</v>
      </c>
      <c r="O35" s="141" t="s">
        <v>931</v>
      </c>
      <c r="P35" s="142">
        <f>+LOOKUP(O35,'[2]Doc Set'!E:E,'[2]Doc Set'!G:G)</f>
        <v>43500</v>
      </c>
      <c r="Q35" s="55" t="str">
        <f t="shared" si="1"/>
        <v>EH2-INT_D</v>
      </c>
      <c r="R35" s="142">
        <f>+LOOKUP(Q35,'[2]Doc Set'!E:E,'[2]Doc Set'!H:H)</f>
        <v>43528</v>
      </c>
      <c r="S35" s="143" t="s">
        <v>200</v>
      </c>
    </row>
    <row r="36" spans="1:19" x14ac:dyDescent="0.3">
      <c r="A36" s="55" t="s">
        <v>40</v>
      </c>
      <c r="B36" s="55" t="s">
        <v>190</v>
      </c>
      <c r="C36" s="55" t="s">
        <v>191</v>
      </c>
      <c r="D36" s="162" t="s">
        <v>65</v>
      </c>
      <c r="E36" s="55" t="s">
        <v>193</v>
      </c>
      <c r="F36" s="55" t="s">
        <v>194</v>
      </c>
      <c r="G36" s="55" t="s">
        <v>319</v>
      </c>
      <c r="H36" s="55" t="s">
        <v>998</v>
      </c>
      <c r="I36" s="139" t="s">
        <v>51</v>
      </c>
      <c r="J36" s="159" t="s">
        <v>999</v>
      </c>
      <c r="K36" s="55">
        <v>20038918</v>
      </c>
      <c r="L36" s="55" t="s">
        <v>198</v>
      </c>
      <c r="M36" s="141" t="str">
        <f t="shared" si="0"/>
        <v>EH2-INT_D</v>
      </c>
      <c r="N36" s="142" t="str">
        <f>LOOKUP(M36,'[2]Doc Set'!E:E,'[2]Doc Set'!F:F)</f>
        <v>_</v>
      </c>
      <c r="O36" s="141" t="s">
        <v>931</v>
      </c>
      <c r="P36" s="142">
        <f>+LOOKUP(O36,'[2]Doc Set'!E:E,'[2]Doc Set'!G:G)</f>
        <v>43500</v>
      </c>
      <c r="Q36" s="55" t="str">
        <f t="shared" si="1"/>
        <v>EH2-INT_D</v>
      </c>
      <c r="R36" s="142">
        <f>+LOOKUP(Q36,'[2]Doc Set'!E:E,'[2]Doc Set'!H:H)</f>
        <v>43528</v>
      </c>
      <c r="S36" s="143" t="s">
        <v>200</v>
      </c>
    </row>
    <row r="37" spans="1:19" x14ac:dyDescent="0.3">
      <c r="A37" s="55" t="s">
        <v>40</v>
      </c>
      <c r="B37" s="55" t="s">
        <v>190</v>
      </c>
      <c r="C37" s="55" t="s">
        <v>191</v>
      </c>
      <c r="D37" s="162" t="s">
        <v>65</v>
      </c>
      <c r="E37" s="55" t="s">
        <v>193</v>
      </c>
      <c r="F37" s="55" t="s">
        <v>194</v>
      </c>
      <c r="G37" s="55" t="s">
        <v>325</v>
      </c>
      <c r="H37" s="55" t="s">
        <v>1000</v>
      </c>
      <c r="I37" s="139" t="s">
        <v>51</v>
      </c>
      <c r="J37" s="159" t="s">
        <v>1001</v>
      </c>
      <c r="K37" s="55">
        <v>20038918</v>
      </c>
      <c r="L37" s="55" t="s">
        <v>198</v>
      </c>
      <c r="M37" s="141" t="str">
        <f t="shared" si="0"/>
        <v>EH2-INT_D</v>
      </c>
      <c r="N37" s="142" t="str">
        <f>LOOKUP(M37,'[2]Doc Set'!E:E,'[2]Doc Set'!F:F)</f>
        <v>_</v>
      </c>
      <c r="O37" s="141" t="s">
        <v>931</v>
      </c>
      <c r="P37" s="142">
        <f>+LOOKUP(O37,'[2]Doc Set'!E:E,'[2]Doc Set'!G:G)</f>
        <v>43500</v>
      </c>
      <c r="Q37" s="55" t="str">
        <f t="shared" si="1"/>
        <v>EH2-INT_D</v>
      </c>
      <c r="R37" s="142">
        <f>+LOOKUP(Q37,'[2]Doc Set'!E:E,'[2]Doc Set'!H:H)</f>
        <v>43528</v>
      </c>
      <c r="S37" s="143" t="s">
        <v>200</v>
      </c>
    </row>
    <row r="38" spans="1:19" x14ac:dyDescent="0.3">
      <c r="A38" s="55" t="s">
        <v>40</v>
      </c>
      <c r="B38" s="55" t="s">
        <v>190</v>
      </c>
      <c r="C38" s="55" t="s">
        <v>191</v>
      </c>
      <c r="D38" s="162" t="s">
        <v>65</v>
      </c>
      <c r="E38" s="55" t="s">
        <v>193</v>
      </c>
      <c r="F38" s="55" t="s">
        <v>194</v>
      </c>
      <c r="G38" s="55" t="s">
        <v>328</v>
      </c>
      <c r="H38" s="55" t="s">
        <v>1002</v>
      </c>
      <c r="I38" s="139" t="s">
        <v>51</v>
      </c>
      <c r="J38" s="159" t="s">
        <v>1003</v>
      </c>
      <c r="K38" s="55">
        <v>20038918</v>
      </c>
      <c r="L38" s="55" t="s">
        <v>198</v>
      </c>
      <c r="M38" s="141" t="str">
        <f t="shared" si="0"/>
        <v>EH2-INT_D</v>
      </c>
      <c r="N38" s="142" t="str">
        <f>LOOKUP(M38,'[2]Doc Set'!E:E,'[2]Doc Set'!F:F)</f>
        <v>_</v>
      </c>
      <c r="O38" s="141" t="s">
        <v>931</v>
      </c>
      <c r="P38" s="142">
        <f>+LOOKUP(O38,'[2]Doc Set'!E:E,'[2]Doc Set'!G:G)</f>
        <v>43500</v>
      </c>
      <c r="Q38" s="55" t="str">
        <f t="shared" si="1"/>
        <v>EH2-INT_D</v>
      </c>
      <c r="R38" s="142">
        <f>+LOOKUP(Q38,'[2]Doc Set'!E:E,'[2]Doc Set'!H:H)</f>
        <v>43528</v>
      </c>
      <c r="S38" s="143" t="s">
        <v>200</v>
      </c>
    </row>
    <row r="39" spans="1:19" x14ac:dyDescent="0.3">
      <c r="A39" s="55" t="s">
        <v>40</v>
      </c>
      <c r="B39" s="55" t="s">
        <v>190</v>
      </c>
      <c r="C39" s="55" t="s">
        <v>191</v>
      </c>
      <c r="D39" s="162" t="s">
        <v>65</v>
      </c>
      <c r="E39" s="55" t="s">
        <v>193</v>
      </c>
      <c r="F39" s="55" t="s">
        <v>194</v>
      </c>
      <c r="G39" s="55" t="s">
        <v>331</v>
      </c>
      <c r="H39" s="55" t="s">
        <v>1004</v>
      </c>
      <c r="I39" s="139" t="s">
        <v>51</v>
      </c>
      <c r="J39" s="159" t="s">
        <v>1005</v>
      </c>
      <c r="K39" s="55">
        <v>20038918</v>
      </c>
      <c r="L39" s="55" t="s">
        <v>198</v>
      </c>
      <c r="M39" s="141" t="str">
        <f t="shared" si="0"/>
        <v>EH2-INT_D</v>
      </c>
      <c r="N39" s="142" t="str">
        <f>LOOKUP(M39,'[2]Doc Set'!E:E,'[2]Doc Set'!F:F)</f>
        <v>_</v>
      </c>
      <c r="O39" s="141" t="s">
        <v>931</v>
      </c>
      <c r="P39" s="142">
        <f>+LOOKUP(O39,'[2]Doc Set'!E:E,'[2]Doc Set'!G:G)</f>
        <v>43500</v>
      </c>
      <c r="Q39" s="55" t="str">
        <f t="shared" si="1"/>
        <v>EH2-INT_D</v>
      </c>
      <c r="R39" s="142">
        <f>+LOOKUP(Q39,'[2]Doc Set'!E:E,'[2]Doc Set'!H:H)</f>
        <v>43528</v>
      </c>
      <c r="S39" s="143" t="s">
        <v>200</v>
      </c>
    </row>
    <row r="40" spans="1:19" x14ac:dyDescent="0.3">
      <c r="A40" s="55" t="s">
        <v>40</v>
      </c>
      <c r="B40" s="55" t="s">
        <v>190</v>
      </c>
      <c r="C40" s="55" t="s">
        <v>191</v>
      </c>
      <c r="D40" s="162" t="s">
        <v>65</v>
      </c>
      <c r="E40" s="55" t="s">
        <v>193</v>
      </c>
      <c r="F40" s="55" t="s">
        <v>194</v>
      </c>
      <c r="G40" s="55" t="s">
        <v>334</v>
      </c>
      <c r="H40" s="55" t="s">
        <v>1006</v>
      </c>
      <c r="I40" s="139" t="s">
        <v>51</v>
      </c>
      <c r="J40" s="159" t="s">
        <v>1007</v>
      </c>
      <c r="K40" s="55">
        <v>20038918</v>
      </c>
      <c r="L40" s="55" t="s">
        <v>198</v>
      </c>
      <c r="M40" s="141" t="str">
        <f t="shared" si="0"/>
        <v>EH2-INT_D</v>
      </c>
      <c r="N40" s="142" t="str">
        <f>LOOKUP(M40,'[2]Doc Set'!E:E,'[2]Doc Set'!F:F)</f>
        <v>_</v>
      </c>
      <c r="O40" s="141" t="s">
        <v>931</v>
      </c>
      <c r="P40" s="142">
        <f>+LOOKUP(O40,'[2]Doc Set'!E:E,'[2]Doc Set'!G:G)</f>
        <v>43500</v>
      </c>
      <c r="Q40" s="55" t="str">
        <f t="shared" si="1"/>
        <v>EH2-INT_D</v>
      </c>
      <c r="R40" s="142">
        <f>+LOOKUP(Q40,'[2]Doc Set'!E:E,'[2]Doc Set'!H:H)</f>
        <v>43528</v>
      </c>
      <c r="S40" s="143" t="s">
        <v>200</v>
      </c>
    </row>
    <row r="41" spans="1:19" x14ac:dyDescent="0.3">
      <c r="A41" s="55" t="s">
        <v>40</v>
      </c>
      <c r="B41" s="55" t="s">
        <v>190</v>
      </c>
      <c r="C41" s="55" t="s">
        <v>191</v>
      </c>
      <c r="D41" s="162" t="s">
        <v>65</v>
      </c>
      <c r="E41" s="55" t="s">
        <v>193</v>
      </c>
      <c r="F41" s="55" t="s">
        <v>194</v>
      </c>
      <c r="G41" s="55" t="s">
        <v>337</v>
      </c>
      <c r="H41" s="55" t="s">
        <v>1008</v>
      </c>
      <c r="I41" s="139" t="s">
        <v>51</v>
      </c>
      <c r="J41" s="159" t="s">
        <v>1009</v>
      </c>
      <c r="K41" s="55">
        <v>20038918</v>
      </c>
      <c r="L41" s="55" t="s">
        <v>198</v>
      </c>
      <c r="M41" s="141" t="str">
        <f t="shared" si="0"/>
        <v>EH2-INT_D</v>
      </c>
      <c r="N41" s="142" t="str">
        <f>LOOKUP(M41,'[2]Doc Set'!E:E,'[2]Doc Set'!F:F)</f>
        <v>_</v>
      </c>
      <c r="O41" s="141" t="s">
        <v>931</v>
      </c>
      <c r="P41" s="142">
        <f>+LOOKUP(O41,'[2]Doc Set'!E:E,'[2]Doc Set'!G:G)</f>
        <v>43500</v>
      </c>
      <c r="Q41" s="55" t="str">
        <f t="shared" si="1"/>
        <v>EH2-INT_D</v>
      </c>
      <c r="R41" s="142">
        <f>+LOOKUP(Q41,'[2]Doc Set'!E:E,'[2]Doc Set'!H:H)</f>
        <v>43528</v>
      </c>
      <c r="S41" s="143" t="s">
        <v>200</v>
      </c>
    </row>
    <row r="42" spans="1:19" x14ac:dyDescent="0.3">
      <c r="A42" s="55" t="s">
        <v>40</v>
      </c>
      <c r="B42" s="55" t="s">
        <v>190</v>
      </c>
      <c r="C42" s="55" t="s">
        <v>191</v>
      </c>
      <c r="D42" s="162" t="s">
        <v>65</v>
      </c>
      <c r="E42" s="55" t="s">
        <v>193</v>
      </c>
      <c r="F42" s="55" t="s">
        <v>194</v>
      </c>
      <c r="G42" s="55" t="s">
        <v>340</v>
      </c>
      <c r="H42" s="55" t="s">
        <v>1010</v>
      </c>
      <c r="I42" s="139" t="s">
        <v>51</v>
      </c>
      <c r="J42" s="159" t="s">
        <v>1011</v>
      </c>
      <c r="K42" s="55">
        <v>20038918</v>
      </c>
      <c r="L42" s="55" t="s">
        <v>198</v>
      </c>
      <c r="M42" s="141" t="str">
        <f t="shared" si="0"/>
        <v>EH2-INT_D</v>
      </c>
      <c r="N42" s="142" t="str">
        <f>LOOKUP(M42,'[2]Doc Set'!E:E,'[2]Doc Set'!F:F)</f>
        <v>_</v>
      </c>
      <c r="O42" s="141" t="s">
        <v>931</v>
      </c>
      <c r="P42" s="142">
        <f>+LOOKUP(O42,'[2]Doc Set'!E:E,'[2]Doc Set'!G:G)</f>
        <v>43500</v>
      </c>
      <c r="Q42" s="55" t="str">
        <f t="shared" si="1"/>
        <v>EH2-INT_D</v>
      </c>
      <c r="R42" s="142">
        <f>+LOOKUP(Q42,'[2]Doc Set'!E:E,'[2]Doc Set'!H:H)</f>
        <v>43528</v>
      </c>
      <c r="S42" s="143" t="s">
        <v>200</v>
      </c>
    </row>
    <row r="43" spans="1:19" x14ac:dyDescent="0.3">
      <c r="A43" s="55" t="s">
        <v>40</v>
      </c>
      <c r="B43" s="55" t="s">
        <v>190</v>
      </c>
      <c r="C43" s="55" t="s">
        <v>191</v>
      </c>
      <c r="D43" s="162" t="s">
        <v>65</v>
      </c>
      <c r="E43" s="55" t="s">
        <v>193</v>
      </c>
      <c r="F43" s="55" t="s">
        <v>194</v>
      </c>
      <c r="G43" s="55" t="s">
        <v>799</v>
      </c>
      <c r="H43" s="55" t="s">
        <v>1012</v>
      </c>
      <c r="I43" s="139" t="s">
        <v>51</v>
      </c>
      <c r="J43" s="159" t="s">
        <v>1013</v>
      </c>
      <c r="K43" s="55">
        <v>20038918</v>
      </c>
      <c r="L43" s="55" t="s">
        <v>198</v>
      </c>
      <c r="M43" s="141" t="str">
        <f t="shared" si="0"/>
        <v>EH2-INT_D</v>
      </c>
      <c r="N43" s="142" t="str">
        <f>LOOKUP(M43,'[2]Doc Set'!E:E,'[2]Doc Set'!F:F)</f>
        <v>_</v>
      </c>
      <c r="O43" s="141" t="s">
        <v>931</v>
      </c>
      <c r="P43" s="142">
        <f>+LOOKUP(O43,'[2]Doc Set'!E:E,'[2]Doc Set'!G:G)</f>
        <v>43500</v>
      </c>
      <c r="Q43" s="55" t="str">
        <f t="shared" si="1"/>
        <v>EH2-INT_D</v>
      </c>
      <c r="R43" s="142">
        <f>+LOOKUP(Q43,'[2]Doc Set'!E:E,'[2]Doc Set'!H:H)</f>
        <v>43528</v>
      </c>
      <c r="S43" s="143" t="s">
        <v>200</v>
      </c>
    </row>
    <row r="44" spans="1:19" x14ac:dyDescent="0.3">
      <c r="A44" s="55" t="s">
        <v>40</v>
      </c>
      <c r="B44" s="55" t="s">
        <v>190</v>
      </c>
      <c r="C44" s="55" t="s">
        <v>191</v>
      </c>
      <c r="D44" s="162" t="s">
        <v>65</v>
      </c>
      <c r="E44" s="55" t="s">
        <v>193</v>
      </c>
      <c r="F44" s="55" t="s">
        <v>194</v>
      </c>
      <c r="G44" s="55" t="s">
        <v>491</v>
      </c>
      <c r="H44" s="55" t="s">
        <v>1014</v>
      </c>
      <c r="I44" s="139" t="s">
        <v>51</v>
      </c>
      <c r="J44" s="159" t="s">
        <v>1015</v>
      </c>
      <c r="K44" s="55">
        <v>20038918</v>
      </c>
      <c r="L44" s="55" t="s">
        <v>198</v>
      </c>
      <c r="M44" s="141" t="str">
        <f t="shared" si="0"/>
        <v>EH2-INT_D</v>
      </c>
      <c r="N44" s="142" t="str">
        <f>LOOKUP(M44,'[2]Doc Set'!E:E,'[2]Doc Set'!F:F)</f>
        <v>_</v>
      </c>
      <c r="O44" s="141" t="s">
        <v>931</v>
      </c>
      <c r="P44" s="142">
        <f>+LOOKUP(O44,'[2]Doc Set'!E:E,'[2]Doc Set'!G:G)</f>
        <v>43500</v>
      </c>
      <c r="Q44" s="55" t="str">
        <f t="shared" si="1"/>
        <v>EH2-INT_D</v>
      </c>
      <c r="R44" s="142">
        <f>+LOOKUP(Q44,'[2]Doc Set'!E:E,'[2]Doc Set'!H:H)</f>
        <v>43528</v>
      </c>
      <c r="S44" s="143" t="s">
        <v>200</v>
      </c>
    </row>
    <row r="45" spans="1:19" x14ac:dyDescent="0.3">
      <c r="A45" s="55" t="s">
        <v>40</v>
      </c>
      <c r="B45" s="55" t="s">
        <v>190</v>
      </c>
      <c r="C45" s="55" t="s">
        <v>191</v>
      </c>
      <c r="D45" s="162" t="s">
        <v>65</v>
      </c>
      <c r="E45" s="55" t="s">
        <v>193</v>
      </c>
      <c r="F45" s="55" t="s">
        <v>194</v>
      </c>
      <c r="G45" s="55" t="s">
        <v>518</v>
      </c>
      <c r="H45" s="55" t="s">
        <v>1016</v>
      </c>
      <c r="I45" s="139" t="s">
        <v>51</v>
      </c>
      <c r="J45" s="159" t="s">
        <v>1017</v>
      </c>
      <c r="K45" s="55">
        <v>20038918</v>
      </c>
      <c r="L45" s="55" t="s">
        <v>198</v>
      </c>
      <c r="M45" s="141" t="str">
        <f t="shared" si="0"/>
        <v>EH2-INT_D</v>
      </c>
      <c r="N45" s="142" t="str">
        <f>LOOKUP(M45,'[2]Doc Set'!E:E,'[2]Doc Set'!F:F)</f>
        <v>_</v>
      </c>
      <c r="O45" s="141" t="s">
        <v>931</v>
      </c>
      <c r="P45" s="142">
        <f>+LOOKUP(O45,'[2]Doc Set'!E:E,'[2]Doc Set'!G:G)</f>
        <v>43500</v>
      </c>
      <c r="Q45" s="55" t="str">
        <f t="shared" si="1"/>
        <v>EH2-INT_D</v>
      </c>
      <c r="R45" s="142">
        <f>+LOOKUP(Q45,'[2]Doc Set'!E:E,'[2]Doc Set'!H:H)</f>
        <v>43528</v>
      </c>
      <c r="S45" s="143" t="s">
        <v>200</v>
      </c>
    </row>
    <row r="46" spans="1:19" x14ac:dyDescent="0.3">
      <c r="A46" s="55" t="s">
        <v>40</v>
      </c>
      <c r="B46" s="55" t="s">
        <v>190</v>
      </c>
      <c r="C46" s="55" t="s">
        <v>191</v>
      </c>
      <c r="D46" s="162" t="s">
        <v>65</v>
      </c>
      <c r="E46" s="55" t="s">
        <v>193</v>
      </c>
      <c r="F46" s="55" t="s">
        <v>194</v>
      </c>
      <c r="G46" s="55" t="s">
        <v>494</v>
      </c>
      <c r="H46" s="55" t="s">
        <v>1018</v>
      </c>
      <c r="I46" s="139" t="s">
        <v>51</v>
      </c>
      <c r="J46" s="159" t="s">
        <v>1019</v>
      </c>
      <c r="K46" s="55">
        <v>20038918</v>
      </c>
      <c r="L46" s="55" t="s">
        <v>198</v>
      </c>
      <c r="M46" s="141" t="str">
        <f t="shared" si="0"/>
        <v>EH2-INT_D</v>
      </c>
      <c r="N46" s="142" t="str">
        <f>LOOKUP(M46,'[2]Doc Set'!E:E,'[2]Doc Set'!F:F)</f>
        <v>_</v>
      </c>
      <c r="O46" s="141" t="s">
        <v>931</v>
      </c>
      <c r="P46" s="142">
        <f>+LOOKUP(O46,'[2]Doc Set'!E:E,'[2]Doc Set'!G:G)</f>
        <v>43500</v>
      </c>
      <c r="Q46" s="55" t="str">
        <f t="shared" si="1"/>
        <v>EH2-INT_D</v>
      </c>
      <c r="R46" s="142">
        <f>+LOOKUP(Q46,'[2]Doc Set'!E:E,'[2]Doc Set'!H:H)</f>
        <v>43528</v>
      </c>
      <c r="S46" s="143" t="s">
        <v>200</v>
      </c>
    </row>
    <row r="47" spans="1:19" x14ac:dyDescent="0.3">
      <c r="A47" s="55" t="s">
        <v>40</v>
      </c>
      <c r="B47" s="55" t="s">
        <v>190</v>
      </c>
      <c r="C47" s="55" t="s">
        <v>191</v>
      </c>
      <c r="D47" s="162" t="s">
        <v>65</v>
      </c>
      <c r="E47" s="55" t="s">
        <v>193</v>
      </c>
      <c r="F47" s="55" t="s">
        <v>194</v>
      </c>
      <c r="G47" s="55" t="s">
        <v>497</v>
      </c>
      <c r="H47" s="55" t="s">
        <v>1020</v>
      </c>
      <c r="I47" s="139" t="s">
        <v>51</v>
      </c>
      <c r="J47" s="159" t="s">
        <v>1021</v>
      </c>
      <c r="K47" s="55">
        <v>20038918</v>
      </c>
      <c r="L47" s="55" t="s">
        <v>198</v>
      </c>
      <c r="M47" s="141" t="str">
        <f t="shared" si="0"/>
        <v>EH2-INT_D</v>
      </c>
      <c r="N47" s="142" t="str">
        <f>LOOKUP(M47,'[2]Doc Set'!E:E,'[2]Doc Set'!F:F)</f>
        <v>_</v>
      </c>
      <c r="O47" s="141" t="s">
        <v>931</v>
      </c>
      <c r="P47" s="142">
        <f>+LOOKUP(O47,'[2]Doc Set'!E:E,'[2]Doc Set'!G:G)</f>
        <v>43500</v>
      </c>
      <c r="Q47" s="55" t="str">
        <f t="shared" si="1"/>
        <v>EH2-INT_D</v>
      </c>
      <c r="R47" s="142">
        <f>+LOOKUP(Q47,'[2]Doc Set'!E:E,'[2]Doc Set'!H:H)</f>
        <v>43528</v>
      </c>
      <c r="S47" s="143" t="s">
        <v>200</v>
      </c>
    </row>
    <row r="48" spans="1:19" x14ac:dyDescent="0.3">
      <c r="A48" s="55" t="s">
        <v>40</v>
      </c>
      <c r="B48" s="55" t="s">
        <v>190</v>
      </c>
      <c r="C48" s="55" t="s">
        <v>191</v>
      </c>
      <c r="D48" s="162" t="s">
        <v>65</v>
      </c>
      <c r="E48" s="55" t="s">
        <v>193</v>
      </c>
      <c r="F48" s="55" t="s">
        <v>194</v>
      </c>
      <c r="G48" s="55" t="s">
        <v>500</v>
      </c>
      <c r="H48" s="55" t="s">
        <v>1022</v>
      </c>
      <c r="I48" s="139" t="s">
        <v>51</v>
      </c>
      <c r="J48" s="159" t="s">
        <v>1023</v>
      </c>
      <c r="K48" s="55">
        <v>20038918</v>
      </c>
      <c r="L48" s="55" t="s">
        <v>198</v>
      </c>
      <c r="M48" s="141" t="str">
        <f t="shared" si="0"/>
        <v>EH2-INT_D</v>
      </c>
      <c r="N48" s="142" t="str">
        <f>LOOKUP(M48,'[2]Doc Set'!E:E,'[2]Doc Set'!F:F)</f>
        <v>_</v>
      </c>
      <c r="O48" s="141" t="s">
        <v>931</v>
      </c>
      <c r="P48" s="142">
        <f>+LOOKUP(O48,'[2]Doc Set'!E:E,'[2]Doc Set'!G:G)</f>
        <v>43500</v>
      </c>
      <c r="Q48" s="55" t="str">
        <f t="shared" si="1"/>
        <v>EH2-INT_D</v>
      </c>
      <c r="R48" s="142">
        <f>+LOOKUP(Q48,'[2]Doc Set'!E:E,'[2]Doc Set'!H:H)</f>
        <v>43528</v>
      </c>
      <c r="S48" s="143" t="s">
        <v>200</v>
      </c>
    </row>
    <row r="49" spans="1:19" x14ac:dyDescent="0.3">
      <c r="A49" s="55" t="s">
        <v>40</v>
      </c>
      <c r="B49" s="55" t="s">
        <v>190</v>
      </c>
      <c r="C49" s="55" t="s">
        <v>191</v>
      </c>
      <c r="D49" s="162" t="s">
        <v>65</v>
      </c>
      <c r="E49" s="55" t="s">
        <v>193</v>
      </c>
      <c r="F49" s="55" t="s">
        <v>194</v>
      </c>
      <c r="G49" s="55" t="s">
        <v>503</v>
      </c>
      <c r="H49" s="55" t="s">
        <v>1024</v>
      </c>
      <c r="I49" s="139" t="s">
        <v>51</v>
      </c>
      <c r="J49" s="159" t="s">
        <v>1025</v>
      </c>
      <c r="K49" s="55">
        <v>20038918</v>
      </c>
      <c r="L49" s="55" t="s">
        <v>198</v>
      </c>
      <c r="M49" s="141" t="str">
        <f t="shared" si="0"/>
        <v>EH2-INT_D</v>
      </c>
      <c r="N49" s="142" t="str">
        <f>LOOKUP(M49,'[2]Doc Set'!E:E,'[2]Doc Set'!F:F)</f>
        <v>_</v>
      </c>
      <c r="O49" s="141" t="s">
        <v>931</v>
      </c>
      <c r="P49" s="142">
        <f>+LOOKUP(O49,'[2]Doc Set'!E:E,'[2]Doc Set'!G:G)</f>
        <v>43500</v>
      </c>
      <c r="Q49" s="55" t="str">
        <f t="shared" si="1"/>
        <v>EH2-INT_D</v>
      </c>
      <c r="R49" s="142">
        <f>+LOOKUP(Q49,'[2]Doc Set'!E:E,'[2]Doc Set'!H:H)</f>
        <v>43528</v>
      </c>
      <c r="S49" s="143" t="s">
        <v>200</v>
      </c>
    </row>
    <row r="50" spans="1:19" x14ac:dyDescent="0.3">
      <c r="A50" s="55" t="s">
        <v>40</v>
      </c>
      <c r="B50" s="55" t="s">
        <v>190</v>
      </c>
      <c r="C50" s="55" t="s">
        <v>191</v>
      </c>
      <c r="D50" s="162" t="s">
        <v>65</v>
      </c>
      <c r="E50" s="55" t="s">
        <v>193</v>
      </c>
      <c r="F50" s="55" t="s">
        <v>451</v>
      </c>
      <c r="G50" s="55" t="s">
        <v>458</v>
      </c>
      <c r="H50" s="55" t="s">
        <v>1026</v>
      </c>
      <c r="I50" s="139" t="s">
        <v>134</v>
      </c>
      <c r="J50" s="159" t="s">
        <v>1027</v>
      </c>
      <c r="K50" s="55">
        <v>20038918</v>
      </c>
      <c r="L50" s="55" t="s">
        <v>198</v>
      </c>
      <c r="M50" s="141" t="str">
        <f t="shared" si="0"/>
        <v>EH2-INT_D</v>
      </c>
      <c r="N50" s="142" t="str">
        <f>LOOKUP(M50,'[2]Doc Set'!E:E,'[2]Doc Set'!F:F)</f>
        <v>_</v>
      </c>
      <c r="O50" s="141" t="s">
        <v>931</v>
      </c>
      <c r="P50" s="142">
        <f>+LOOKUP(O50,'[2]Doc Set'!E:E,'[2]Doc Set'!G:G)</f>
        <v>43500</v>
      </c>
      <c r="Q50" s="55" t="str">
        <f t="shared" si="1"/>
        <v>EH2-INT_D</v>
      </c>
      <c r="R50" s="142">
        <f>+LOOKUP(Q50,'[2]Doc Set'!E:E,'[2]Doc Set'!H:H)</f>
        <v>43528</v>
      </c>
      <c r="S50" s="143" t="s">
        <v>200</v>
      </c>
    </row>
    <row r="51" spans="1:19" x14ac:dyDescent="0.3">
      <c r="A51" s="55" t="s">
        <v>40</v>
      </c>
      <c r="B51" s="55" t="s">
        <v>190</v>
      </c>
      <c r="C51" s="55" t="s">
        <v>191</v>
      </c>
      <c r="D51" s="162" t="s">
        <v>65</v>
      </c>
      <c r="E51" s="55" t="s">
        <v>193</v>
      </c>
      <c r="F51" s="55" t="s">
        <v>451</v>
      </c>
      <c r="G51" s="55" t="s">
        <v>828</v>
      </c>
      <c r="H51" s="55" t="s">
        <v>1028</v>
      </c>
      <c r="I51" s="139" t="s">
        <v>134</v>
      </c>
      <c r="J51" s="159" t="s">
        <v>1029</v>
      </c>
      <c r="K51" s="55">
        <v>20038918</v>
      </c>
      <c r="L51" s="55" t="s">
        <v>198</v>
      </c>
      <c r="M51" s="141" t="str">
        <f t="shared" si="0"/>
        <v>EH2-INT_D</v>
      </c>
      <c r="N51" s="142" t="str">
        <f>LOOKUP(M51,'[2]Doc Set'!E:E,'[2]Doc Set'!F:F)</f>
        <v>_</v>
      </c>
      <c r="O51" s="141" t="s">
        <v>931</v>
      </c>
      <c r="P51" s="142">
        <f>+LOOKUP(O51,'[2]Doc Set'!E:E,'[2]Doc Set'!G:G)</f>
        <v>43500</v>
      </c>
      <c r="Q51" s="55" t="str">
        <f t="shared" si="1"/>
        <v>EH2-INT_D</v>
      </c>
      <c r="R51" s="142">
        <f>+LOOKUP(Q51,'[2]Doc Set'!E:E,'[2]Doc Set'!H:H)</f>
        <v>43528</v>
      </c>
      <c r="S51" s="143" t="s">
        <v>200</v>
      </c>
    </row>
    <row r="52" spans="1:19" x14ac:dyDescent="0.3">
      <c r="A52" s="55" t="s">
        <v>40</v>
      </c>
      <c r="B52" s="55" t="s">
        <v>190</v>
      </c>
      <c r="C52" s="55" t="s">
        <v>191</v>
      </c>
      <c r="D52" s="162" t="s">
        <v>65</v>
      </c>
      <c r="E52" s="55" t="s">
        <v>193</v>
      </c>
      <c r="F52" s="55" t="s">
        <v>451</v>
      </c>
      <c r="G52" s="55" t="s">
        <v>461</v>
      </c>
      <c r="H52" s="55" t="s">
        <v>1030</v>
      </c>
      <c r="I52" s="139" t="s">
        <v>134</v>
      </c>
      <c r="J52" s="159" t="s">
        <v>1031</v>
      </c>
      <c r="K52" s="55">
        <v>20038918</v>
      </c>
      <c r="L52" s="55" t="s">
        <v>198</v>
      </c>
      <c r="M52" s="141" t="str">
        <f t="shared" si="0"/>
        <v>EH2-INT_D</v>
      </c>
      <c r="N52" s="142" t="str">
        <f>LOOKUP(M52,'[2]Doc Set'!E:E,'[2]Doc Set'!F:F)</f>
        <v>_</v>
      </c>
      <c r="O52" s="141" t="s">
        <v>931</v>
      </c>
      <c r="P52" s="142">
        <f>+LOOKUP(O52,'[2]Doc Set'!E:E,'[2]Doc Set'!G:G)</f>
        <v>43500</v>
      </c>
      <c r="Q52" s="55" t="str">
        <f t="shared" si="1"/>
        <v>EH2-INT_D</v>
      </c>
      <c r="R52" s="142">
        <f>+LOOKUP(Q52,'[2]Doc Set'!E:E,'[2]Doc Set'!H:H)</f>
        <v>43528</v>
      </c>
      <c r="S52" s="143" t="s">
        <v>200</v>
      </c>
    </row>
    <row r="53" spans="1:19" x14ac:dyDescent="0.3">
      <c r="A53" s="55" t="s">
        <v>40</v>
      </c>
      <c r="B53" s="55" t="s">
        <v>190</v>
      </c>
      <c r="C53" s="55" t="s">
        <v>191</v>
      </c>
      <c r="D53" s="162" t="s">
        <v>65</v>
      </c>
      <c r="E53" s="55" t="s">
        <v>193</v>
      </c>
      <c r="F53" s="55" t="s">
        <v>451</v>
      </c>
      <c r="G53" s="55" t="s">
        <v>464</v>
      </c>
      <c r="H53" s="55" t="s">
        <v>1032</v>
      </c>
      <c r="I53" s="139" t="s">
        <v>134</v>
      </c>
      <c r="J53" s="159" t="s">
        <v>1033</v>
      </c>
      <c r="K53" s="55">
        <v>20038918</v>
      </c>
      <c r="L53" s="55" t="s">
        <v>198</v>
      </c>
      <c r="M53" s="141" t="str">
        <f t="shared" si="0"/>
        <v>EH2-INT_D</v>
      </c>
      <c r="N53" s="142" t="str">
        <f>LOOKUP(M53,'[2]Doc Set'!E:E,'[2]Doc Set'!F:F)</f>
        <v>_</v>
      </c>
      <c r="O53" s="141" t="s">
        <v>931</v>
      </c>
      <c r="P53" s="142">
        <f>+LOOKUP(O53,'[2]Doc Set'!E:E,'[2]Doc Set'!G:G)</f>
        <v>43500</v>
      </c>
      <c r="Q53" s="55" t="str">
        <f t="shared" si="1"/>
        <v>EH2-INT_D</v>
      </c>
      <c r="R53" s="142">
        <f>+LOOKUP(Q53,'[2]Doc Set'!E:E,'[2]Doc Set'!H:H)</f>
        <v>43528</v>
      </c>
      <c r="S53" s="143" t="s">
        <v>200</v>
      </c>
    </row>
    <row r="54" spans="1:19" x14ac:dyDescent="0.3">
      <c r="A54" s="55" t="s">
        <v>40</v>
      </c>
      <c r="B54" s="55" t="s">
        <v>190</v>
      </c>
      <c r="C54" s="55" t="s">
        <v>191</v>
      </c>
      <c r="D54" s="162" t="s">
        <v>65</v>
      </c>
      <c r="E54" s="55" t="s">
        <v>193</v>
      </c>
      <c r="F54" s="55" t="s">
        <v>451</v>
      </c>
      <c r="G54" s="55" t="s">
        <v>467</v>
      </c>
      <c r="H54" s="55" t="s">
        <v>1034</v>
      </c>
      <c r="I54" s="139" t="s">
        <v>134</v>
      </c>
      <c r="J54" s="159" t="s">
        <v>1035</v>
      </c>
      <c r="K54" s="55">
        <v>20038918</v>
      </c>
      <c r="L54" s="55" t="s">
        <v>198</v>
      </c>
      <c r="M54" s="141" t="str">
        <f t="shared" si="0"/>
        <v>EH2-INT_D</v>
      </c>
      <c r="N54" s="142" t="str">
        <f>LOOKUP(M54,'[2]Doc Set'!E:E,'[2]Doc Set'!F:F)</f>
        <v>_</v>
      </c>
      <c r="O54" s="141" t="s">
        <v>931</v>
      </c>
      <c r="P54" s="142">
        <f>+LOOKUP(O54,'[2]Doc Set'!E:E,'[2]Doc Set'!G:G)</f>
        <v>43500</v>
      </c>
      <c r="Q54" s="55" t="str">
        <f t="shared" si="1"/>
        <v>EH2-INT_D</v>
      </c>
      <c r="R54" s="142">
        <f>+LOOKUP(Q54,'[2]Doc Set'!E:E,'[2]Doc Set'!H:H)</f>
        <v>43528</v>
      </c>
      <c r="S54" s="143" t="s">
        <v>200</v>
      </c>
    </row>
    <row r="55" spans="1:19" x14ac:dyDescent="0.3">
      <c r="A55" s="55" t="s">
        <v>40</v>
      </c>
      <c r="B55" s="55" t="s">
        <v>190</v>
      </c>
      <c r="C55" s="55" t="s">
        <v>191</v>
      </c>
      <c r="D55" s="162" t="s">
        <v>65</v>
      </c>
      <c r="E55" s="55" t="s">
        <v>193</v>
      </c>
      <c r="F55" s="55" t="s">
        <v>609</v>
      </c>
      <c r="G55" s="55" t="s">
        <v>635</v>
      </c>
      <c r="H55" s="55" t="s">
        <v>1036</v>
      </c>
      <c r="I55" s="139" t="s">
        <v>128</v>
      </c>
      <c r="J55" s="159" t="s">
        <v>1037</v>
      </c>
      <c r="K55" s="55">
        <v>20038918</v>
      </c>
      <c r="L55" s="55" t="s">
        <v>198</v>
      </c>
      <c r="M55" s="141" t="str">
        <f t="shared" si="0"/>
        <v>EH2-INT_D</v>
      </c>
      <c r="N55" s="142" t="str">
        <f>LOOKUP(M55,'[2]Doc Set'!E:E,'[2]Doc Set'!F:F)</f>
        <v>_</v>
      </c>
      <c r="O55" s="141" t="s">
        <v>931</v>
      </c>
      <c r="P55" s="142">
        <f>+LOOKUP(O55,'[2]Doc Set'!E:E,'[2]Doc Set'!G:G)</f>
        <v>43500</v>
      </c>
      <c r="Q55" s="55" t="str">
        <f t="shared" si="1"/>
        <v>EH2-INT_D</v>
      </c>
      <c r="R55" s="142">
        <f>+LOOKUP(Q55,'[2]Doc Set'!E:E,'[2]Doc Set'!H:H)</f>
        <v>43528</v>
      </c>
      <c r="S55" s="143" t="s">
        <v>200</v>
      </c>
    </row>
    <row r="56" spans="1:19" x14ac:dyDescent="0.3">
      <c r="A56" s="55" t="s">
        <v>40</v>
      </c>
      <c r="B56" s="55" t="s">
        <v>190</v>
      </c>
      <c r="C56" s="55" t="s">
        <v>191</v>
      </c>
      <c r="D56" s="162" t="s">
        <v>65</v>
      </c>
      <c r="E56" s="55" t="s">
        <v>193</v>
      </c>
      <c r="F56" s="55" t="s">
        <v>609</v>
      </c>
      <c r="G56" s="55" t="s">
        <v>839</v>
      </c>
      <c r="H56" s="55" t="s">
        <v>1038</v>
      </c>
      <c r="I56" s="139" t="s">
        <v>128</v>
      </c>
      <c r="J56" s="159" t="s">
        <v>1039</v>
      </c>
      <c r="K56" s="55">
        <v>20038918</v>
      </c>
      <c r="L56" s="55" t="s">
        <v>198</v>
      </c>
      <c r="M56" s="141" t="str">
        <f t="shared" si="0"/>
        <v>EH2-INT_D</v>
      </c>
      <c r="N56" s="142" t="str">
        <f>LOOKUP(M56,'[2]Doc Set'!E:E,'[2]Doc Set'!F:F)</f>
        <v>_</v>
      </c>
      <c r="O56" s="141" t="s">
        <v>931</v>
      </c>
      <c r="P56" s="142">
        <f>+LOOKUP(O56,'[2]Doc Set'!E:E,'[2]Doc Set'!G:G)</f>
        <v>43500</v>
      </c>
      <c r="Q56" s="55" t="str">
        <f t="shared" si="1"/>
        <v>EH2-INT_D</v>
      </c>
      <c r="R56" s="142">
        <f>+LOOKUP(Q56,'[2]Doc Set'!E:E,'[2]Doc Set'!H:H)</f>
        <v>43528</v>
      </c>
      <c r="S56" s="143" t="s">
        <v>200</v>
      </c>
    </row>
    <row r="57" spans="1:19" s="153" customFormat="1" x14ac:dyDescent="0.3">
      <c r="A57" s="144" t="s">
        <v>40</v>
      </c>
      <c r="B57" s="144" t="s">
        <v>190</v>
      </c>
      <c r="C57" s="144" t="s">
        <v>191</v>
      </c>
      <c r="D57" s="163" t="s">
        <v>65</v>
      </c>
      <c r="E57" s="144" t="s">
        <v>193</v>
      </c>
      <c r="F57" s="144" t="s">
        <v>609</v>
      </c>
      <c r="G57" s="144" t="s">
        <v>638</v>
      </c>
      <c r="H57" s="144" t="s">
        <v>1040</v>
      </c>
      <c r="I57" s="146" t="s">
        <v>128</v>
      </c>
      <c r="J57" s="147" t="s">
        <v>1041</v>
      </c>
      <c r="K57" s="144">
        <v>20038918</v>
      </c>
      <c r="L57" s="144" t="s">
        <v>198</v>
      </c>
      <c r="M57" s="151" t="str">
        <f t="shared" si="0"/>
        <v>EH2-SS_B</v>
      </c>
      <c r="N57" s="150" t="str">
        <f>LOOKUP(M57,'[2]Doc Set'!E:E,'[2]Doc Set'!F:F)</f>
        <v>_</v>
      </c>
      <c r="O57" s="151" t="s">
        <v>1042</v>
      </c>
      <c r="P57" s="150">
        <f>+LOOKUP(O57,'[2]Doc Set'!E:E,'[2]Doc Set'!G:G)</f>
        <v>43305</v>
      </c>
      <c r="Q57" s="144" t="str">
        <f t="shared" si="1"/>
        <v>EH2-SS_B</v>
      </c>
      <c r="R57" s="150">
        <f>+LOOKUP(Q57,'[2]Doc Set'!E:E,'[2]Doc Set'!H:H)</f>
        <v>43350</v>
      </c>
      <c r="S57" s="152" t="s">
        <v>200</v>
      </c>
    </row>
    <row r="58" spans="1:19" s="153" customFormat="1" x14ac:dyDescent="0.3">
      <c r="A58" s="144" t="s">
        <v>40</v>
      </c>
      <c r="B58" s="144" t="s">
        <v>190</v>
      </c>
      <c r="C58" s="144" t="s">
        <v>191</v>
      </c>
      <c r="D58" s="163" t="s">
        <v>65</v>
      </c>
      <c r="E58" s="144" t="s">
        <v>193</v>
      </c>
      <c r="F58" s="144" t="s">
        <v>609</v>
      </c>
      <c r="G58" s="144" t="s">
        <v>641</v>
      </c>
      <c r="H58" s="144" t="s">
        <v>1043</v>
      </c>
      <c r="I58" s="146" t="s">
        <v>128</v>
      </c>
      <c r="J58" s="147" t="s">
        <v>1044</v>
      </c>
      <c r="K58" s="144">
        <v>20038918</v>
      </c>
      <c r="L58" s="144" t="s">
        <v>198</v>
      </c>
      <c r="M58" s="151" t="str">
        <f t="shared" si="0"/>
        <v>EH2-SS_B</v>
      </c>
      <c r="N58" s="150" t="str">
        <f>LOOKUP(M58,'[2]Doc Set'!E:E,'[2]Doc Set'!F:F)</f>
        <v>_</v>
      </c>
      <c r="O58" s="151" t="s">
        <v>1042</v>
      </c>
      <c r="P58" s="150">
        <f>+LOOKUP(O58,'[2]Doc Set'!E:E,'[2]Doc Set'!G:G)</f>
        <v>43305</v>
      </c>
      <c r="Q58" s="144" t="str">
        <f t="shared" si="1"/>
        <v>EH2-SS_B</v>
      </c>
      <c r="R58" s="150">
        <f>+LOOKUP(Q58,'[2]Doc Set'!E:E,'[2]Doc Set'!H:H)</f>
        <v>43350</v>
      </c>
      <c r="S58" s="152" t="s">
        <v>200</v>
      </c>
    </row>
    <row r="59" spans="1:19" s="153" customFormat="1" x14ac:dyDescent="0.3">
      <c r="A59" s="144" t="s">
        <v>40</v>
      </c>
      <c r="B59" s="144" t="s">
        <v>190</v>
      </c>
      <c r="C59" s="144" t="s">
        <v>191</v>
      </c>
      <c r="D59" s="163" t="s">
        <v>65</v>
      </c>
      <c r="E59" s="144" t="s">
        <v>193</v>
      </c>
      <c r="F59" s="144" t="s">
        <v>609</v>
      </c>
      <c r="G59" s="144" t="s">
        <v>644</v>
      </c>
      <c r="H59" s="144" t="s">
        <v>1045</v>
      </c>
      <c r="I59" s="146" t="s">
        <v>128</v>
      </c>
      <c r="J59" s="147" t="s">
        <v>1046</v>
      </c>
      <c r="K59" s="144">
        <v>20038918</v>
      </c>
      <c r="L59" s="144" t="s">
        <v>198</v>
      </c>
      <c r="M59" s="151" t="str">
        <f t="shared" si="0"/>
        <v>EH2-SS_B</v>
      </c>
      <c r="N59" s="150" t="str">
        <f>LOOKUP(M59,'[2]Doc Set'!E:E,'[2]Doc Set'!F:F)</f>
        <v>_</v>
      </c>
      <c r="O59" s="151" t="s">
        <v>1042</v>
      </c>
      <c r="P59" s="150">
        <f>+LOOKUP(O59,'[2]Doc Set'!E:E,'[2]Doc Set'!G:G)</f>
        <v>43305</v>
      </c>
      <c r="Q59" s="144" t="str">
        <f t="shared" si="1"/>
        <v>EH2-SS_B</v>
      </c>
      <c r="R59" s="150">
        <f>+LOOKUP(Q59,'[2]Doc Set'!E:E,'[2]Doc Set'!H:H)</f>
        <v>43350</v>
      </c>
      <c r="S59" s="152" t="s">
        <v>200</v>
      </c>
    </row>
    <row r="60" spans="1:19" s="153" customFormat="1" x14ac:dyDescent="0.3">
      <c r="A60" s="144" t="s">
        <v>40</v>
      </c>
      <c r="B60" s="144" t="s">
        <v>190</v>
      </c>
      <c r="C60" s="144" t="s">
        <v>191</v>
      </c>
      <c r="D60" s="163" t="s">
        <v>65</v>
      </c>
      <c r="E60" s="144" t="s">
        <v>193</v>
      </c>
      <c r="F60" s="144" t="s">
        <v>609</v>
      </c>
      <c r="G60" s="144" t="s">
        <v>849</v>
      </c>
      <c r="H60" s="144" t="s">
        <v>1047</v>
      </c>
      <c r="I60" s="146" t="s">
        <v>128</v>
      </c>
      <c r="J60" s="147" t="s">
        <v>1048</v>
      </c>
      <c r="K60" s="144">
        <v>20038918</v>
      </c>
      <c r="L60" s="144" t="s">
        <v>198</v>
      </c>
      <c r="M60" s="151" t="str">
        <f t="shared" si="0"/>
        <v>EH2-SS_B</v>
      </c>
      <c r="N60" s="150" t="str">
        <f>LOOKUP(M60,'[2]Doc Set'!E:E,'[2]Doc Set'!F:F)</f>
        <v>_</v>
      </c>
      <c r="O60" s="151" t="s">
        <v>1042</v>
      </c>
      <c r="P60" s="150">
        <f>+LOOKUP(O60,'[2]Doc Set'!E:E,'[2]Doc Set'!G:G)</f>
        <v>43305</v>
      </c>
      <c r="Q60" s="144" t="str">
        <f t="shared" si="1"/>
        <v>EH2-SS_B</v>
      </c>
      <c r="R60" s="150">
        <f>+LOOKUP(Q60,'[2]Doc Set'!E:E,'[2]Doc Set'!H:H)</f>
        <v>43350</v>
      </c>
      <c r="S60" s="152" t="s">
        <v>200</v>
      </c>
    </row>
    <row r="61" spans="1:19" s="153" customFormat="1" x14ac:dyDescent="0.3">
      <c r="A61" s="144" t="s">
        <v>40</v>
      </c>
      <c r="B61" s="144" t="s">
        <v>190</v>
      </c>
      <c r="C61" s="144" t="s">
        <v>191</v>
      </c>
      <c r="D61" s="163" t="s">
        <v>65</v>
      </c>
      <c r="E61" s="144" t="s">
        <v>193</v>
      </c>
      <c r="F61" s="144" t="s">
        <v>609</v>
      </c>
      <c r="G61" s="144" t="s">
        <v>852</v>
      </c>
      <c r="H61" s="144" t="s">
        <v>1049</v>
      </c>
      <c r="I61" s="146" t="s">
        <v>51</v>
      </c>
      <c r="J61" s="147" t="s">
        <v>1050</v>
      </c>
      <c r="K61" s="144">
        <v>20038918</v>
      </c>
      <c r="L61" s="144" t="s">
        <v>198</v>
      </c>
      <c r="M61" s="151" t="str">
        <f t="shared" si="0"/>
        <v>EH2-SS_B</v>
      </c>
      <c r="N61" s="150" t="str">
        <f>LOOKUP(M61,'[2]Doc Set'!E:E,'[2]Doc Set'!F:F)</f>
        <v>_</v>
      </c>
      <c r="O61" s="151" t="s">
        <v>1042</v>
      </c>
      <c r="P61" s="150">
        <f>+LOOKUP(O61,'[2]Doc Set'!E:E,'[2]Doc Set'!G:G)</f>
        <v>43305</v>
      </c>
      <c r="Q61" s="144" t="str">
        <f t="shared" si="1"/>
        <v>EH2-SS_B</v>
      </c>
      <c r="R61" s="150">
        <f>+LOOKUP(Q61,'[2]Doc Set'!E:E,'[2]Doc Set'!H:H)</f>
        <v>43350</v>
      </c>
      <c r="S61" s="152" t="s">
        <v>200</v>
      </c>
    </row>
    <row r="62" spans="1:19" s="153" customFormat="1" x14ac:dyDescent="0.3">
      <c r="A62" s="144" t="s">
        <v>40</v>
      </c>
      <c r="B62" s="144" t="s">
        <v>190</v>
      </c>
      <c r="C62" s="144" t="s">
        <v>191</v>
      </c>
      <c r="D62" s="163" t="s">
        <v>65</v>
      </c>
      <c r="E62" s="144" t="s">
        <v>193</v>
      </c>
      <c r="F62" s="144" t="s">
        <v>613</v>
      </c>
      <c r="G62" s="144" t="s">
        <v>1051</v>
      </c>
      <c r="H62" s="144" t="s">
        <v>1052</v>
      </c>
      <c r="I62" s="146" t="s">
        <v>134</v>
      </c>
      <c r="J62" s="147" t="s">
        <v>1053</v>
      </c>
      <c r="K62" s="144">
        <v>20038918</v>
      </c>
      <c r="L62" s="144" t="s">
        <v>198</v>
      </c>
      <c r="M62" s="151" t="str">
        <f t="shared" si="0"/>
        <v>EH2-SS_B</v>
      </c>
      <c r="N62" s="150" t="str">
        <f>LOOKUP(M62,'[2]Doc Set'!E:E,'[2]Doc Set'!F:F)</f>
        <v>_</v>
      </c>
      <c r="O62" s="151" t="s">
        <v>1042</v>
      </c>
      <c r="P62" s="150">
        <f>+LOOKUP(O62,'[2]Doc Set'!E:E,'[2]Doc Set'!G:G)</f>
        <v>43305</v>
      </c>
      <c r="Q62" s="144" t="str">
        <f t="shared" si="1"/>
        <v>EH2-SS_B</v>
      </c>
      <c r="R62" s="150">
        <f>+LOOKUP(Q62,'[2]Doc Set'!E:E,'[2]Doc Set'!H:H)</f>
        <v>43350</v>
      </c>
      <c r="S62" s="152" t="s">
        <v>200</v>
      </c>
    </row>
    <row r="63" spans="1:19" s="153" customFormat="1" x14ac:dyDescent="0.3">
      <c r="A63" s="144" t="s">
        <v>40</v>
      </c>
      <c r="B63" s="144" t="s">
        <v>190</v>
      </c>
      <c r="C63" s="144" t="s">
        <v>191</v>
      </c>
      <c r="D63" s="163" t="s">
        <v>65</v>
      </c>
      <c r="E63" s="144" t="s">
        <v>193</v>
      </c>
      <c r="F63" s="144" t="s">
        <v>609</v>
      </c>
      <c r="G63" s="144" t="s">
        <v>617</v>
      </c>
      <c r="H63" s="144" t="s">
        <v>1054</v>
      </c>
      <c r="I63" s="146" t="s">
        <v>51</v>
      </c>
      <c r="J63" s="147" t="s">
        <v>1055</v>
      </c>
      <c r="K63" s="144">
        <v>20038918</v>
      </c>
      <c r="L63" s="144" t="s">
        <v>198</v>
      </c>
      <c r="M63" s="151" t="str">
        <f t="shared" si="0"/>
        <v>EH2-SS_B</v>
      </c>
      <c r="N63" s="150" t="str">
        <f>LOOKUP(M63,'[2]Doc Set'!E:E,'[2]Doc Set'!F:F)</f>
        <v>_</v>
      </c>
      <c r="O63" s="151" t="s">
        <v>1042</v>
      </c>
      <c r="P63" s="150">
        <f>+LOOKUP(O63,'[2]Doc Set'!E:E,'[2]Doc Set'!G:G)</f>
        <v>43305</v>
      </c>
      <c r="Q63" s="144" t="str">
        <f t="shared" si="1"/>
        <v>EH2-SS_B</v>
      </c>
      <c r="R63" s="150">
        <f>+LOOKUP(Q63,'[2]Doc Set'!E:E,'[2]Doc Set'!H:H)</f>
        <v>43350</v>
      </c>
      <c r="S63" s="152" t="s">
        <v>200</v>
      </c>
    </row>
    <row r="64" spans="1:19" s="153" customFormat="1" x14ac:dyDescent="0.3">
      <c r="A64" s="144" t="s">
        <v>40</v>
      </c>
      <c r="B64" s="144" t="s">
        <v>190</v>
      </c>
      <c r="C64" s="144" t="s">
        <v>191</v>
      </c>
      <c r="D64" s="163" t="s">
        <v>65</v>
      </c>
      <c r="E64" s="144" t="s">
        <v>193</v>
      </c>
      <c r="F64" s="144" t="s">
        <v>609</v>
      </c>
      <c r="G64" s="144" t="s">
        <v>620</v>
      </c>
      <c r="H64" s="144" t="s">
        <v>1056</v>
      </c>
      <c r="I64" s="146" t="s">
        <v>128</v>
      </c>
      <c r="J64" s="147" t="s">
        <v>1057</v>
      </c>
      <c r="K64" s="144">
        <v>20038918</v>
      </c>
      <c r="L64" s="144" t="s">
        <v>198</v>
      </c>
      <c r="M64" s="151" t="str">
        <f t="shared" si="0"/>
        <v>EH2-SS_B</v>
      </c>
      <c r="N64" s="150" t="str">
        <f>LOOKUP(M64,'[2]Doc Set'!E:E,'[2]Doc Set'!F:F)</f>
        <v>_</v>
      </c>
      <c r="O64" s="151" t="s">
        <v>1042</v>
      </c>
      <c r="P64" s="150">
        <f>+LOOKUP(O64,'[2]Doc Set'!E:E,'[2]Doc Set'!G:G)</f>
        <v>43305</v>
      </c>
      <c r="Q64" s="144" t="str">
        <f t="shared" si="1"/>
        <v>EH2-SS_B</v>
      </c>
      <c r="R64" s="150">
        <f>+LOOKUP(Q64,'[2]Doc Set'!E:E,'[2]Doc Set'!H:H)</f>
        <v>43350</v>
      </c>
      <c r="S64" s="152" t="s">
        <v>200</v>
      </c>
    </row>
    <row r="65" spans="1:19" s="153" customFormat="1" x14ac:dyDescent="0.3">
      <c r="A65" s="144" t="s">
        <v>40</v>
      </c>
      <c r="B65" s="144" t="s">
        <v>190</v>
      </c>
      <c r="C65" s="144" t="s">
        <v>191</v>
      </c>
      <c r="D65" s="163" t="s">
        <v>65</v>
      </c>
      <c r="E65" s="144" t="s">
        <v>193</v>
      </c>
      <c r="F65" s="144" t="s">
        <v>609</v>
      </c>
      <c r="G65" s="144" t="s">
        <v>623</v>
      </c>
      <c r="H65" s="144" t="s">
        <v>1058</v>
      </c>
      <c r="I65" s="146" t="s">
        <v>128</v>
      </c>
      <c r="J65" s="147" t="s">
        <v>1059</v>
      </c>
      <c r="K65" s="144">
        <v>20038918</v>
      </c>
      <c r="L65" s="144" t="s">
        <v>198</v>
      </c>
      <c r="M65" s="151" t="str">
        <f t="shared" si="0"/>
        <v>EH2-SS_B</v>
      </c>
      <c r="N65" s="150" t="str">
        <f>LOOKUP(M65,'[2]Doc Set'!E:E,'[2]Doc Set'!F:F)</f>
        <v>_</v>
      </c>
      <c r="O65" s="151" t="s">
        <v>1042</v>
      </c>
      <c r="P65" s="150">
        <f>+LOOKUP(O65,'[2]Doc Set'!E:E,'[2]Doc Set'!G:G)</f>
        <v>43305</v>
      </c>
      <c r="Q65" s="144" t="str">
        <f t="shared" si="1"/>
        <v>EH2-SS_B</v>
      </c>
      <c r="R65" s="150">
        <f>+LOOKUP(Q65,'[2]Doc Set'!E:E,'[2]Doc Set'!H:H)</f>
        <v>43350</v>
      </c>
      <c r="S65" s="152" t="s">
        <v>200</v>
      </c>
    </row>
    <row r="66" spans="1:19" s="153" customFormat="1" x14ac:dyDescent="0.3">
      <c r="A66" s="144" t="s">
        <v>40</v>
      </c>
      <c r="B66" s="144" t="s">
        <v>190</v>
      </c>
      <c r="C66" s="144" t="s">
        <v>191</v>
      </c>
      <c r="D66" s="163" t="s">
        <v>65</v>
      </c>
      <c r="E66" s="144" t="s">
        <v>193</v>
      </c>
      <c r="F66" s="144" t="s">
        <v>609</v>
      </c>
      <c r="G66" s="144" t="s">
        <v>626</v>
      </c>
      <c r="H66" s="144" t="s">
        <v>1060</v>
      </c>
      <c r="I66" s="146" t="s">
        <v>128</v>
      </c>
      <c r="J66" s="147" t="s">
        <v>1061</v>
      </c>
      <c r="K66" s="144">
        <v>20038918</v>
      </c>
      <c r="L66" s="144" t="s">
        <v>198</v>
      </c>
      <c r="M66" s="151" t="str">
        <f t="shared" si="0"/>
        <v>EH2-SS_B</v>
      </c>
      <c r="N66" s="150" t="str">
        <f>LOOKUP(M66,'[2]Doc Set'!E:E,'[2]Doc Set'!F:F)</f>
        <v>_</v>
      </c>
      <c r="O66" s="151" t="s">
        <v>1042</v>
      </c>
      <c r="P66" s="150">
        <f>+LOOKUP(O66,'[2]Doc Set'!E:E,'[2]Doc Set'!G:G)</f>
        <v>43305</v>
      </c>
      <c r="Q66" s="144" t="str">
        <f t="shared" si="1"/>
        <v>EH2-SS_B</v>
      </c>
      <c r="R66" s="150">
        <f>+LOOKUP(Q66,'[2]Doc Set'!E:E,'[2]Doc Set'!H:H)</f>
        <v>43350</v>
      </c>
      <c r="S66" s="152" t="s">
        <v>200</v>
      </c>
    </row>
    <row r="67" spans="1:19" s="153" customFormat="1" ht="28.8" x14ac:dyDescent="0.3">
      <c r="A67" s="144" t="s">
        <v>40</v>
      </c>
      <c r="B67" s="144" t="s">
        <v>190</v>
      </c>
      <c r="C67" s="144" t="s">
        <v>191</v>
      </c>
      <c r="D67" s="163" t="s">
        <v>65</v>
      </c>
      <c r="E67" s="144" t="s">
        <v>193</v>
      </c>
      <c r="F67" s="144" t="s">
        <v>555</v>
      </c>
      <c r="G67" s="144" t="s">
        <v>53</v>
      </c>
      <c r="H67" s="144" t="s">
        <v>1062</v>
      </c>
      <c r="I67" s="164" t="s">
        <v>51</v>
      </c>
      <c r="J67" s="147" t="s">
        <v>1063</v>
      </c>
      <c r="K67" s="144">
        <v>20038918</v>
      </c>
      <c r="L67" s="144" t="s">
        <v>859</v>
      </c>
      <c r="M67" s="151" t="s">
        <v>1064</v>
      </c>
      <c r="N67" s="150">
        <f>LOOKUP(M67,'[2]Doc Set'!E:E,'[2]Doc Set'!F:F)</f>
        <v>43160</v>
      </c>
      <c r="O67" s="151" t="s">
        <v>1042</v>
      </c>
      <c r="P67" s="150">
        <f>+LOOKUP(O67,'[2]Doc Set'!E:E,'[2]Doc Set'!G:G)</f>
        <v>43305</v>
      </c>
      <c r="Q67" s="144" t="str">
        <f t="shared" ref="Q67:Q95" si="2">+O67</f>
        <v>EH2-SS_B</v>
      </c>
      <c r="R67" s="150">
        <f>+LOOKUP(Q67,'[2]Doc Set'!E:E,'[2]Doc Set'!H:H)</f>
        <v>43350</v>
      </c>
      <c r="S67" s="152" t="s">
        <v>200</v>
      </c>
    </row>
    <row r="68" spans="1:19" s="153" customFormat="1" ht="28.8" x14ac:dyDescent="0.3">
      <c r="A68" s="144" t="s">
        <v>40</v>
      </c>
      <c r="B68" s="144" t="s">
        <v>190</v>
      </c>
      <c r="C68" s="144" t="s">
        <v>191</v>
      </c>
      <c r="D68" s="163" t="s">
        <v>65</v>
      </c>
      <c r="E68" s="144" t="s">
        <v>193</v>
      </c>
      <c r="F68" s="144" t="s">
        <v>555</v>
      </c>
      <c r="G68" s="144" t="s">
        <v>561</v>
      </c>
      <c r="H68" s="144" t="s">
        <v>1065</v>
      </c>
      <c r="I68" s="164" t="s">
        <v>51</v>
      </c>
      <c r="J68" s="147" t="s">
        <v>1066</v>
      </c>
      <c r="K68" s="144">
        <v>20038918</v>
      </c>
      <c r="L68" s="144" t="s">
        <v>859</v>
      </c>
      <c r="M68" s="151" t="str">
        <f t="shared" ref="M68:M69" si="3">+O68</f>
        <v>EH2-SS_B</v>
      </c>
      <c r="N68" s="150" t="str">
        <f>LOOKUP(M68,'[2]Doc Set'!E:E,'[2]Doc Set'!F:F)</f>
        <v>_</v>
      </c>
      <c r="O68" s="151" t="s">
        <v>1042</v>
      </c>
      <c r="P68" s="150">
        <f>+LOOKUP(O68,'[2]Doc Set'!E:E,'[2]Doc Set'!G:G)</f>
        <v>43305</v>
      </c>
      <c r="Q68" s="144" t="str">
        <f t="shared" si="2"/>
        <v>EH2-SS_B</v>
      </c>
      <c r="R68" s="150">
        <f>+LOOKUP(Q68,'[2]Doc Set'!E:E,'[2]Doc Set'!H:H)</f>
        <v>43350</v>
      </c>
      <c r="S68" s="152" t="s">
        <v>200</v>
      </c>
    </row>
    <row r="69" spans="1:19" s="153" customFormat="1" x14ac:dyDescent="0.3">
      <c r="A69" s="144" t="s">
        <v>40</v>
      </c>
      <c r="B69" s="144" t="s">
        <v>190</v>
      </c>
      <c r="C69" s="144" t="s">
        <v>191</v>
      </c>
      <c r="D69" s="163" t="s">
        <v>65</v>
      </c>
      <c r="E69" s="144" t="s">
        <v>193</v>
      </c>
      <c r="F69" s="144" t="s">
        <v>555</v>
      </c>
      <c r="G69" s="144" t="s">
        <v>564</v>
      </c>
      <c r="H69" s="144" t="s">
        <v>1067</v>
      </c>
      <c r="I69" s="164" t="s">
        <v>51</v>
      </c>
      <c r="J69" s="147" t="s">
        <v>1068</v>
      </c>
      <c r="K69" s="144">
        <v>20038918</v>
      </c>
      <c r="L69" s="144" t="s">
        <v>859</v>
      </c>
      <c r="M69" s="151" t="str">
        <f t="shared" si="3"/>
        <v>EH2-SS_B</v>
      </c>
      <c r="N69" s="150" t="str">
        <f>LOOKUP(M69,'[2]Doc Set'!E:E,'[2]Doc Set'!F:F)</f>
        <v>_</v>
      </c>
      <c r="O69" s="151" t="s">
        <v>1042</v>
      </c>
      <c r="P69" s="150">
        <f>+LOOKUP(O69,'[2]Doc Set'!E:E,'[2]Doc Set'!G:G)</f>
        <v>43305</v>
      </c>
      <c r="Q69" s="144" t="str">
        <f t="shared" si="2"/>
        <v>EH2-SS_B</v>
      </c>
      <c r="R69" s="150">
        <f>+LOOKUP(Q69,'[2]Doc Set'!E:E,'[2]Doc Set'!H:H)</f>
        <v>43350</v>
      </c>
      <c r="S69" s="152" t="s">
        <v>200</v>
      </c>
    </row>
    <row r="70" spans="1:19" s="153" customFormat="1" x14ac:dyDescent="0.3">
      <c r="A70" s="144" t="s">
        <v>40</v>
      </c>
      <c r="B70" s="144" t="s">
        <v>190</v>
      </c>
      <c r="C70" s="144" t="s">
        <v>191</v>
      </c>
      <c r="D70" s="163" t="s">
        <v>65</v>
      </c>
      <c r="E70" s="144" t="s">
        <v>193</v>
      </c>
      <c r="F70" s="144" t="s">
        <v>555</v>
      </c>
      <c r="G70" s="144" t="s">
        <v>567</v>
      </c>
      <c r="H70" s="144" t="s">
        <v>1069</v>
      </c>
      <c r="I70" s="164" t="s">
        <v>51</v>
      </c>
      <c r="J70" s="147" t="s">
        <v>1070</v>
      </c>
      <c r="K70" s="144">
        <v>20038918</v>
      </c>
      <c r="L70" s="144" t="s">
        <v>859</v>
      </c>
      <c r="M70" s="151" t="s">
        <v>1064</v>
      </c>
      <c r="N70" s="150">
        <f>LOOKUP(M70,'[2]Doc Set'!E:E,'[2]Doc Set'!F:F)</f>
        <v>43160</v>
      </c>
      <c r="O70" s="151" t="s">
        <v>1042</v>
      </c>
      <c r="P70" s="150">
        <f>+LOOKUP(O70,'[2]Doc Set'!E:E,'[2]Doc Set'!G:G)</f>
        <v>43305</v>
      </c>
      <c r="Q70" s="144" t="str">
        <f t="shared" si="2"/>
        <v>EH2-SS_B</v>
      </c>
      <c r="R70" s="150">
        <f>+LOOKUP(Q70,'[2]Doc Set'!E:E,'[2]Doc Set'!H:H)</f>
        <v>43350</v>
      </c>
      <c r="S70" s="152" t="s">
        <v>200</v>
      </c>
    </row>
    <row r="71" spans="1:19" s="153" customFormat="1" x14ac:dyDescent="0.3">
      <c r="A71" s="144" t="s">
        <v>40</v>
      </c>
      <c r="B71" s="144" t="s">
        <v>190</v>
      </c>
      <c r="C71" s="144" t="s">
        <v>191</v>
      </c>
      <c r="D71" s="163" t="s">
        <v>65</v>
      </c>
      <c r="E71" s="144" t="s">
        <v>193</v>
      </c>
      <c r="F71" s="144" t="s">
        <v>555</v>
      </c>
      <c r="G71" s="144" t="s">
        <v>570</v>
      </c>
      <c r="H71" s="144" t="s">
        <v>1071</v>
      </c>
      <c r="I71" s="164" t="s">
        <v>51</v>
      </c>
      <c r="J71" s="147" t="s">
        <v>1072</v>
      </c>
      <c r="K71" s="144">
        <v>20038918</v>
      </c>
      <c r="L71" s="144" t="s">
        <v>859</v>
      </c>
      <c r="M71" s="151" t="s">
        <v>1064</v>
      </c>
      <c r="N71" s="150">
        <f>LOOKUP(M71,'[2]Doc Set'!E:E,'[2]Doc Set'!F:F)</f>
        <v>43160</v>
      </c>
      <c r="O71" s="151" t="s">
        <v>1042</v>
      </c>
      <c r="P71" s="150">
        <f>+LOOKUP(O71,'[2]Doc Set'!E:E,'[2]Doc Set'!G:G)</f>
        <v>43305</v>
      </c>
      <c r="Q71" s="144" t="str">
        <f t="shared" si="2"/>
        <v>EH2-SS_B</v>
      </c>
      <c r="R71" s="150">
        <f>+LOOKUP(Q71,'[2]Doc Set'!E:E,'[2]Doc Set'!H:H)</f>
        <v>43350</v>
      </c>
      <c r="S71" s="152" t="s">
        <v>200</v>
      </c>
    </row>
    <row r="72" spans="1:19" s="153" customFormat="1" x14ac:dyDescent="0.3">
      <c r="A72" s="144" t="s">
        <v>40</v>
      </c>
      <c r="B72" s="144" t="s">
        <v>190</v>
      </c>
      <c r="C72" s="144" t="s">
        <v>191</v>
      </c>
      <c r="D72" s="163" t="s">
        <v>65</v>
      </c>
      <c r="E72" s="144" t="s">
        <v>193</v>
      </c>
      <c r="F72" s="144" t="s">
        <v>555</v>
      </c>
      <c r="G72" s="144" t="s">
        <v>573</v>
      </c>
      <c r="H72" s="144" t="s">
        <v>1073</v>
      </c>
      <c r="I72" s="164" t="s">
        <v>51</v>
      </c>
      <c r="J72" s="147" t="s">
        <v>1074</v>
      </c>
      <c r="K72" s="144">
        <v>20038918</v>
      </c>
      <c r="L72" s="144" t="s">
        <v>859</v>
      </c>
      <c r="M72" s="151" t="str">
        <f t="shared" ref="M72:M95" si="4">+O72</f>
        <v>EH2-SS_B</v>
      </c>
      <c r="N72" s="150" t="str">
        <f>LOOKUP(M72,'[2]Doc Set'!E:E,'[2]Doc Set'!F:F)</f>
        <v>_</v>
      </c>
      <c r="O72" s="151" t="s">
        <v>1042</v>
      </c>
      <c r="P72" s="150">
        <f>+LOOKUP(O72,'[2]Doc Set'!E:E,'[2]Doc Set'!G:G)</f>
        <v>43305</v>
      </c>
      <c r="Q72" s="144" t="str">
        <f t="shared" si="2"/>
        <v>EH2-SS_B</v>
      </c>
      <c r="R72" s="150">
        <f>+LOOKUP(Q72,'[2]Doc Set'!E:E,'[2]Doc Set'!H:H)</f>
        <v>43350</v>
      </c>
      <c r="S72" s="152" t="s">
        <v>200</v>
      </c>
    </row>
    <row r="73" spans="1:19" s="153" customFormat="1" x14ac:dyDescent="0.3">
      <c r="A73" s="144" t="s">
        <v>40</v>
      </c>
      <c r="B73" s="144" t="s">
        <v>190</v>
      </c>
      <c r="C73" s="144" t="s">
        <v>191</v>
      </c>
      <c r="D73" s="163" t="s">
        <v>65</v>
      </c>
      <c r="E73" s="144" t="s">
        <v>193</v>
      </c>
      <c r="F73" s="144" t="s">
        <v>555</v>
      </c>
      <c r="G73" s="144" t="s">
        <v>576</v>
      </c>
      <c r="H73" s="144" t="s">
        <v>1075</v>
      </c>
      <c r="I73" s="164" t="s">
        <v>51</v>
      </c>
      <c r="J73" s="147" t="s">
        <v>1076</v>
      </c>
      <c r="K73" s="144">
        <v>20038918</v>
      </c>
      <c r="L73" s="144" t="s">
        <v>859</v>
      </c>
      <c r="M73" s="151" t="str">
        <f t="shared" si="4"/>
        <v>EH2-SS_B</v>
      </c>
      <c r="N73" s="150" t="str">
        <f>LOOKUP(M73,'[2]Doc Set'!E:E,'[2]Doc Set'!F:F)</f>
        <v>_</v>
      </c>
      <c r="O73" s="151" t="s">
        <v>1042</v>
      </c>
      <c r="P73" s="150">
        <f>+LOOKUP(O73,'[2]Doc Set'!E:E,'[2]Doc Set'!G:G)</f>
        <v>43305</v>
      </c>
      <c r="Q73" s="144" t="str">
        <f t="shared" si="2"/>
        <v>EH2-SS_B</v>
      </c>
      <c r="R73" s="150">
        <f>+LOOKUP(Q73,'[2]Doc Set'!E:E,'[2]Doc Set'!H:H)</f>
        <v>43350</v>
      </c>
      <c r="S73" s="152" t="s">
        <v>200</v>
      </c>
    </row>
    <row r="74" spans="1:19" x14ac:dyDescent="0.3">
      <c r="A74" s="55" t="s">
        <v>40</v>
      </c>
      <c r="B74" s="55" t="s">
        <v>190</v>
      </c>
      <c r="C74" s="55" t="s">
        <v>191</v>
      </c>
      <c r="D74" s="162" t="s">
        <v>65</v>
      </c>
      <c r="E74" s="55" t="s">
        <v>193</v>
      </c>
      <c r="F74" s="55" t="s">
        <v>663</v>
      </c>
      <c r="G74" s="55" t="s">
        <v>1077</v>
      </c>
      <c r="H74" s="55" t="s">
        <v>1078</v>
      </c>
      <c r="I74" s="154" t="s">
        <v>134</v>
      </c>
      <c r="J74" s="147" t="s">
        <v>879</v>
      </c>
      <c r="K74" s="55">
        <v>20038918</v>
      </c>
      <c r="L74" s="55" t="s">
        <v>198</v>
      </c>
      <c r="M74" s="141" t="str">
        <f t="shared" si="4"/>
        <v>EH2-INT_D</v>
      </c>
      <c r="N74" s="142" t="str">
        <f>LOOKUP(M74,'[2]Doc Set'!E:E,'[2]Doc Set'!F:F)</f>
        <v>_</v>
      </c>
      <c r="O74" s="141" t="s">
        <v>931</v>
      </c>
      <c r="P74" s="142">
        <f>+LOOKUP(O74,'[2]Doc Set'!E:E,'[2]Doc Set'!G:G)</f>
        <v>43500</v>
      </c>
      <c r="Q74" s="55" t="str">
        <f t="shared" si="2"/>
        <v>EH2-INT_D</v>
      </c>
      <c r="R74" s="142">
        <f>+LOOKUP(Q74,'[2]Doc Set'!E:E,'[2]Doc Set'!H:H)</f>
        <v>43528</v>
      </c>
      <c r="S74" s="143" t="s">
        <v>200</v>
      </c>
    </row>
    <row r="75" spans="1:19" x14ac:dyDescent="0.3">
      <c r="A75" s="55" t="s">
        <v>40</v>
      </c>
      <c r="B75" s="55" t="s">
        <v>190</v>
      </c>
      <c r="C75" s="55" t="s">
        <v>191</v>
      </c>
      <c r="D75" s="162" t="s">
        <v>65</v>
      </c>
      <c r="E75" s="55" t="s">
        <v>193</v>
      </c>
      <c r="F75" s="55" t="s">
        <v>663</v>
      </c>
      <c r="G75" s="55" t="s">
        <v>1079</v>
      </c>
      <c r="H75" s="55" t="s">
        <v>1080</v>
      </c>
      <c r="I75" s="154" t="s">
        <v>134</v>
      </c>
      <c r="J75" s="159" t="s">
        <v>881</v>
      </c>
      <c r="K75" s="55">
        <v>20038918</v>
      </c>
      <c r="L75" s="55" t="s">
        <v>198</v>
      </c>
      <c r="M75" s="141" t="str">
        <f t="shared" si="4"/>
        <v>EH2-INT_D</v>
      </c>
      <c r="N75" s="142" t="str">
        <f>LOOKUP(M75,'[2]Doc Set'!E:E,'[2]Doc Set'!F:F)</f>
        <v>_</v>
      </c>
      <c r="O75" s="141" t="s">
        <v>931</v>
      </c>
      <c r="P75" s="142">
        <f>+LOOKUP(O75,'[2]Doc Set'!E:E,'[2]Doc Set'!G:G)</f>
        <v>43500</v>
      </c>
      <c r="Q75" s="55" t="str">
        <f t="shared" si="2"/>
        <v>EH2-INT_D</v>
      </c>
      <c r="R75" s="142">
        <f>+LOOKUP(Q75,'[2]Doc Set'!E:E,'[2]Doc Set'!H:H)</f>
        <v>43528</v>
      </c>
      <c r="S75" s="143" t="s">
        <v>200</v>
      </c>
    </row>
    <row r="76" spans="1:19" x14ac:dyDescent="0.3">
      <c r="A76" s="55" t="s">
        <v>40</v>
      </c>
      <c r="B76" s="55" t="s">
        <v>190</v>
      </c>
      <c r="C76" s="55" t="s">
        <v>191</v>
      </c>
      <c r="D76" s="162" t="s">
        <v>65</v>
      </c>
      <c r="E76" s="55" t="s">
        <v>193</v>
      </c>
      <c r="F76" s="55" t="s">
        <v>663</v>
      </c>
      <c r="G76" s="55" t="s">
        <v>1081</v>
      </c>
      <c r="H76" s="55" t="s">
        <v>1082</v>
      </c>
      <c r="I76" s="154" t="s">
        <v>134</v>
      </c>
      <c r="J76" s="159" t="s">
        <v>883</v>
      </c>
      <c r="K76" s="55">
        <v>20038918</v>
      </c>
      <c r="L76" s="55" t="s">
        <v>198</v>
      </c>
      <c r="M76" s="141" t="str">
        <f t="shared" si="4"/>
        <v>EH2-INT_D</v>
      </c>
      <c r="N76" s="142" t="str">
        <f>LOOKUP(M76,'[2]Doc Set'!E:E,'[2]Doc Set'!F:F)</f>
        <v>_</v>
      </c>
      <c r="O76" s="141" t="s">
        <v>931</v>
      </c>
      <c r="P76" s="142">
        <f>+LOOKUP(O76,'[2]Doc Set'!E:E,'[2]Doc Set'!G:G)</f>
        <v>43500</v>
      </c>
      <c r="Q76" s="55" t="str">
        <f t="shared" si="2"/>
        <v>EH2-INT_D</v>
      </c>
      <c r="R76" s="142">
        <f>+LOOKUP(Q76,'[2]Doc Set'!E:E,'[2]Doc Set'!H:H)</f>
        <v>43528</v>
      </c>
      <c r="S76" s="143" t="s">
        <v>200</v>
      </c>
    </row>
    <row r="77" spans="1:19" x14ac:dyDescent="0.3">
      <c r="A77" s="55" t="s">
        <v>40</v>
      </c>
      <c r="B77" s="55" t="s">
        <v>190</v>
      </c>
      <c r="C77" s="55" t="s">
        <v>191</v>
      </c>
      <c r="D77" s="162" t="s">
        <v>65</v>
      </c>
      <c r="E77" s="55" t="s">
        <v>193</v>
      </c>
      <c r="F77" s="55" t="s">
        <v>663</v>
      </c>
      <c r="G77" s="55" t="s">
        <v>676</v>
      </c>
      <c r="H77" s="55" t="s">
        <v>1083</v>
      </c>
      <c r="I77" s="154" t="s">
        <v>134</v>
      </c>
      <c r="J77" s="159" t="s">
        <v>885</v>
      </c>
      <c r="K77" s="55">
        <v>20038918</v>
      </c>
      <c r="L77" s="55" t="s">
        <v>198</v>
      </c>
      <c r="M77" s="141" t="str">
        <f t="shared" si="4"/>
        <v>EH2-INT_D</v>
      </c>
      <c r="N77" s="142" t="str">
        <f>LOOKUP(M77,'[2]Doc Set'!E:E,'[2]Doc Set'!F:F)</f>
        <v>_</v>
      </c>
      <c r="O77" s="141" t="s">
        <v>931</v>
      </c>
      <c r="P77" s="142">
        <f>+LOOKUP(O77,'[2]Doc Set'!E:E,'[2]Doc Set'!G:G)</f>
        <v>43500</v>
      </c>
      <c r="Q77" s="55" t="str">
        <f t="shared" si="2"/>
        <v>EH2-INT_D</v>
      </c>
      <c r="R77" s="142">
        <f>+LOOKUP(Q77,'[2]Doc Set'!E:E,'[2]Doc Set'!H:H)</f>
        <v>43528</v>
      </c>
      <c r="S77" s="143" t="s">
        <v>200</v>
      </c>
    </row>
    <row r="78" spans="1:19" x14ac:dyDescent="0.3">
      <c r="A78" s="55" t="s">
        <v>40</v>
      </c>
      <c r="B78" s="55" t="s">
        <v>190</v>
      </c>
      <c r="C78" s="55" t="s">
        <v>191</v>
      </c>
      <c r="D78" s="162" t="s">
        <v>65</v>
      </c>
      <c r="E78" s="55" t="s">
        <v>193</v>
      </c>
      <c r="F78" s="55" t="s">
        <v>663</v>
      </c>
      <c r="G78" s="55" t="s">
        <v>679</v>
      </c>
      <c r="H78" s="55" t="s">
        <v>1084</v>
      </c>
      <c r="I78" s="154" t="s">
        <v>134</v>
      </c>
      <c r="J78" s="159" t="s">
        <v>887</v>
      </c>
      <c r="K78" s="55">
        <v>20038918</v>
      </c>
      <c r="L78" s="55" t="s">
        <v>198</v>
      </c>
      <c r="M78" s="141" t="str">
        <f t="shared" si="4"/>
        <v>EH2-INT_D</v>
      </c>
      <c r="N78" s="142" t="str">
        <f>LOOKUP(M78,'[2]Doc Set'!E:E,'[2]Doc Set'!F:F)</f>
        <v>_</v>
      </c>
      <c r="O78" s="141" t="s">
        <v>931</v>
      </c>
      <c r="P78" s="142">
        <f>+LOOKUP(O78,'[2]Doc Set'!E:E,'[2]Doc Set'!G:G)</f>
        <v>43500</v>
      </c>
      <c r="Q78" s="55" t="str">
        <f t="shared" si="2"/>
        <v>EH2-INT_D</v>
      </c>
      <c r="R78" s="142">
        <f>+LOOKUP(Q78,'[2]Doc Set'!E:E,'[2]Doc Set'!H:H)</f>
        <v>43528</v>
      </c>
      <c r="S78" s="143" t="s">
        <v>200</v>
      </c>
    </row>
    <row r="79" spans="1:19" x14ac:dyDescent="0.3">
      <c r="A79" s="55" t="s">
        <v>40</v>
      </c>
      <c r="B79" s="55" t="s">
        <v>190</v>
      </c>
      <c r="C79" s="55" t="s">
        <v>191</v>
      </c>
      <c r="D79" s="162" t="s">
        <v>65</v>
      </c>
      <c r="E79" s="55" t="s">
        <v>193</v>
      </c>
      <c r="F79" s="55" t="s">
        <v>663</v>
      </c>
      <c r="G79" s="55" t="s">
        <v>682</v>
      </c>
      <c r="H79" s="55" t="s">
        <v>1085</v>
      </c>
      <c r="I79" s="154" t="s">
        <v>134</v>
      </c>
      <c r="J79" s="159" t="s">
        <v>889</v>
      </c>
      <c r="K79" s="55">
        <v>20038918</v>
      </c>
      <c r="L79" s="55" t="s">
        <v>198</v>
      </c>
      <c r="M79" s="141" t="str">
        <f t="shared" si="4"/>
        <v>EH2-INT_D</v>
      </c>
      <c r="N79" s="142" t="str">
        <f>LOOKUP(M79,'[2]Doc Set'!E:E,'[2]Doc Set'!F:F)</f>
        <v>_</v>
      </c>
      <c r="O79" s="141" t="s">
        <v>931</v>
      </c>
      <c r="P79" s="142">
        <f>+LOOKUP(O79,'[2]Doc Set'!E:E,'[2]Doc Set'!G:G)</f>
        <v>43500</v>
      </c>
      <c r="Q79" s="55" t="str">
        <f t="shared" si="2"/>
        <v>EH2-INT_D</v>
      </c>
      <c r="R79" s="142">
        <f>+LOOKUP(Q79,'[2]Doc Set'!E:E,'[2]Doc Set'!H:H)</f>
        <v>43528</v>
      </c>
      <c r="S79" s="143" t="s">
        <v>200</v>
      </c>
    </row>
    <row r="80" spans="1:19" x14ac:dyDescent="0.3">
      <c r="A80" s="55" t="s">
        <v>40</v>
      </c>
      <c r="B80" s="55" t="s">
        <v>190</v>
      </c>
      <c r="C80" s="55" t="s">
        <v>191</v>
      </c>
      <c r="D80" s="162" t="s">
        <v>65</v>
      </c>
      <c r="E80" s="55" t="s">
        <v>193</v>
      </c>
      <c r="F80" s="55" t="s">
        <v>194</v>
      </c>
      <c r="G80" s="55" t="s">
        <v>364</v>
      </c>
      <c r="H80" s="55" t="s">
        <v>1086</v>
      </c>
      <c r="I80" s="139" t="s">
        <v>51</v>
      </c>
      <c r="J80" s="159" t="s">
        <v>1087</v>
      </c>
      <c r="K80" s="55">
        <v>20038918</v>
      </c>
      <c r="L80" s="55" t="s">
        <v>198</v>
      </c>
      <c r="M80" s="141" t="str">
        <f t="shared" si="4"/>
        <v>EH2-INT_D</v>
      </c>
      <c r="N80" s="142" t="str">
        <f>LOOKUP(M80,'[2]Doc Set'!E:E,'[2]Doc Set'!F:F)</f>
        <v>_</v>
      </c>
      <c r="O80" s="141" t="s">
        <v>931</v>
      </c>
      <c r="P80" s="142">
        <f>+LOOKUP(O80,'[2]Doc Set'!E:E,'[2]Doc Set'!G:G)</f>
        <v>43500</v>
      </c>
      <c r="Q80" s="55" t="str">
        <f t="shared" si="2"/>
        <v>EH2-INT_D</v>
      </c>
      <c r="R80" s="142">
        <f>+LOOKUP(Q80,'[2]Doc Set'!E:E,'[2]Doc Set'!H:H)</f>
        <v>43528</v>
      </c>
      <c r="S80" s="143" t="s">
        <v>200</v>
      </c>
    </row>
    <row r="81" spans="1:19" x14ac:dyDescent="0.3">
      <c r="A81" s="55" t="s">
        <v>40</v>
      </c>
      <c r="B81" s="55" t="s">
        <v>190</v>
      </c>
      <c r="C81" s="55" t="s">
        <v>191</v>
      </c>
      <c r="D81" s="162" t="s">
        <v>65</v>
      </c>
      <c r="E81" s="55" t="s">
        <v>193</v>
      </c>
      <c r="F81" s="55" t="s">
        <v>194</v>
      </c>
      <c r="G81" s="55" t="s">
        <v>892</v>
      </c>
      <c r="H81" s="55" t="s">
        <v>1088</v>
      </c>
      <c r="I81" s="139" t="s">
        <v>51</v>
      </c>
      <c r="J81" s="159" t="s">
        <v>1089</v>
      </c>
      <c r="K81" s="55">
        <v>20038918</v>
      </c>
      <c r="L81" s="55" t="s">
        <v>198</v>
      </c>
      <c r="M81" s="141" t="str">
        <f t="shared" si="4"/>
        <v>EH2-INT_D</v>
      </c>
      <c r="N81" s="142" t="str">
        <f>LOOKUP(M81,'[2]Doc Set'!E:E,'[2]Doc Set'!F:F)</f>
        <v>_</v>
      </c>
      <c r="O81" s="141" t="s">
        <v>931</v>
      </c>
      <c r="P81" s="142">
        <f>+LOOKUP(O81,'[2]Doc Set'!E:E,'[2]Doc Set'!G:G)</f>
        <v>43500</v>
      </c>
      <c r="Q81" s="55" t="str">
        <f t="shared" si="2"/>
        <v>EH2-INT_D</v>
      </c>
      <c r="R81" s="142">
        <f>+LOOKUP(Q81,'[2]Doc Set'!E:E,'[2]Doc Set'!H:H)</f>
        <v>43528</v>
      </c>
      <c r="S81" s="143" t="s">
        <v>200</v>
      </c>
    </row>
    <row r="82" spans="1:19" x14ac:dyDescent="0.3">
      <c r="A82" s="55" t="s">
        <v>40</v>
      </c>
      <c r="B82" s="55" t="s">
        <v>190</v>
      </c>
      <c r="C82" s="55" t="s">
        <v>191</v>
      </c>
      <c r="D82" s="162" t="s">
        <v>65</v>
      </c>
      <c r="E82" s="55" t="s">
        <v>193</v>
      </c>
      <c r="F82" s="55" t="s">
        <v>194</v>
      </c>
      <c r="G82" s="55" t="s">
        <v>895</v>
      </c>
      <c r="H82" s="55" t="s">
        <v>1090</v>
      </c>
      <c r="I82" s="139" t="s">
        <v>51</v>
      </c>
      <c r="J82" s="159" t="s">
        <v>1091</v>
      </c>
      <c r="K82" s="55">
        <v>20038918</v>
      </c>
      <c r="L82" s="55" t="s">
        <v>198</v>
      </c>
      <c r="M82" s="141" t="str">
        <f t="shared" si="4"/>
        <v>EH2-INT_D</v>
      </c>
      <c r="N82" s="142" t="str">
        <f>LOOKUP(M82,'[2]Doc Set'!E:E,'[2]Doc Set'!F:F)</f>
        <v>_</v>
      </c>
      <c r="O82" s="141" t="s">
        <v>931</v>
      </c>
      <c r="P82" s="142">
        <f>+LOOKUP(O82,'[2]Doc Set'!E:E,'[2]Doc Set'!G:G)</f>
        <v>43500</v>
      </c>
      <c r="Q82" s="55" t="str">
        <f t="shared" si="2"/>
        <v>EH2-INT_D</v>
      </c>
      <c r="R82" s="142">
        <f>+LOOKUP(Q82,'[2]Doc Set'!E:E,'[2]Doc Set'!H:H)</f>
        <v>43528</v>
      </c>
      <c r="S82" s="143" t="s">
        <v>200</v>
      </c>
    </row>
    <row r="83" spans="1:19" x14ac:dyDescent="0.3">
      <c r="A83" s="55" t="s">
        <v>40</v>
      </c>
      <c r="B83" s="55" t="s">
        <v>190</v>
      </c>
      <c r="C83" s="55" t="s">
        <v>191</v>
      </c>
      <c r="D83" s="162" t="s">
        <v>65</v>
      </c>
      <c r="E83" s="55" t="s">
        <v>193</v>
      </c>
      <c r="F83" s="55" t="s">
        <v>194</v>
      </c>
      <c r="G83" s="55" t="s">
        <v>385</v>
      </c>
      <c r="H83" s="55" t="s">
        <v>1092</v>
      </c>
      <c r="I83" s="139" t="s">
        <v>51</v>
      </c>
      <c r="J83" s="159" t="s">
        <v>1093</v>
      </c>
      <c r="K83" s="55">
        <v>20038918</v>
      </c>
      <c r="L83" s="55" t="s">
        <v>198</v>
      </c>
      <c r="M83" s="141" t="str">
        <f t="shared" si="4"/>
        <v>EH2-INT_D</v>
      </c>
      <c r="N83" s="142" t="str">
        <f>LOOKUP(M83,'[2]Doc Set'!E:E,'[2]Doc Set'!F:F)</f>
        <v>_</v>
      </c>
      <c r="O83" s="141" t="s">
        <v>931</v>
      </c>
      <c r="P83" s="142">
        <f>+LOOKUP(O83,'[2]Doc Set'!E:E,'[2]Doc Set'!G:G)</f>
        <v>43500</v>
      </c>
      <c r="Q83" s="55" t="str">
        <f t="shared" si="2"/>
        <v>EH2-INT_D</v>
      </c>
      <c r="R83" s="142">
        <f>+LOOKUP(Q83,'[2]Doc Set'!E:E,'[2]Doc Set'!H:H)</f>
        <v>43528</v>
      </c>
      <c r="S83" s="143" t="s">
        <v>200</v>
      </c>
    </row>
    <row r="84" spans="1:19" x14ac:dyDescent="0.3">
      <c r="A84" s="55" t="s">
        <v>40</v>
      </c>
      <c r="B84" s="55" t="s">
        <v>190</v>
      </c>
      <c r="C84" s="55" t="s">
        <v>191</v>
      </c>
      <c r="D84" s="162" t="s">
        <v>65</v>
      </c>
      <c r="E84" s="55" t="s">
        <v>193</v>
      </c>
      <c r="F84" s="55" t="s">
        <v>194</v>
      </c>
      <c r="G84" s="55" t="s">
        <v>900</v>
      </c>
      <c r="H84" s="55" t="s">
        <v>1094</v>
      </c>
      <c r="I84" s="139" t="s">
        <v>51</v>
      </c>
      <c r="J84" s="159" t="s">
        <v>1095</v>
      </c>
      <c r="K84" s="55">
        <v>20038918</v>
      </c>
      <c r="L84" s="55" t="s">
        <v>198</v>
      </c>
      <c r="M84" s="141" t="str">
        <f t="shared" si="4"/>
        <v>EH2-INT_D</v>
      </c>
      <c r="N84" s="142" t="str">
        <f>LOOKUP(M84,'[2]Doc Set'!E:E,'[2]Doc Set'!F:F)</f>
        <v>_</v>
      </c>
      <c r="O84" s="141" t="s">
        <v>931</v>
      </c>
      <c r="P84" s="142">
        <f>+LOOKUP(O84,'[2]Doc Set'!E:E,'[2]Doc Set'!G:G)</f>
        <v>43500</v>
      </c>
      <c r="Q84" s="55" t="str">
        <f t="shared" si="2"/>
        <v>EH2-INT_D</v>
      </c>
      <c r="R84" s="142">
        <f>+LOOKUP(Q84,'[2]Doc Set'!E:E,'[2]Doc Set'!H:H)</f>
        <v>43528</v>
      </c>
      <c r="S84" s="143" t="s">
        <v>200</v>
      </c>
    </row>
    <row r="85" spans="1:19" x14ac:dyDescent="0.3">
      <c r="A85" s="55" t="s">
        <v>40</v>
      </c>
      <c r="B85" s="55" t="s">
        <v>190</v>
      </c>
      <c r="C85" s="55" t="s">
        <v>191</v>
      </c>
      <c r="D85" s="162" t="s">
        <v>65</v>
      </c>
      <c r="E85" s="55" t="s">
        <v>193</v>
      </c>
      <c r="F85" s="55" t="s">
        <v>194</v>
      </c>
      <c r="G85" s="55" t="s">
        <v>903</v>
      </c>
      <c r="H85" s="55" t="s">
        <v>1096</v>
      </c>
      <c r="I85" s="139" t="s">
        <v>51</v>
      </c>
      <c r="J85" s="159" t="s">
        <v>1097</v>
      </c>
      <c r="K85" s="55">
        <v>20038918</v>
      </c>
      <c r="L85" s="55" t="s">
        <v>198</v>
      </c>
      <c r="M85" s="141" t="str">
        <f t="shared" si="4"/>
        <v>EH2-INT_D</v>
      </c>
      <c r="N85" s="142" t="str">
        <f>LOOKUP(M85,'[2]Doc Set'!E:E,'[2]Doc Set'!F:F)</f>
        <v>_</v>
      </c>
      <c r="O85" s="141" t="s">
        <v>931</v>
      </c>
      <c r="P85" s="142">
        <f>+LOOKUP(O85,'[2]Doc Set'!E:E,'[2]Doc Set'!G:G)</f>
        <v>43500</v>
      </c>
      <c r="Q85" s="55" t="str">
        <f t="shared" si="2"/>
        <v>EH2-INT_D</v>
      </c>
      <c r="R85" s="142">
        <f>+LOOKUP(Q85,'[2]Doc Set'!E:E,'[2]Doc Set'!H:H)</f>
        <v>43528</v>
      </c>
      <c r="S85" s="143" t="s">
        <v>200</v>
      </c>
    </row>
    <row r="86" spans="1:19" x14ac:dyDescent="0.3">
      <c r="A86" s="55" t="s">
        <v>40</v>
      </c>
      <c r="B86" s="55" t="s">
        <v>190</v>
      </c>
      <c r="C86" s="55" t="s">
        <v>191</v>
      </c>
      <c r="D86" s="162" t="s">
        <v>65</v>
      </c>
      <c r="E86" s="55" t="s">
        <v>193</v>
      </c>
      <c r="F86" s="55" t="s">
        <v>194</v>
      </c>
      <c r="G86" s="55" t="s">
        <v>406</v>
      </c>
      <c r="H86" s="55" t="s">
        <v>1098</v>
      </c>
      <c r="I86" s="139" t="s">
        <v>51</v>
      </c>
      <c r="J86" s="159" t="s">
        <v>1099</v>
      </c>
      <c r="K86" s="55">
        <v>20038918</v>
      </c>
      <c r="L86" s="55" t="s">
        <v>198</v>
      </c>
      <c r="M86" s="141" t="str">
        <f t="shared" si="4"/>
        <v>EH2-INT_D</v>
      </c>
      <c r="N86" s="142" t="str">
        <f>LOOKUP(M86,'[2]Doc Set'!E:E,'[2]Doc Set'!F:F)</f>
        <v>_</v>
      </c>
      <c r="O86" s="141" t="s">
        <v>931</v>
      </c>
      <c r="P86" s="142">
        <f>+LOOKUP(O86,'[2]Doc Set'!E:E,'[2]Doc Set'!G:G)</f>
        <v>43500</v>
      </c>
      <c r="Q86" s="55" t="str">
        <f t="shared" si="2"/>
        <v>EH2-INT_D</v>
      </c>
      <c r="R86" s="142">
        <f>+LOOKUP(Q86,'[2]Doc Set'!E:E,'[2]Doc Set'!H:H)</f>
        <v>43528</v>
      </c>
      <c r="S86" s="143" t="s">
        <v>200</v>
      </c>
    </row>
    <row r="87" spans="1:19" x14ac:dyDescent="0.3">
      <c r="A87" s="55" t="s">
        <v>40</v>
      </c>
      <c r="B87" s="55" t="s">
        <v>190</v>
      </c>
      <c r="C87" s="55" t="s">
        <v>191</v>
      </c>
      <c r="D87" s="162" t="s">
        <v>65</v>
      </c>
      <c r="E87" s="55" t="s">
        <v>193</v>
      </c>
      <c r="F87" s="55" t="s">
        <v>194</v>
      </c>
      <c r="G87" s="55" t="s">
        <v>908</v>
      </c>
      <c r="H87" s="55" t="s">
        <v>1100</v>
      </c>
      <c r="I87" s="139" t="s">
        <v>51</v>
      </c>
      <c r="J87" s="159" t="s">
        <v>1101</v>
      </c>
      <c r="K87" s="55">
        <v>20038918</v>
      </c>
      <c r="L87" s="55" t="s">
        <v>198</v>
      </c>
      <c r="M87" s="141" t="str">
        <f t="shared" si="4"/>
        <v>EH2-INT_D</v>
      </c>
      <c r="N87" s="142" t="str">
        <f>LOOKUP(M87,'[2]Doc Set'!E:E,'[2]Doc Set'!F:F)</f>
        <v>_</v>
      </c>
      <c r="O87" s="141" t="s">
        <v>931</v>
      </c>
      <c r="P87" s="142">
        <f>+LOOKUP(O87,'[2]Doc Set'!E:E,'[2]Doc Set'!G:G)</f>
        <v>43500</v>
      </c>
      <c r="Q87" s="55" t="str">
        <f t="shared" si="2"/>
        <v>EH2-INT_D</v>
      </c>
      <c r="R87" s="142">
        <f>+LOOKUP(Q87,'[2]Doc Set'!E:E,'[2]Doc Set'!H:H)</f>
        <v>43528</v>
      </c>
      <c r="S87" s="143" t="s">
        <v>200</v>
      </c>
    </row>
    <row r="88" spans="1:19" x14ac:dyDescent="0.3">
      <c r="A88" s="55" t="s">
        <v>40</v>
      </c>
      <c r="B88" s="55" t="s">
        <v>190</v>
      </c>
      <c r="C88" s="55" t="s">
        <v>191</v>
      </c>
      <c r="D88" s="162" t="s">
        <v>65</v>
      </c>
      <c r="E88" s="55" t="s">
        <v>193</v>
      </c>
      <c r="F88" s="55" t="s">
        <v>194</v>
      </c>
      <c r="G88" s="55" t="s">
        <v>911</v>
      </c>
      <c r="H88" s="55" t="s">
        <v>1102</v>
      </c>
      <c r="I88" s="139" t="s">
        <v>51</v>
      </c>
      <c r="J88" s="159" t="s">
        <v>1103</v>
      </c>
      <c r="K88" s="55">
        <v>20038918</v>
      </c>
      <c r="L88" s="55" t="s">
        <v>198</v>
      </c>
      <c r="M88" s="141" t="str">
        <f t="shared" si="4"/>
        <v>EH2-INT_D</v>
      </c>
      <c r="N88" s="142" t="str">
        <f>LOOKUP(M88,'[2]Doc Set'!E:E,'[2]Doc Set'!F:F)</f>
        <v>_</v>
      </c>
      <c r="O88" s="141" t="s">
        <v>931</v>
      </c>
      <c r="P88" s="142">
        <f>+LOOKUP(O88,'[2]Doc Set'!E:E,'[2]Doc Set'!G:G)</f>
        <v>43500</v>
      </c>
      <c r="Q88" s="55" t="str">
        <f t="shared" si="2"/>
        <v>EH2-INT_D</v>
      </c>
      <c r="R88" s="142">
        <f>+LOOKUP(Q88,'[2]Doc Set'!E:E,'[2]Doc Set'!H:H)</f>
        <v>43528</v>
      </c>
      <c r="S88" s="143" t="s">
        <v>200</v>
      </c>
    </row>
    <row r="89" spans="1:19" x14ac:dyDescent="0.3">
      <c r="A89" s="55" t="s">
        <v>40</v>
      </c>
      <c r="B89" s="55" t="s">
        <v>190</v>
      </c>
      <c r="C89" s="55" t="s">
        <v>191</v>
      </c>
      <c r="D89" s="162" t="s">
        <v>65</v>
      </c>
      <c r="E89" s="55" t="s">
        <v>193</v>
      </c>
      <c r="F89" s="55" t="s">
        <v>194</v>
      </c>
      <c r="G89" s="55" t="s">
        <v>506</v>
      </c>
      <c r="H89" s="55" t="s">
        <v>1104</v>
      </c>
      <c r="I89" s="139" t="s">
        <v>51</v>
      </c>
      <c r="J89" s="159" t="s">
        <v>1105</v>
      </c>
      <c r="K89" s="55">
        <v>20038918</v>
      </c>
      <c r="L89" s="55" t="s">
        <v>198</v>
      </c>
      <c r="M89" s="141" t="str">
        <f t="shared" si="4"/>
        <v>EH2-INT_D</v>
      </c>
      <c r="N89" s="142" t="str">
        <f>LOOKUP(M89,'[2]Doc Set'!E:E,'[2]Doc Set'!F:F)</f>
        <v>_</v>
      </c>
      <c r="O89" s="141" t="s">
        <v>931</v>
      </c>
      <c r="P89" s="142">
        <f>+LOOKUP(O89,'[2]Doc Set'!E:E,'[2]Doc Set'!G:G)</f>
        <v>43500</v>
      </c>
      <c r="Q89" s="55" t="str">
        <f t="shared" si="2"/>
        <v>EH2-INT_D</v>
      </c>
      <c r="R89" s="142">
        <f>+LOOKUP(Q89,'[2]Doc Set'!E:E,'[2]Doc Set'!H:H)</f>
        <v>43528</v>
      </c>
      <c r="S89" s="143" t="s">
        <v>200</v>
      </c>
    </row>
    <row r="90" spans="1:19" x14ac:dyDescent="0.3">
      <c r="A90" s="55" t="s">
        <v>40</v>
      </c>
      <c r="B90" s="55" t="s">
        <v>190</v>
      </c>
      <c r="C90" s="55" t="s">
        <v>191</v>
      </c>
      <c r="D90" s="162" t="s">
        <v>65</v>
      </c>
      <c r="E90" s="55" t="s">
        <v>193</v>
      </c>
      <c r="F90" s="55" t="s">
        <v>194</v>
      </c>
      <c r="G90" s="55" t="s">
        <v>509</v>
      </c>
      <c r="H90" s="55" t="s">
        <v>1106</v>
      </c>
      <c r="I90" s="139" t="s">
        <v>51</v>
      </c>
      <c r="J90" s="159" t="s">
        <v>1107</v>
      </c>
      <c r="K90" s="55">
        <v>20038918</v>
      </c>
      <c r="L90" s="55" t="s">
        <v>198</v>
      </c>
      <c r="M90" s="141" t="str">
        <f t="shared" si="4"/>
        <v>EH2-INT_D</v>
      </c>
      <c r="N90" s="142" t="str">
        <f>LOOKUP(M90,'[2]Doc Set'!E:E,'[2]Doc Set'!F:F)</f>
        <v>_</v>
      </c>
      <c r="O90" s="141" t="s">
        <v>931</v>
      </c>
      <c r="P90" s="142">
        <f>+LOOKUP(O90,'[2]Doc Set'!E:E,'[2]Doc Set'!G:G)</f>
        <v>43500</v>
      </c>
      <c r="Q90" s="55" t="str">
        <f t="shared" si="2"/>
        <v>EH2-INT_D</v>
      </c>
      <c r="R90" s="142">
        <f>+LOOKUP(Q90,'[2]Doc Set'!E:E,'[2]Doc Set'!H:H)</f>
        <v>43528</v>
      </c>
      <c r="S90" s="143" t="s">
        <v>200</v>
      </c>
    </row>
    <row r="91" spans="1:19" x14ac:dyDescent="0.3">
      <c r="A91" s="55" t="s">
        <v>40</v>
      </c>
      <c r="B91" s="55" t="s">
        <v>190</v>
      </c>
      <c r="C91" s="55" t="s">
        <v>191</v>
      </c>
      <c r="D91" s="162" t="s">
        <v>65</v>
      </c>
      <c r="E91" s="55" t="s">
        <v>193</v>
      </c>
      <c r="F91" s="55" t="s">
        <v>194</v>
      </c>
      <c r="G91" s="55" t="s">
        <v>512</v>
      </c>
      <c r="H91" s="55" t="s">
        <v>1108</v>
      </c>
      <c r="I91" s="139" t="s">
        <v>51</v>
      </c>
      <c r="J91" s="159" t="s">
        <v>1109</v>
      </c>
      <c r="K91" s="55">
        <v>20038918</v>
      </c>
      <c r="L91" s="55" t="s">
        <v>198</v>
      </c>
      <c r="M91" s="141" t="str">
        <f t="shared" si="4"/>
        <v>EH2-INT_D</v>
      </c>
      <c r="N91" s="142" t="str">
        <f>LOOKUP(M91,'[2]Doc Set'!E:E,'[2]Doc Set'!F:F)</f>
        <v>_</v>
      </c>
      <c r="O91" s="141" t="s">
        <v>931</v>
      </c>
      <c r="P91" s="142">
        <f>+LOOKUP(O91,'[2]Doc Set'!E:E,'[2]Doc Set'!G:G)</f>
        <v>43500</v>
      </c>
      <c r="Q91" s="55" t="str">
        <f t="shared" si="2"/>
        <v>EH2-INT_D</v>
      </c>
      <c r="R91" s="142">
        <f>+LOOKUP(Q91,'[2]Doc Set'!E:E,'[2]Doc Set'!H:H)</f>
        <v>43528</v>
      </c>
      <c r="S91" s="143" t="s">
        <v>200</v>
      </c>
    </row>
    <row r="92" spans="1:19" x14ac:dyDescent="0.3">
      <c r="A92" s="55" t="s">
        <v>40</v>
      </c>
      <c r="B92" s="55" t="s">
        <v>190</v>
      </c>
      <c r="C92" s="55" t="s">
        <v>191</v>
      </c>
      <c r="D92" s="162" t="s">
        <v>65</v>
      </c>
      <c r="E92" s="55" t="s">
        <v>193</v>
      </c>
      <c r="F92" s="55" t="s">
        <v>663</v>
      </c>
      <c r="G92" s="55" t="s">
        <v>685</v>
      </c>
      <c r="H92" s="55" t="s">
        <v>1110</v>
      </c>
      <c r="I92" s="139" t="s">
        <v>134</v>
      </c>
      <c r="J92" s="159" t="s">
        <v>921</v>
      </c>
      <c r="K92" s="55">
        <v>20038918</v>
      </c>
      <c r="L92" s="55" t="s">
        <v>198</v>
      </c>
      <c r="M92" s="141" t="str">
        <f t="shared" si="4"/>
        <v>EH2-INT_D</v>
      </c>
      <c r="N92" s="142" t="str">
        <f>LOOKUP(M92,'[2]Doc Set'!E:E,'[2]Doc Set'!F:F)</f>
        <v>_</v>
      </c>
      <c r="O92" s="141" t="s">
        <v>931</v>
      </c>
      <c r="P92" s="142">
        <f>+LOOKUP(O92,'[2]Doc Set'!E:E,'[2]Doc Set'!G:G)</f>
        <v>43500</v>
      </c>
      <c r="Q92" s="55" t="str">
        <f t="shared" si="2"/>
        <v>EH2-INT_D</v>
      </c>
      <c r="R92" s="142">
        <f>+LOOKUP(Q92,'[2]Doc Set'!E:E,'[2]Doc Set'!H:H)</f>
        <v>43528</v>
      </c>
      <c r="S92" s="143" t="s">
        <v>200</v>
      </c>
    </row>
    <row r="93" spans="1:19" x14ac:dyDescent="0.3">
      <c r="A93" s="55" t="s">
        <v>40</v>
      </c>
      <c r="B93" s="55" t="s">
        <v>190</v>
      </c>
      <c r="C93" s="55" t="s">
        <v>191</v>
      </c>
      <c r="D93" s="162" t="s">
        <v>65</v>
      </c>
      <c r="E93" s="55" t="s">
        <v>193</v>
      </c>
      <c r="F93" s="55" t="s">
        <v>663</v>
      </c>
      <c r="G93" s="55" t="s">
        <v>688</v>
      </c>
      <c r="H93" s="55" t="s">
        <v>1111</v>
      </c>
      <c r="I93" s="139" t="s">
        <v>134</v>
      </c>
      <c r="J93" s="159" t="s">
        <v>923</v>
      </c>
      <c r="K93" s="55">
        <v>20038918</v>
      </c>
      <c r="L93" s="55" t="s">
        <v>198</v>
      </c>
      <c r="M93" s="141" t="str">
        <f t="shared" si="4"/>
        <v>EH2-INT_D</v>
      </c>
      <c r="N93" s="142" t="str">
        <f>LOOKUP(M93,'[2]Doc Set'!E:E,'[2]Doc Set'!F:F)</f>
        <v>_</v>
      </c>
      <c r="O93" s="141" t="s">
        <v>931</v>
      </c>
      <c r="P93" s="142">
        <f>+LOOKUP(O93,'[2]Doc Set'!E:E,'[2]Doc Set'!G:G)</f>
        <v>43500</v>
      </c>
      <c r="Q93" s="55" t="str">
        <f t="shared" si="2"/>
        <v>EH2-INT_D</v>
      </c>
      <c r="R93" s="142">
        <f>+LOOKUP(Q93,'[2]Doc Set'!E:E,'[2]Doc Set'!H:H)</f>
        <v>43528</v>
      </c>
      <c r="S93" s="143" t="s">
        <v>200</v>
      </c>
    </row>
    <row r="94" spans="1:19" x14ac:dyDescent="0.3">
      <c r="A94" s="55" t="s">
        <v>40</v>
      </c>
      <c r="B94" s="55" t="s">
        <v>190</v>
      </c>
      <c r="C94" s="55" t="s">
        <v>191</v>
      </c>
      <c r="D94" s="162" t="s">
        <v>65</v>
      </c>
      <c r="E94" s="55" t="s">
        <v>193</v>
      </c>
      <c r="F94" s="55" t="s">
        <v>663</v>
      </c>
      <c r="G94" s="55" t="s">
        <v>691</v>
      </c>
      <c r="H94" s="55" t="s">
        <v>1112</v>
      </c>
      <c r="I94" s="139" t="s">
        <v>134</v>
      </c>
      <c r="J94" s="159" t="s">
        <v>925</v>
      </c>
      <c r="K94" s="55">
        <v>20038918</v>
      </c>
      <c r="L94" s="55" t="s">
        <v>198</v>
      </c>
      <c r="M94" s="141" t="str">
        <f t="shared" si="4"/>
        <v>EH2-INT_D</v>
      </c>
      <c r="N94" s="142" t="str">
        <f>LOOKUP(M94,'[2]Doc Set'!E:E,'[2]Doc Set'!F:F)</f>
        <v>_</v>
      </c>
      <c r="O94" s="141" t="s">
        <v>931</v>
      </c>
      <c r="P94" s="142">
        <f>+LOOKUP(O94,'[2]Doc Set'!E:E,'[2]Doc Set'!G:G)</f>
        <v>43500</v>
      </c>
      <c r="Q94" s="55" t="str">
        <f t="shared" si="2"/>
        <v>EH2-INT_D</v>
      </c>
      <c r="R94" s="142">
        <f>+LOOKUP(Q94,'[2]Doc Set'!E:E,'[2]Doc Set'!H:H)</f>
        <v>43528</v>
      </c>
      <c r="S94" s="143" t="s">
        <v>200</v>
      </c>
    </row>
    <row r="95" spans="1:19" x14ac:dyDescent="0.3">
      <c r="A95" s="55" t="s">
        <v>40</v>
      </c>
      <c r="B95" s="55" t="s">
        <v>190</v>
      </c>
      <c r="C95" s="55" t="s">
        <v>191</v>
      </c>
      <c r="D95" s="162" t="s">
        <v>65</v>
      </c>
      <c r="E95" s="55" t="s">
        <v>193</v>
      </c>
      <c r="F95" s="55" t="s">
        <v>663</v>
      </c>
      <c r="G95" s="55" t="s">
        <v>926</v>
      </c>
      <c r="H95" s="55" t="s">
        <v>1113</v>
      </c>
      <c r="I95" s="139" t="s">
        <v>134</v>
      </c>
      <c r="J95" s="159" t="s">
        <v>928</v>
      </c>
      <c r="K95" s="55">
        <v>20038918</v>
      </c>
      <c r="L95" s="55" t="s">
        <v>198</v>
      </c>
      <c r="M95" s="141" t="str">
        <f t="shared" si="4"/>
        <v>EH2-INT_D</v>
      </c>
      <c r="N95" s="142" t="str">
        <f>LOOKUP(M95,'[2]Doc Set'!E:E,'[2]Doc Set'!F:F)</f>
        <v>_</v>
      </c>
      <c r="O95" s="141" t="s">
        <v>931</v>
      </c>
      <c r="P95" s="142">
        <f>+LOOKUP(O95,'[2]Doc Set'!E:E,'[2]Doc Set'!G:G)</f>
        <v>43500</v>
      </c>
      <c r="Q95" s="55" t="str">
        <f t="shared" si="2"/>
        <v>EH2-INT_D</v>
      </c>
      <c r="R95" s="142">
        <f>+LOOKUP(Q95,'[2]Doc Set'!E:E,'[2]Doc Set'!H:H)</f>
        <v>43528</v>
      </c>
      <c r="S95" s="143" t="s">
        <v>200</v>
      </c>
    </row>
  </sheetData>
  <autoFilter ref="A1:S95"/>
  <conditionalFormatting sqref="G1:G95">
    <cfRule type="duplicateValues" dxfId="14" priority="3"/>
  </conditionalFormatting>
  <conditionalFormatting sqref="G1:G1048576">
    <cfRule type="duplicateValues" dxfId="13" priority="2"/>
  </conditionalFormatting>
  <conditionalFormatting sqref="H1:H1048576">
    <cfRule type="duplicateValues" dxfId="12" priority="1"/>
  </conditionalFormatting>
  <dataValidations count="1">
    <dataValidation type="list" allowBlank="1" showInputMessage="1" showErrorMessage="1" sqref="O2:O95 M2:M95">
      <formula1>Document_Set_Name</formula1>
    </dataValidation>
  </dataValidations>
  <pageMargins left="0.7" right="0.7" top="0.75" bottom="0.75" header="0.3" footer="0.3"/>
  <pageSetup orientation="portrait" r:id="rId1"/>
  <headerFooter>
    <oddFooter>&amp;L&amp;1#&amp;"Calibri"&amp;8 Sensitivity: LNT Construction Internal Use</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S98"/>
  <sheetViews>
    <sheetView topLeftCell="G73" zoomScale="85" zoomScaleNormal="85" workbookViewId="0">
      <selection activeCell="H86" sqref="H86:H98"/>
    </sheetView>
  </sheetViews>
  <sheetFormatPr defaultRowHeight="14.4" x14ac:dyDescent="0.3"/>
  <cols>
    <col min="1" max="1" width="11.44140625" hidden="1" customWidth="1"/>
    <col min="2" max="2" width="0" hidden="1" customWidth="1"/>
    <col min="3" max="3" width="11.109375" hidden="1" customWidth="1"/>
    <col min="4" max="4" width="11.33203125" style="155" hidden="1" customWidth="1"/>
    <col min="5" max="5" width="10.5546875" hidden="1" customWidth="1"/>
    <col min="6" max="6" width="8.5546875" hidden="1" customWidth="1"/>
    <col min="8" max="8" width="25.33203125" customWidth="1"/>
    <col min="10" max="10" width="56.5546875" bestFit="1" customWidth="1"/>
    <col min="11" max="11" width="13.88671875" customWidth="1"/>
    <col min="12" max="12" width="19" customWidth="1"/>
    <col min="13" max="13" width="12.33203125" bestFit="1" customWidth="1"/>
    <col min="14" max="14" width="12.5546875" bestFit="1" customWidth="1"/>
    <col min="15" max="15" width="10.5546875" customWidth="1"/>
    <col min="16" max="16" width="13.5546875" bestFit="1" customWidth="1"/>
    <col min="17" max="17" width="10.5546875" customWidth="1"/>
    <col min="18" max="18" width="9.6640625" bestFit="1" customWidth="1"/>
    <col min="19" max="19" width="14.5546875" customWidth="1"/>
  </cols>
  <sheetData>
    <row r="1" spans="1:19" s="136" customFormat="1" x14ac:dyDescent="0.3">
      <c r="A1" s="136" t="s">
        <v>174</v>
      </c>
      <c r="B1" s="136" t="s">
        <v>175</v>
      </c>
      <c r="C1" s="136" t="s">
        <v>176</v>
      </c>
      <c r="D1" s="137" t="s">
        <v>177</v>
      </c>
      <c r="E1" s="136" t="s">
        <v>178</v>
      </c>
      <c r="F1" s="136" t="s">
        <v>179</v>
      </c>
      <c r="G1" s="136" t="s">
        <v>180</v>
      </c>
      <c r="H1" s="136" t="s">
        <v>181</v>
      </c>
      <c r="I1" s="136" t="s">
        <v>182</v>
      </c>
      <c r="J1" s="136" t="s">
        <v>183</v>
      </c>
      <c r="K1" s="136" t="s">
        <v>184</v>
      </c>
      <c r="L1" s="136" t="s">
        <v>185</v>
      </c>
      <c r="M1" s="136" t="s">
        <v>34</v>
      </c>
      <c r="N1" s="136" t="s">
        <v>186</v>
      </c>
      <c r="O1" s="136" t="s">
        <v>67</v>
      </c>
      <c r="P1" s="136" t="s">
        <v>187</v>
      </c>
      <c r="Q1" s="136" t="s">
        <v>133</v>
      </c>
      <c r="R1" s="136" t="s">
        <v>188</v>
      </c>
      <c r="S1" s="136" t="s">
        <v>189</v>
      </c>
    </row>
    <row r="2" spans="1:19" x14ac:dyDescent="0.3">
      <c r="A2" s="156" t="s">
        <v>40</v>
      </c>
      <c r="B2" s="157" t="s">
        <v>190</v>
      </c>
      <c r="C2" s="157" t="s">
        <v>191</v>
      </c>
      <c r="D2" s="158" t="s">
        <v>64</v>
      </c>
      <c r="E2" s="55" t="s">
        <v>193</v>
      </c>
      <c r="F2" s="55" t="s">
        <v>194</v>
      </c>
      <c r="G2" s="55" t="s">
        <v>346</v>
      </c>
      <c r="H2" s="55" t="s">
        <v>712</v>
      </c>
      <c r="I2" s="139" t="s">
        <v>51</v>
      </c>
      <c r="J2" s="159" t="s">
        <v>713</v>
      </c>
      <c r="K2" s="55">
        <v>20038918</v>
      </c>
      <c r="L2" s="55" t="s">
        <v>198</v>
      </c>
      <c r="M2" s="141" t="str">
        <f>+O2</f>
        <v>EH1-INT_D</v>
      </c>
      <c r="N2" s="142" t="str">
        <f>LOOKUP(M2,'[2]Doc Set'!E:E,'[2]Doc Set'!F:F)</f>
        <v>_</v>
      </c>
      <c r="O2" s="141" t="s">
        <v>714</v>
      </c>
      <c r="P2" s="142">
        <f>+LOOKUP(O2,'[2]Doc Set'!E:E,'[2]Doc Set'!G:G)</f>
        <v>43493</v>
      </c>
      <c r="Q2" s="55" t="str">
        <f>+O2</f>
        <v>EH1-INT_D</v>
      </c>
      <c r="R2" s="142">
        <f>+LOOKUP(Q2,'[2]Doc Set'!E:E,'[2]Doc Set'!H:H)</f>
        <v>43521</v>
      </c>
      <c r="S2" s="143" t="s">
        <v>200</v>
      </c>
    </row>
    <row r="3" spans="1:19" x14ac:dyDescent="0.3">
      <c r="A3" s="156" t="s">
        <v>40</v>
      </c>
      <c r="B3" s="157" t="s">
        <v>190</v>
      </c>
      <c r="C3" s="157" t="s">
        <v>191</v>
      </c>
      <c r="D3" s="158" t="s">
        <v>64</v>
      </c>
      <c r="E3" s="55" t="s">
        <v>193</v>
      </c>
      <c r="F3" s="55" t="s">
        <v>194</v>
      </c>
      <c r="G3" s="55" t="s">
        <v>349</v>
      </c>
      <c r="H3" s="55" t="s">
        <v>715</v>
      </c>
      <c r="I3" s="139" t="s">
        <v>51</v>
      </c>
      <c r="J3" s="159" t="s">
        <v>716</v>
      </c>
      <c r="K3" s="55">
        <v>20038918</v>
      </c>
      <c r="L3" s="55" t="s">
        <v>198</v>
      </c>
      <c r="M3" s="141" t="str">
        <f>+O3</f>
        <v>EH1-INT_D</v>
      </c>
      <c r="N3" s="142" t="str">
        <f>LOOKUP(M3,'[2]Doc Set'!E:E,'[2]Doc Set'!F:F)</f>
        <v>_</v>
      </c>
      <c r="O3" s="141" t="s">
        <v>714</v>
      </c>
      <c r="P3" s="142">
        <f>+LOOKUP(O3,'[2]Doc Set'!E:E,'[2]Doc Set'!G:G)</f>
        <v>43493</v>
      </c>
      <c r="Q3" s="55" t="str">
        <f t="shared" ref="Q3:Q66" si="0">+O3</f>
        <v>EH1-INT_D</v>
      </c>
      <c r="R3" s="142">
        <f>+LOOKUP(Q3,'[2]Doc Set'!E:E,'[2]Doc Set'!H:H)</f>
        <v>43521</v>
      </c>
      <c r="S3" s="143" t="s">
        <v>200</v>
      </c>
    </row>
    <row r="4" spans="1:19" x14ac:dyDescent="0.3">
      <c r="A4" s="156" t="s">
        <v>40</v>
      </c>
      <c r="B4" s="157" t="s">
        <v>190</v>
      </c>
      <c r="C4" s="157" t="s">
        <v>191</v>
      </c>
      <c r="D4" s="158" t="s">
        <v>64</v>
      </c>
      <c r="E4" s="55" t="s">
        <v>193</v>
      </c>
      <c r="F4" s="55" t="s">
        <v>194</v>
      </c>
      <c r="G4" s="55" t="s">
        <v>352</v>
      </c>
      <c r="H4" s="55" t="s">
        <v>717</v>
      </c>
      <c r="I4" s="139" t="s">
        <v>51</v>
      </c>
      <c r="J4" s="159" t="s">
        <v>718</v>
      </c>
      <c r="K4" s="55">
        <v>20038918</v>
      </c>
      <c r="L4" s="55" t="s">
        <v>198</v>
      </c>
      <c r="M4" s="141" t="str">
        <f>+O4</f>
        <v>EH1-INT_D</v>
      </c>
      <c r="N4" s="142" t="str">
        <f>LOOKUP(M4,'[2]Doc Set'!E:E,'[2]Doc Set'!F:F)</f>
        <v>_</v>
      </c>
      <c r="O4" s="141" t="s">
        <v>714</v>
      </c>
      <c r="P4" s="142">
        <f>+LOOKUP(O4,'[2]Doc Set'!E:E,'[2]Doc Set'!G:G)</f>
        <v>43493</v>
      </c>
      <c r="Q4" s="55" t="str">
        <f t="shared" si="0"/>
        <v>EH1-INT_D</v>
      </c>
      <c r="R4" s="142">
        <f>+LOOKUP(Q4,'[2]Doc Set'!E:E,'[2]Doc Set'!H:H)</f>
        <v>43521</v>
      </c>
      <c r="S4" s="143" t="s">
        <v>200</v>
      </c>
    </row>
    <row r="5" spans="1:19" x14ac:dyDescent="0.3">
      <c r="A5" s="156" t="s">
        <v>40</v>
      </c>
      <c r="B5" s="157" t="s">
        <v>190</v>
      </c>
      <c r="C5" s="157" t="s">
        <v>191</v>
      </c>
      <c r="D5" s="158" t="s">
        <v>64</v>
      </c>
      <c r="E5" s="55" t="s">
        <v>193</v>
      </c>
      <c r="F5" s="55" t="s">
        <v>194</v>
      </c>
      <c r="G5" s="55" t="s">
        <v>355</v>
      </c>
      <c r="H5" s="55" t="s">
        <v>719</v>
      </c>
      <c r="I5" s="139" t="s">
        <v>51</v>
      </c>
      <c r="J5" s="159" t="s">
        <v>720</v>
      </c>
      <c r="K5" s="55">
        <v>20038918</v>
      </c>
      <c r="L5" s="55" t="s">
        <v>198</v>
      </c>
      <c r="M5" s="141" t="str">
        <f>+O5</f>
        <v>EH1-INT_D</v>
      </c>
      <c r="N5" s="142" t="str">
        <f>LOOKUP(M5,'[2]Doc Set'!E:E,'[2]Doc Set'!F:F)</f>
        <v>_</v>
      </c>
      <c r="O5" s="141" t="s">
        <v>714</v>
      </c>
      <c r="P5" s="142">
        <f>+LOOKUP(O5,'[2]Doc Set'!E:E,'[2]Doc Set'!G:G)</f>
        <v>43493</v>
      </c>
      <c r="Q5" s="55" t="str">
        <f t="shared" si="0"/>
        <v>EH1-INT_D</v>
      </c>
      <c r="R5" s="142">
        <f>+LOOKUP(Q5,'[2]Doc Set'!E:E,'[2]Doc Set'!H:H)</f>
        <v>43521</v>
      </c>
      <c r="S5" s="143" t="s">
        <v>200</v>
      </c>
    </row>
    <row r="6" spans="1:19" x14ac:dyDescent="0.3">
      <c r="A6" s="156" t="s">
        <v>40</v>
      </c>
      <c r="B6" s="157" t="s">
        <v>190</v>
      </c>
      <c r="C6" s="157" t="s">
        <v>191</v>
      </c>
      <c r="D6" s="158" t="s">
        <v>64</v>
      </c>
      <c r="E6" s="55" t="s">
        <v>193</v>
      </c>
      <c r="F6" s="55" t="s">
        <v>194</v>
      </c>
      <c r="G6" s="55" t="s">
        <v>358</v>
      </c>
      <c r="H6" s="55" t="s">
        <v>721</v>
      </c>
      <c r="I6" s="139" t="s">
        <v>51</v>
      </c>
      <c r="J6" s="159" t="s">
        <v>722</v>
      </c>
      <c r="K6" s="55">
        <v>20038918</v>
      </c>
      <c r="L6" s="55" t="s">
        <v>198</v>
      </c>
      <c r="M6" s="141" t="str">
        <f t="shared" ref="M6:M67" si="1">+O6</f>
        <v>EH1-INT_D</v>
      </c>
      <c r="N6" s="142" t="str">
        <f>LOOKUP(M6,'[2]Doc Set'!E:E,'[2]Doc Set'!F:F)</f>
        <v>_</v>
      </c>
      <c r="O6" s="141" t="s">
        <v>714</v>
      </c>
      <c r="P6" s="142">
        <f>+LOOKUP(O6,'[2]Doc Set'!E:E,'[2]Doc Set'!G:G)</f>
        <v>43493</v>
      </c>
      <c r="Q6" s="55" t="str">
        <f t="shared" si="0"/>
        <v>EH1-INT_D</v>
      </c>
      <c r="R6" s="142">
        <f>+LOOKUP(Q6,'[2]Doc Set'!E:E,'[2]Doc Set'!H:H)</f>
        <v>43521</v>
      </c>
      <c r="S6" s="143" t="s">
        <v>200</v>
      </c>
    </row>
    <row r="7" spans="1:19" x14ac:dyDescent="0.3">
      <c r="A7" s="156" t="s">
        <v>40</v>
      </c>
      <c r="B7" s="157" t="s">
        <v>190</v>
      </c>
      <c r="C7" s="157" t="s">
        <v>191</v>
      </c>
      <c r="D7" s="158" t="s">
        <v>64</v>
      </c>
      <c r="E7" s="55" t="s">
        <v>193</v>
      </c>
      <c r="F7" s="55" t="s">
        <v>194</v>
      </c>
      <c r="G7" s="55" t="s">
        <v>361</v>
      </c>
      <c r="H7" s="55" t="s">
        <v>723</v>
      </c>
      <c r="I7" s="139" t="s">
        <v>51</v>
      </c>
      <c r="J7" s="159" t="s">
        <v>724</v>
      </c>
      <c r="K7" s="55">
        <v>20038918</v>
      </c>
      <c r="L7" s="55" t="s">
        <v>198</v>
      </c>
      <c r="M7" s="141" t="str">
        <f t="shared" si="1"/>
        <v>EH1-INT_D</v>
      </c>
      <c r="N7" s="142" t="str">
        <f>LOOKUP(M7,'[2]Doc Set'!E:E,'[2]Doc Set'!F:F)</f>
        <v>_</v>
      </c>
      <c r="O7" s="141" t="s">
        <v>714</v>
      </c>
      <c r="P7" s="142">
        <f>+LOOKUP(O7,'[2]Doc Set'!E:E,'[2]Doc Set'!G:G)</f>
        <v>43493</v>
      </c>
      <c r="Q7" s="55" t="str">
        <f t="shared" si="0"/>
        <v>EH1-INT_D</v>
      </c>
      <c r="R7" s="142">
        <f>+LOOKUP(Q7,'[2]Doc Set'!E:E,'[2]Doc Set'!H:H)</f>
        <v>43521</v>
      </c>
      <c r="S7" s="143" t="s">
        <v>200</v>
      </c>
    </row>
    <row r="8" spans="1:19" x14ac:dyDescent="0.3">
      <c r="A8" s="156" t="s">
        <v>40</v>
      </c>
      <c r="B8" s="157" t="s">
        <v>190</v>
      </c>
      <c r="C8" s="157" t="s">
        <v>191</v>
      </c>
      <c r="D8" s="158" t="s">
        <v>64</v>
      </c>
      <c r="E8" s="55" t="s">
        <v>193</v>
      </c>
      <c r="F8" s="55" t="s">
        <v>194</v>
      </c>
      <c r="G8" s="55" t="s">
        <v>240</v>
      </c>
      <c r="H8" s="55" t="s">
        <v>725</v>
      </c>
      <c r="I8" s="139" t="s">
        <v>51</v>
      </c>
      <c r="J8" s="159" t="s">
        <v>726</v>
      </c>
      <c r="K8" s="55">
        <v>20038918</v>
      </c>
      <c r="L8" s="55" t="s">
        <v>198</v>
      </c>
      <c r="M8" s="141" t="str">
        <f t="shared" si="1"/>
        <v>EH1-INT_D</v>
      </c>
      <c r="N8" s="142" t="str">
        <f>LOOKUP(M8,'[2]Doc Set'!E:E,'[2]Doc Set'!F:F)</f>
        <v>_</v>
      </c>
      <c r="O8" s="141" t="s">
        <v>714</v>
      </c>
      <c r="P8" s="142">
        <f>+LOOKUP(O8,'[2]Doc Set'!E:E,'[2]Doc Set'!G:G)</f>
        <v>43493</v>
      </c>
      <c r="Q8" s="55" t="str">
        <f t="shared" si="0"/>
        <v>EH1-INT_D</v>
      </c>
      <c r="R8" s="142">
        <f>+LOOKUP(Q8,'[2]Doc Set'!E:E,'[2]Doc Set'!H:H)</f>
        <v>43521</v>
      </c>
      <c r="S8" s="143" t="s">
        <v>200</v>
      </c>
    </row>
    <row r="9" spans="1:19" x14ac:dyDescent="0.3">
      <c r="A9" s="156" t="s">
        <v>40</v>
      </c>
      <c r="B9" s="157" t="s">
        <v>190</v>
      </c>
      <c r="C9" s="157" t="s">
        <v>191</v>
      </c>
      <c r="D9" s="158" t="s">
        <v>64</v>
      </c>
      <c r="E9" s="55" t="s">
        <v>193</v>
      </c>
      <c r="F9" s="55" t="s">
        <v>194</v>
      </c>
      <c r="G9" s="55" t="s">
        <v>243</v>
      </c>
      <c r="H9" s="55" t="s">
        <v>727</v>
      </c>
      <c r="I9" s="139" t="s">
        <v>51</v>
      </c>
      <c r="J9" s="159" t="s">
        <v>728</v>
      </c>
      <c r="K9" s="55">
        <v>20038918</v>
      </c>
      <c r="L9" s="55" t="s">
        <v>198</v>
      </c>
      <c r="M9" s="141" t="str">
        <f t="shared" si="1"/>
        <v>EH1-INT_D</v>
      </c>
      <c r="N9" s="142" t="str">
        <f>LOOKUP(M9,'[2]Doc Set'!E:E,'[2]Doc Set'!F:F)</f>
        <v>_</v>
      </c>
      <c r="O9" s="141" t="s">
        <v>714</v>
      </c>
      <c r="P9" s="142">
        <f>+LOOKUP(O9,'[2]Doc Set'!E:E,'[2]Doc Set'!G:G)</f>
        <v>43493</v>
      </c>
      <c r="Q9" s="55" t="str">
        <f t="shared" si="0"/>
        <v>EH1-INT_D</v>
      </c>
      <c r="R9" s="142">
        <f>+LOOKUP(Q9,'[2]Doc Set'!E:E,'[2]Doc Set'!H:H)</f>
        <v>43521</v>
      </c>
      <c r="S9" s="143" t="s">
        <v>200</v>
      </c>
    </row>
    <row r="10" spans="1:19" x14ac:dyDescent="0.3">
      <c r="A10" s="156" t="s">
        <v>40</v>
      </c>
      <c r="B10" s="157" t="s">
        <v>190</v>
      </c>
      <c r="C10" s="157" t="s">
        <v>191</v>
      </c>
      <c r="D10" s="158" t="s">
        <v>64</v>
      </c>
      <c r="E10" s="55" t="s">
        <v>193</v>
      </c>
      <c r="F10" s="55" t="s">
        <v>194</v>
      </c>
      <c r="G10" s="55" t="s">
        <v>246</v>
      </c>
      <c r="H10" s="55" t="s">
        <v>729</v>
      </c>
      <c r="I10" s="139" t="s">
        <v>51</v>
      </c>
      <c r="J10" s="159" t="s">
        <v>730</v>
      </c>
      <c r="K10" s="55">
        <v>20038918</v>
      </c>
      <c r="L10" s="55" t="s">
        <v>198</v>
      </c>
      <c r="M10" s="141" t="str">
        <f t="shared" si="1"/>
        <v>EH1-INT_D</v>
      </c>
      <c r="N10" s="142" t="str">
        <f>LOOKUP(M10,'[2]Doc Set'!E:E,'[2]Doc Set'!F:F)</f>
        <v>_</v>
      </c>
      <c r="O10" s="141" t="s">
        <v>714</v>
      </c>
      <c r="P10" s="142">
        <f>+LOOKUP(O10,'[2]Doc Set'!E:E,'[2]Doc Set'!G:G)</f>
        <v>43493</v>
      </c>
      <c r="Q10" s="55" t="str">
        <f t="shared" si="0"/>
        <v>EH1-INT_D</v>
      </c>
      <c r="R10" s="142">
        <f>+LOOKUP(Q10,'[2]Doc Set'!E:E,'[2]Doc Set'!H:H)</f>
        <v>43521</v>
      </c>
      <c r="S10" s="143" t="s">
        <v>200</v>
      </c>
    </row>
    <row r="11" spans="1:19" x14ac:dyDescent="0.3">
      <c r="A11" s="156" t="s">
        <v>40</v>
      </c>
      <c r="B11" s="157" t="s">
        <v>190</v>
      </c>
      <c r="C11" s="157" t="s">
        <v>191</v>
      </c>
      <c r="D11" s="158" t="s">
        <v>64</v>
      </c>
      <c r="E11" s="55" t="s">
        <v>193</v>
      </c>
      <c r="F11" s="55" t="s">
        <v>194</v>
      </c>
      <c r="G11" s="55" t="s">
        <v>249</v>
      </c>
      <c r="H11" s="55" t="s">
        <v>731</v>
      </c>
      <c r="I11" s="139" t="s">
        <v>51</v>
      </c>
      <c r="J11" s="159" t="s">
        <v>732</v>
      </c>
      <c r="K11" s="55">
        <v>20038918</v>
      </c>
      <c r="L11" s="55" t="s">
        <v>198</v>
      </c>
      <c r="M11" s="141" t="str">
        <f t="shared" si="1"/>
        <v>EH1-INT_D</v>
      </c>
      <c r="N11" s="142" t="str">
        <f>LOOKUP(M11,'[2]Doc Set'!E:E,'[2]Doc Set'!F:F)</f>
        <v>_</v>
      </c>
      <c r="O11" s="141" t="s">
        <v>714</v>
      </c>
      <c r="P11" s="142">
        <f>+LOOKUP(O11,'[2]Doc Set'!E:E,'[2]Doc Set'!G:G)</f>
        <v>43493</v>
      </c>
      <c r="Q11" s="55" t="str">
        <f t="shared" si="0"/>
        <v>EH1-INT_D</v>
      </c>
      <c r="R11" s="142">
        <f>+LOOKUP(Q11,'[2]Doc Set'!E:E,'[2]Doc Set'!H:H)</f>
        <v>43521</v>
      </c>
      <c r="S11" s="143" t="s">
        <v>200</v>
      </c>
    </row>
    <row r="12" spans="1:19" x14ac:dyDescent="0.3">
      <c r="A12" s="156" t="s">
        <v>40</v>
      </c>
      <c r="B12" s="157" t="s">
        <v>190</v>
      </c>
      <c r="C12" s="157" t="s">
        <v>191</v>
      </c>
      <c r="D12" s="158" t="s">
        <v>64</v>
      </c>
      <c r="E12" s="55" t="s">
        <v>193</v>
      </c>
      <c r="F12" s="55" t="s">
        <v>194</v>
      </c>
      <c r="G12" s="55" t="s">
        <v>252</v>
      </c>
      <c r="H12" s="55" t="s">
        <v>733</v>
      </c>
      <c r="I12" s="139" t="s">
        <v>51</v>
      </c>
      <c r="J12" s="159" t="s">
        <v>734</v>
      </c>
      <c r="K12" s="55">
        <v>20038918</v>
      </c>
      <c r="L12" s="55" t="s">
        <v>198</v>
      </c>
      <c r="M12" s="141" t="str">
        <f t="shared" si="1"/>
        <v>EH1-INT_D</v>
      </c>
      <c r="N12" s="142" t="str">
        <f>LOOKUP(M12,'[2]Doc Set'!E:E,'[2]Doc Set'!F:F)</f>
        <v>_</v>
      </c>
      <c r="O12" s="141" t="s">
        <v>714</v>
      </c>
      <c r="P12" s="142">
        <f>+LOOKUP(O12,'[2]Doc Set'!E:E,'[2]Doc Set'!G:G)</f>
        <v>43493</v>
      </c>
      <c r="Q12" s="55" t="str">
        <f t="shared" si="0"/>
        <v>EH1-INT_D</v>
      </c>
      <c r="R12" s="142">
        <f>+LOOKUP(Q12,'[2]Doc Set'!E:E,'[2]Doc Set'!H:H)</f>
        <v>43521</v>
      </c>
      <c r="S12" s="143" t="s">
        <v>200</v>
      </c>
    </row>
    <row r="13" spans="1:19" x14ac:dyDescent="0.3">
      <c r="A13" s="156" t="s">
        <v>40</v>
      </c>
      <c r="B13" s="157" t="s">
        <v>190</v>
      </c>
      <c r="C13" s="157" t="s">
        <v>191</v>
      </c>
      <c r="D13" s="158" t="s">
        <v>64</v>
      </c>
      <c r="E13" s="55" t="s">
        <v>193</v>
      </c>
      <c r="F13" s="55" t="s">
        <v>194</v>
      </c>
      <c r="G13" s="55" t="s">
        <v>255</v>
      </c>
      <c r="H13" s="55" t="s">
        <v>735</v>
      </c>
      <c r="I13" s="139" t="s">
        <v>51</v>
      </c>
      <c r="J13" s="159" t="s">
        <v>736</v>
      </c>
      <c r="K13" s="55">
        <v>20038918</v>
      </c>
      <c r="L13" s="55" t="s">
        <v>198</v>
      </c>
      <c r="M13" s="141" t="str">
        <f t="shared" si="1"/>
        <v>EH1-INT_D</v>
      </c>
      <c r="N13" s="142" t="str">
        <f>LOOKUP(M13,'[2]Doc Set'!E:E,'[2]Doc Set'!F:F)</f>
        <v>_</v>
      </c>
      <c r="O13" s="141" t="s">
        <v>714</v>
      </c>
      <c r="P13" s="142">
        <f>+LOOKUP(O13,'[2]Doc Set'!E:E,'[2]Doc Set'!G:G)</f>
        <v>43493</v>
      </c>
      <c r="Q13" s="55" t="str">
        <f t="shared" si="0"/>
        <v>EH1-INT_D</v>
      </c>
      <c r="R13" s="142">
        <f>+LOOKUP(Q13,'[2]Doc Set'!E:E,'[2]Doc Set'!H:H)</f>
        <v>43521</v>
      </c>
      <c r="S13" s="143" t="s">
        <v>200</v>
      </c>
    </row>
    <row r="14" spans="1:19" x14ac:dyDescent="0.3">
      <c r="A14" s="156" t="s">
        <v>40</v>
      </c>
      <c r="B14" s="157" t="s">
        <v>190</v>
      </c>
      <c r="C14" s="157" t="s">
        <v>191</v>
      </c>
      <c r="D14" s="158" t="s">
        <v>64</v>
      </c>
      <c r="E14" s="55" t="s">
        <v>193</v>
      </c>
      <c r="F14" s="55" t="s">
        <v>194</v>
      </c>
      <c r="G14" s="55" t="s">
        <v>258</v>
      </c>
      <c r="H14" s="55" t="s">
        <v>737</v>
      </c>
      <c r="I14" s="139" t="s">
        <v>51</v>
      </c>
      <c r="J14" s="159" t="s">
        <v>738</v>
      </c>
      <c r="K14" s="55">
        <v>20038918</v>
      </c>
      <c r="L14" s="55" t="s">
        <v>198</v>
      </c>
      <c r="M14" s="141" t="str">
        <f t="shared" si="1"/>
        <v>EH1-INT_D</v>
      </c>
      <c r="N14" s="142" t="str">
        <f>LOOKUP(M14,'[2]Doc Set'!E:E,'[2]Doc Set'!F:F)</f>
        <v>_</v>
      </c>
      <c r="O14" s="141" t="s">
        <v>714</v>
      </c>
      <c r="P14" s="142">
        <f>+LOOKUP(O14,'[2]Doc Set'!E:E,'[2]Doc Set'!G:G)</f>
        <v>43493</v>
      </c>
      <c r="Q14" s="55" t="str">
        <f t="shared" si="0"/>
        <v>EH1-INT_D</v>
      </c>
      <c r="R14" s="142">
        <f>+LOOKUP(Q14,'[2]Doc Set'!E:E,'[2]Doc Set'!H:H)</f>
        <v>43521</v>
      </c>
      <c r="S14" s="143" t="s">
        <v>200</v>
      </c>
    </row>
    <row r="15" spans="1:19" x14ac:dyDescent="0.3">
      <c r="A15" s="156" t="s">
        <v>40</v>
      </c>
      <c r="B15" s="157" t="s">
        <v>190</v>
      </c>
      <c r="C15" s="157" t="s">
        <v>191</v>
      </c>
      <c r="D15" s="158" t="s">
        <v>64</v>
      </c>
      <c r="E15" s="55" t="s">
        <v>193</v>
      </c>
      <c r="F15" s="55" t="s">
        <v>194</v>
      </c>
      <c r="G15" s="55" t="s">
        <v>739</v>
      </c>
      <c r="H15" s="55" t="s">
        <v>740</v>
      </c>
      <c r="I15" s="139" t="s">
        <v>51</v>
      </c>
      <c r="J15" s="159" t="s">
        <v>741</v>
      </c>
      <c r="K15" s="55">
        <v>20038918</v>
      </c>
      <c r="L15" s="55" t="s">
        <v>198</v>
      </c>
      <c r="M15" s="141" t="str">
        <f t="shared" si="1"/>
        <v>EH1-INT_D</v>
      </c>
      <c r="N15" s="142" t="str">
        <f>LOOKUP(M15,'[2]Doc Set'!E:E,'[2]Doc Set'!F:F)</f>
        <v>_</v>
      </c>
      <c r="O15" s="141" t="s">
        <v>714</v>
      </c>
      <c r="P15" s="142">
        <f>+LOOKUP(O15,'[2]Doc Set'!E:E,'[2]Doc Set'!G:G)</f>
        <v>43493</v>
      </c>
      <c r="Q15" s="55" t="str">
        <f t="shared" si="0"/>
        <v>EH1-INT_D</v>
      </c>
      <c r="R15" s="142">
        <f>+LOOKUP(Q15,'[2]Doc Set'!E:E,'[2]Doc Set'!H:H)</f>
        <v>43521</v>
      </c>
      <c r="S15" s="143" t="s">
        <v>200</v>
      </c>
    </row>
    <row r="16" spans="1:19" x14ac:dyDescent="0.3">
      <c r="A16" s="156" t="s">
        <v>40</v>
      </c>
      <c r="B16" s="157" t="s">
        <v>190</v>
      </c>
      <c r="C16" s="157" t="s">
        <v>191</v>
      </c>
      <c r="D16" s="158" t="s">
        <v>64</v>
      </c>
      <c r="E16" s="55" t="s">
        <v>193</v>
      </c>
      <c r="F16" s="55" t="s">
        <v>194</v>
      </c>
      <c r="G16" s="55" t="s">
        <v>742</v>
      </c>
      <c r="H16" s="55" t="s">
        <v>743</v>
      </c>
      <c r="I16" s="139" t="s">
        <v>51</v>
      </c>
      <c r="J16" s="159" t="s">
        <v>744</v>
      </c>
      <c r="K16" s="55">
        <v>20038918</v>
      </c>
      <c r="L16" s="55" t="s">
        <v>198</v>
      </c>
      <c r="M16" s="141" t="str">
        <f t="shared" si="1"/>
        <v>EH1-INT_D</v>
      </c>
      <c r="N16" s="142" t="str">
        <f>LOOKUP(M16,'[2]Doc Set'!E:E,'[2]Doc Set'!F:F)</f>
        <v>_</v>
      </c>
      <c r="O16" s="141" t="s">
        <v>714</v>
      </c>
      <c r="P16" s="142">
        <f>+LOOKUP(O16,'[2]Doc Set'!E:E,'[2]Doc Set'!G:G)</f>
        <v>43493</v>
      </c>
      <c r="Q16" s="55" t="str">
        <f t="shared" si="0"/>
        <v>EH1-INT_D</v>
      </c>
      <c r="R16" s="142">
        <f>+LOOKUP(Q16,'[2]Doc Set'!E:E,'[2]Doc Set'!H:H)</f>
        <v>43521</v>
      </c>
      <c r="S16" s="143" t="s">
        <v>200</v>
      </c>
    </row>
    <row r="17" spans="1:19" x14ac:dyDescent="0.3">
      <c r="A17" s="156" t="s">
        <v>40</v>
      </c>
      <c r="B17" s="157" t="s">
        <v>190</v>
      </c>
      <c r="C17" s="157" t="s">
        <v>191</v>
      </c>
      <c r="D17" s="158" t="s">
        <v>64</v>
      </c>
      <c r="E17" s="55" t="s">
        <v>193</v>
      </c>
      <c r="F17" s="55" t="s">
        <v>194</v>
      </c>
      <c r="G17" s="55" t="s">
        <v>745</v>
      </c>
      <c r="H17" s="55" t="s">
        <v>746</v>
      </c>
      <c r="I17" s="139" t="s">
        <v>51</v>
      </c>
      <c r="J17" s="159" t="s">
        <v>747</v>
      </c>
      <c r="K17" s="55">
        <v>20038918</v>
      </c>
      <c r="L17" s="55" t="s">
        <v>198</v>
      </c>
      <c r="M17" s="141" t="str">
        <f t="shared" si="1"/>
        <v>EH1-INT_D</v>
      </c>
      <c r="N17" s="142" t="str">
        <f>LOOKUP(M17,'[2]Doc Set'!E:E,'[2]Doc Set'!F:F)</f>
        <v>_</v>
      </c>
      <c r="O17" s="141" t="s">
        <v>714</v>
      </c>
      <c r="P17" s="142">
        <f>+LOOKUP(O17,'[2]Doc Set'!E:E,'[2]Doc Set'!G:G)</f>
        <v>43493</v>
      </c>
      <c r="Q17" s="55" t="str">
        <f t="shared" si="0"/>
        <v>EH1-INT_D</v>
      </c>
      <c r="R17" s="142">
        <f>+LOOKUP(Q17,'[2]Doc Set'!E:E,'[2]Doc Set'!H:H)</f>
        <v>43521</v>
      </c>
      <c r="S17" s="143" t="s">
        <v>200</v>
      </c>
    </row>
    <row r="18" spans="1:19" x14ac:dyDescent="0.3">
      <c r="A18" s="156" t="s">
        <v>40</v>
      </c>
      <c r="B18" s="157" t="s">
        <v>190</v>
      </c>
      <c r="C18" s="157" t="s">
        <v>191</v>
      </c>
      <c r="D18" s="158" t="s">
        <v>64</v>
      </c>
      <c r="E18" s="55" t="s">
        <v>193</v>
      </c>
      <c r="F18" s="55" t="s">
        <v>194</v>
      </c>
      <c r="G18" s="55" t="s">
        <v>748</v>
      </c>
      <c r="H18" s="55" t="s">
        <v>749</v>
      </c>
      <c r="I18" s="139" t="s">
        <v>51</v>
      </c>
      <c r="J18" s="159" t="s">
        <v>750</v>
      </c>
      <c r="K18" s="55">
        <v>20038918</v>
      </c>
      <c r="L18" s="55" t="s">
        <v>198</v>
      </c>
      <c r="M18" s="141" t="str">
        <f t="shared" si="1"/>
        <v>EH1-INT_D</v>
      </c>
      <c r="N18" s="142" t="str">
        <f>LOOKUP(M18,'[2]Doc Set'!E:E,'[2]Doc Set'!F:F)</f>
        <v>_</v>
      </c>
      <c r="O18" s="141" t="s">
        <v>714</v>
      </c>
      <c r="P18" s="142">
        <f>+LOOKUP(O18,'[2]Doc Set'!E:E,'[2]Doc Set'!G:G)</f>
        <v>43493</v>
      </c>
      <c r="Q18" s="55" t="str">
        <f t="shared" si="0"/>
        <v>EH1-INT_D</v>
      </c>
      <c r="R18" s="142">
        <f>+LOOKUP(Q18,'[2]Doc Set'!E:E,'[2]Doc Set'!H:H)</f>
        <v>43521</v>
      </c>
      <c r="S18" s="143" t="s">
        <v>200</v>
      </c>
    </row>
    <row r="19" spans="1:19" x14ac:dyDescent="0.3">
      <c r="A19" s="156" t="s">
        <v>40</v>
      </c>
      <c r="B19" s="157" t="s">
        <v>190</v>
      </c>
      <c r="C19" s="157" t="s">
        <v>191</v>
      </c>
      <c r="D19" s="158" t="s">
        <v>64</v>
      </c>
      <c r="E19" s="55" t="s">
        <v>193</v>
      </c>
      <c r="F19" s="55" t="s">
        <v>194</v>
      </c>
      <c r="G19" s="55" t="s">
        <v>261</v>
      </c>
      <c r="H19" s="55" t="s">
        <v>751</v>
      </c>
      <c r="I19" s="139" t="s">
        <v>51</v>
      </c>
      <c r="J19" s="159" t="s">
        <v>752</v>
      </c>
      <c r="K19" s="55">
        <v>20038918</v>
      </c>
      <c r="L19" s="55" t="s">
        <v>198</v>
      </c>
      <c r="M19" s="141" t="str">
        <f t="shared" si="1"/>
        <v>EH1-INT_D</v>
      </c>
      <c r="N19" s="142" t="str">
        <f>LOOKUP(M19,'[2]Doc Set'!E:E,'[2]Doc Set'!F:F)</f>
        <v>_</v>
      </c>
      <c r="O19" s="141" t="s">
        <v>714</v>
      </c>
      <c r="P19" s="142">
        <f>+LOOKUP(O19,'[2]Doc Set'!E:E,'[2]Doc Set'!G:G)</f>
        <v>43493</v>
      </c>
      <c r="Q19" s="55" t="str">
        <f t="shared" si="0"/>
        <v>EH1-INT_D</v>
      </c>
      <c r="R19" s="142">
        <f>+LOOKUP(Q19,'[2]Doc Set'!E:E,'[2]Doc Set'!H:H)</f>
        <v>43521</v>
      </c>
      <c r="S19" s="143" t="s">
        <v>200</v>
      </c>
    </row>
    <row r="20" spans="1:19" x14ac:dyDescent="0.3">
      <c r="A20" s="156" t="s">
        <v>40</v>
      </c>
      <c r="B20" s="157" t="s">
        <v>190</v>
      </c>
      <c r="C20" s="157" t="s">
        <v>191</v>
      </c>
      <c r="D20" s="158" t="s">
        <v>64</v>
      </c>
      <c r="E20" s="55" t="s">
        <v>193</v>
      </c>
      <c r="F20" s="55" t="s">
        <v>194</v>
      </c>
      <c r="G20" s="55" t="s">
        <v>264</v>
      </c>
      <c r="H20" s="55" t="s">
        <v>753</v>
      </c>
      <c r="I20" s="139" t="s">
        <v>51</v>
      </c>
      <c r="J20" s="159" t="s">
        <v>754</v>
      </c>
      <c r="K20" s="55">
        <v>20038918</v>
      </c>
      <c r="L20" s="55" t="s">
        <v>198</v>
      </c>
      <c r="M20" s="141" t="str">
        <f t="shared" si="1"/>
        <v>EH1-INT_D</v>
      </c>
      <c r="N20" s="142" t="str">
        <f>LOOKUP(M20,'[2]Doc Set'!E:E,'[2]Doc Set'!F:F)</f>
        <v>_</v>
      </c>
      <c r="O20" s="141" t="s">
        <v>714</v>
      </c>
      <c r="P20" s="142">
        <f>+LOOKUP(O20,'[2]Doc Set'!E:E,'[2]Doc Set'!G:G)</f>
        <v>43493</v>
      </c>
      <c r="Q20" s="55" t="str">
        <f t="shared" si="0"/>
        <v>EH1-INT_D</v>
      </c>
      <c r="R20" s="142">
        <f>+LOOKUP(Q20,'[2]Doc Set'!E:E,'[2]Doc Set'!H:H)</f>
        <v>43521</v>
      </c>
      <c r="S20" s="143" t="s">
        <v>200</v>
      </c>
    </row>
    <row r="21" spans="1:19" x14ac:dyDescent="0.3">
      <c r="A21" s="156" t="s">
        <v>40</v>
      </c>
      <c r="B21" s="157" t="s">
        <v>190</v>
      </c>
      <c r="C21" s="157" t="s">
        <v>191</v>
      </c>
      <c r="D21" s="158" t="s">
        <v>64</v>
      </c>
      <c r="E21" s="55" t="s">
        <v>193</v>
      </c>
      <c r="F21" s="55" t="s">
        <v>194</v>
      </c>
      <c r="G21" s="55" t="s">
        <v>267</v>
      </c>
      <c r="H21" s="55" t="s">
        <v>755</v>
      </c>
      <c r="I21" s="139" t="s">
        <v>51</v>
      </c>
      <c r="J21" s="159" t="s">
        <v>756</v>
      </c>
      <c r="K21" s="55">
        <v>20038918</v>
      </c>
      <c r="L21" s="55" t="s">
        <v>198</v>
      </c>
      <c r="M21" s="141" t="str">
        <f t="shared" si="1"/>
        <v>EH1-INT_D</v>
      </c>
      <c r="N21" s="142" t="str">
        <f>LOOKUP(M21,'[2]Doc Set'!E:E,'[2]Doc Set'!F:F)</f>
        <v>_</v>
      </c>
      <c r="O21" s="141" t="s">
        <v>714</v>
      </c>
      <c r="P21" s="142">
        <f>+LOOKUP(O21,'[2]Doc Set'!E:E,'[2]Doc Set'!G:G)</f>
        <v>43493</v>
      </c>
      <c r="Q21" s="55" t="str">
        <f t="shared" si="0"/>
        <v>EH1-INT_D</v>
      </c>
      <c r="R21" s="142">
        <f>+LOOKUP(Q21,'[2]Doc Set'!E:E,'[2]Doc Set'!H:H)</f>
        <v>43521</v>
      </c>
      <c r="S21" s="143" t="s">
        <v>200</v>
      </c>
    </row>
    <row r="22" spans="1:19" x14ac:dyDescent="0.3">
      <c r="A22" s="156" t="s">
        <v>40</v>
      </c>
      <c r="B22" s="157" t="s">
        <v>190</v>
      </c>
      <c r="C22" s="157" t="s">
        <v>191</v>
      </c>
      <c r="D22" s="158" t="s">
        <v>64</v>
      </c>
      <c r="E22" s="55" t="s">
        <v>193</v>
      </c>
      <c r="F22" s="55" t="s">
        <v>194</v>
      </c>
      <c r="G22" s="55" t="s">
        <v>270</v>
      </c>
      <c r="H22" s="55" t="s">
        <v>757</v>
      </c>
      <c r="I22" s="139" t="s">
        <v>51</v>
      </c>
      <c r="J22" s="159" t="s">
        <v>758</v>
      </c>
      <c r="K22" s="55">
        <v>20038918</v>
      </c>
      <c r="L22" s="55" t="s">
        <v>198</v>
      </c>
      <c r="M22" s="141" t="str">
        <f t="shared" si="1"/>
        <v>EH1-INT_D</v>
      </c>
      <c r="N22" s="142" t="str">
        <f>LOOKUP(M22,'[2]Doc Set'!E:E,'[2]Doc Set'!F:F)</f>
        <v>_</v>
      </c>
      <c r="O22" s="141" t="s">
        <v>714</v>
      </c>
      <c r="P22" s="142">
        <f>+LOOKUP(O22,'[2]Doc Set'!E:E,'[2]Doc Set'!G:G)</f>
        <v>43493</v>
      </c>
      <c r="Q22" s="55" t="str">
        <f t="shared" si="0"/>
        <v>EH1-INT_D</v>
      </c>
      <c r="R22" s="142">
        <f>+LOOKUP(Q22,'[2]Doc Set'!E:E,'[2]Doc Set'!H:H)</f>
        <v>43521</v>
      </c>
      <c r="S22" s="143" t="s">
        <v>200</v>
      </c>
    </row>
    <row r="23" spans="1:19" x14ac:dyDescent="0.3">
      <c r="A23" s="156" t="s">
        <v>40</v>
      </c>
      <c r="B23" s="157" t="s">
        <v>190</v>
      </c>
      <c r="C23" s="157" t="s">
        <v>191</v>
      </c>
      <c r="D23" s="158" t="s">
        <v>64</v>
      </c>
      <c r="E23" s="55" t="s">
        <v>193</v>
      </c>
      <c r="F23" s="55" t="s">
        <v>194</v>
      </c>
      <c r="G23" s="55" t="s">
        <v>273</v>
      </c>
      <c r="H23" s="55" t="s">
        <v>759</v>
      </c>
      <c r="I23" s="139" t="s">
        <v>51</v>
      </c>
      <c r="J23" s="159" t="s">
        <v>760</v>
      </c>
      <c r="K23" s="55">
        <v>20038918</v>
      </c>
      <c r="L23" s="55" t="s">
        <v>198</v>
      </c>
      <c r="M23" s="141" t="str">
        <f t="shared" si="1"/>
        <v>EH1-INT_D</v>
      </c>
      <c r="N23" s="142" t="str">
        <f>LOOKUP(M23,'[2]Doc Set'!E:E,'[2]Doc Set'!F:F)</f>
        <v>_</v>
      </c>
      <c r="O23" s="141" t="s">
        <v>714</v>
      </c>
      <c r="P23" s="142">
        <f>+LOOKUP(O23,'[2]Doc Set'!E:E,'[2]Doc Set'!G:G)</f>
        <v>43493</v>
      </c>
      <c r="Q23" s="55" t="str">
        <f t="shared" si="0"/>
        <v>EH1-INT_D</v>
      </c>
      <c r="R23" s="142">
        <f>+LOOKUP(Q23,'[2]Doc Set'!E:E,'[2]Doc Set'!H:H)</f>
        <v>43521</v>
      </c>
      <c r="S23" s="143" t="s">
        <v>200</v>
      </c>
    </row>
    <row r="24" spans="1:19" x14ac:dyDescent="0.3">
      <c r="A24" s="156" t="s">
        <v>40</v>
      </c>
      <c r="B24" s="157" t="s">
        <v>190</v>
      </c>
      <c r="C24" s="157" t="s">
        <v>191</v>
      </c>
      <c r="D24" s="158" t="s">
        <v>64</v>
      </c>
      <c r="E24" s="55" t="s">
        <v>193</v>
      </c>
      <c r="F24" s="55" t="s">
        <v>194</v>
      </c>
      <c r="G24" s="55" t="s">
        <v>276</v>
      </c>
      <c r="H24" s="55" t="s">
        <v>761</v>
      </c>
      <c r="I24" s="139" t="s">
        <v>51</v>
      </c>
      <c r="J24" s="159" t="s">
        <v>762</v>
      </c>
      <c r="K24" s="55">
        <v>20038918</v>
      </c>
      <c r="L24" s="55" t="s">
        <v>198</v>
      </c>
      <c r="M24" s="141" t="str">
        <f t="shared" si="1"/>
        <v>EH1-INT_D</v>
      </c>
      <c r="N24" s="142" t="str">
        <f>LOOKUP(M24,'[2]Doc Set'!E:E,'[2]Doc Set'!F:F)</f>
        <v>_</v>
      </c>
      <c r="O24" s="141" t="s">
        <v>714</v>
      </c>
      <c r="P24" s="142">
        <f>+LOOKUP(O24,'[2]Doc Set'!E:E,'[2]Doc Set'!G:G)</f>
        <v>43493</v>
      </c>
      <c r="Q24" s="55" t="str">
        <f t="shared" si="0"/>
        <v>EH1-INT_D</v>
      </c>
      <c r="R24" s="142">
        <f>+LOOKUP(Q24,'[2]Doc Set'!E:E,'[2]Doc Set'!H:H)</f>
        <v>43521</v>
      </c>
      <c r="S24" s="143" t="s">
        <v>200</v>
      </c>
    </row>
    <row r="25" spans="1:19" x14ac:dyDescent="0.3">
      <c r="A25" s="156" t="s">
        <v>40</v>
      </c>
      <c r="B25" s="157" t="s">
        <v>190</v>
      </c>
      <c r="C25" s="157" t="s">
        <v>191</v>
      </c>
      <c r="D25" s="158" t="s">
        <v>64</v>
      </c>
      <c r="E25" s="55" t="s">
        <v>193</v>
      </c>
      <c r="F25" s="55" t="s">
        <v>194</v>
      </c>
      <c r="G25" s="55" t="s">
        <v>282</v>
      </c>
      <c r="H25" s="55" t="s">
        <v>763</v>
      </c>
      <c r="I25" s="139" t="s">
        <v>51</v>
      </c>
      <c r="J25" s="159" t="s">
        <v>764</v>
      </c>
      <c r="K25" s="55">
        <v>20038918</v>
      </c>
      <c r="L25" s="55" t="s">
        <v>198</v>
      </c>
      <c r="M25" s="141" t="str">
        <f t="shared" si="1"/>
        <v>EH1-INT_D</v>
      </c>
      <c r="N25" s="142" t="str">
        <f>LOOKUP(M25,'[2]Doc Set'!E:E,'[2]Doc Set'!F:F)</f>
        <v>_</v>
      </c>
      <c r="O25" s="141" t="s">
        <v>714</v>
      </c>
      <c r="P25" s="142">
        <f>+LOOKUP(O25,'[2]Doc Set'!E:E,'[2]Doc Set'!G:G)</f>
        <v>43493</v>
      </c>
      <c r="Q25" s="55" t="str">
        <f t="shared" si="0"/>
        <v>EH1-INT_D</v>
      </c>
      <c r="R25" s="142">
        <f>+LOOKUP(Q25,'[2]Doc Set'!E:E,'[2]Doc Set'!H:H)</f>
        <v>43521</v>
      </c>
      <c r="S25" s="143" t="s">
        <v>200</v>
      </c>
    </row>
    <row r="26" spans="1:19" x14ac:dyDescent="0.3">
      <c r="A26" s="156" t="s">
        <v>40</v>
      </c>
      <c r="B26" s="157" t="s">
        <v>190</v>
      </c>
      <c r="C26" s="157" t="s">
        <v>191</v>
      </c>
      <c r="D26" s="158" t="s">
        <v>64</v>
      </c>
      <c r="E26" s="55" t="s">
        <v>193</v>
      </c>
      <c r="F26" s="55" t="s">
        <v>194</v>
      </c>
      <c r="G26" s="55" t="s">
        <v>285</v>
      </c>
      <c r="H26" s="55" t="s">
        <v>765</v>
      </c>
      <c r="I26" s="139" t="s">
        <v>51</v>
      </c>
      <c r="J26" s="159" t="s">
        <v>766</v>
      </c>
      <c r="K26" s="55">
        <v>20038918</v>
      </c>
      <c r="L26" s="55" t="s">
        <v>198</v>
      </c>
      <c r="M26" s="141" t="str">
        <f t="shared" si="1"/>
        <v>EH1-INT_D</v>
      </c>
      <c r="N26" s="142" t="str">
        <f>LOOKUP(M26,'[2]Doc Set'!E:E,'[2]Doc Set'!F:F)</f>
        <v>_</v>
      </c>
      <c r="O26" s="141" t="s">
        <v>714</v>
      </c>
      <c r="P26" s="142">
        <f>+LOOKUP(O26,'[2]Doc Set'!E:E,'[2]Doc Set'!G:G)</f>
        <v>43493</v>
      </c>
      <c r="Q26" s="55" t="str">
        <f t="shared" si="0"/>
        <v>EH1-INT_D</v>
      </c>
      <c r="R26" s="142">
        <f>+LOOKUP(Q26,'[2]Doc Set'!E:E,'[2]Doc Set'!H:H)</f>
        <v>43521</v>
      </c>
      <c r="S26" s="143" t="s">
        <v>200</v>
      </c>
    </row>
    <row r="27" spans="1:19" x14ac:dyDescent="0.3">
      <c r="A27" s="156" t="s">
        <v>40</v>
      </c>
      <c r="B27" s="157" t="s">
        <v>190</v>
      </c>
      <c r="C27" s="157" t="s">
        <v>191</v>
      </c>
      <c r="D27" s="158" t="s">
        <v>64</v>
      </c>
      <c r="E27" s="55" t="s">
        <v>193</v>
      </c>
      <c r="F27" s="55" t="s">
        <v>194</v>
      </c>
      <c r="G27" s="55" t="s">
        <v>288</v>
      </c>
      <c r="H27" s="55" t="s">
        <v>767</v>
      </c>
      <c r="I27" s="139" t="s">
        <v>51</v>
      </c>
      <c r="J27" s="159" t="s">
        <v>768</v>
      </c>
      <c r="K27" s="55">
        <v>20038918</v>
      </c>
      <c r="L27" s="55" t="s">
        <v>198</v>
      </c>
      <c r="M27" s="141" t="str">
        <f t="shared" si="1"/>
        <v>EH1-INT_D</v>
      </c>
      <c r="N27" s="142" t="str">
        <f>LOOKUP(M27,'[2]Doc Set'!E:E,'[2]Doc Set'!F:F)</f>
        <v>_</v>
      </c>
      <c r="O27" s="141" t="s">
        <v>714</v>
      </c>
      <c r="P27" s="142">
        <f>+LOOKUP(O27,'[2]Doc Set'!E:E,'[2]Doc Set'!G:G)</f>
        <v>43493</v>
      </c>
      <c r="Q27" s="55" t="str">
        <f t="shared" si="0"/>
        <v>EH1-INT_D</v>
      </c>
      <c r="R27" s="142">
        <f>+LOOKUP(Q27,'[2]Doc Set'!E:E,'[2]Doc Set'!H:H)</f>
        <v>43521</v>
      </c>
      <c r="S27" s="143" t="s">
        <v>200</v>
      </c>
    </row>
    <row r="28" spans="1:19" x14ac:dyDescent="0.3">
      <c r="A28" s="156" t="s">
        <v>40</v>
      </c>
      <c r="B28" s="157" t="s">
        <v>190</v>
      </c>
      <c r="C28" s="157" t="s">
        <v>191</v>
      </c>
      <c r="D28" s="158" t="s">
        <v>64</v>
      </c>
      <c r="E28" s="55" t="s">
        <v>193</v>
      </c>
      <c r="F28" s="55" t="s">
        <v>194</v>
      </c>
      <c r="G28" s="55" t="s">
        <v>291</v>
      </c>
      <c r="H28" s="55" t="s">
        <v>769</v>
      </c>
      <c r="I28" s="139" t="s">
        <v>51</v>
      </c>
      <c r="J28" s="159" t="s">
        <v>770</v>
      </c>
      <c r="K28" s="55">
        <v>20038918</v>
      </c>
      <c r="L28" s="55" t="s">
        <v>198</v>
      </c>
      <c r="M28" s="141" t="str">
        <f t="shared" si="1"/>
        <v>EH1-INT_D</v>
      </c>
      <c r="N28" s="142" t="str">
        <f>LOOKUP(M28,'[2]Doc Set'!E:E,'[2]Doc Set'!F:F)</f>
        <v>_</v>
      </c>
      <c r="O28" s="141" t="s">
        <v>714</v>
      </c>
      <c r="P28" s="142">
        <f>+LOOKUP(O28,'[2]Doc Set'!E:E,'[2]Doc Set'!G:G)</f>
        <v>43493</v>
      </c>
      <c r="Q28" s="55" t="str">
        <f t="shared" si="0"/>
        <v>EH1-INT_D</v>
      </c>
      <c r="R28" s="142">
        <f>+LOOKUP(Q28,'[2]Doc Set'!E:E,'[2]Doc Set'!H:H)</f>
        <v>43521</v>
      </c>
      <c r="S28" s="143" t="s">
        <v>200</v>
      </c>
    </row>
    <row r="29" spans="1:19" x14ac:dyDescent="0.3">
      <c r="A29" s="156" t="s">
        <v>40</v>
      </c>
      <c r="B29" s="157" t="s">
        <v>190</v>
      </c>
      <c r="C29" s="157" t="s">
        <v>191</v>
      </c>
      <c r="D29" s="158" t="s">
        <v>64</v>
      </c>
      <c r="E29" s="55" t="s">
        <v>193</v>
      </c>
      <c r="F29" s="55" t="s">
        <v>194</v>
      </c>
      <c r="G29" s="55" t="s">
        <v>294</v>
      </c>
      <c r="H29" s="55" t="s">
        <v>771</v>
      </c>
      <c r="I29" s="139" t="s">
        <v>51</v>
      </c>
      <c r="J29" s="159" t="s">
        <v>772</v>
      </c>
      <c r="K29" s="55">
        <v>20038918</v>
      </c>
      <c r="L29" s="55" t="s">
        <v>198</v>
      </c>
      <c r="M29" s="141" t="str">
        <f t="shared" si="1"/>
        <v>EH1-INT_D</v>
      </c>
      <c r="N29" s="142" t="str">
        <f>LOOKUP(M29,'[2]Doc Set'!E:E,'[2]Doc Set'!F:F)</f>
        <v>_</v>
      </c>
      <c r="O29" s="141" t="s">
        <v>714</v>
      </c>
      <c r="P29" s="142">
        <f>+LOOKUP(O29,'[2]Doc Set'!E:E,'[2]Doc Set'!G:G)</f>
        <v>43493</v>
      </c>
      <c r="Q29" s="55" t="str">
        <f t="shared" si="0"/>
        <v>EH1-INT_D</v>
      </c>
      <c r="R29" s="142">
        <f>+LOOKUP(Q29,'[2]Doc Set'!E:E,'[2]Doc Set'!H:H)</f>
        <v>43521</v>
      </c>
      <c r="S29" s="143" t="s">
        <v>200</v>
      </c>
    </row>
    <row r="30" spans="1:19" x14ac:dyDescent="0.3">
      <c r="A30" s="156" t="s">
        <v>40</v>
      </c>
      <c r="B30" s="157" t="s">
        <v>190</v>
      </c>
      <c r="C30" s="157" t="s">
        <v>191</v>
      </c>
      <c r="D30" s="158" t="s">
        <v>64</v>
      </c>
      <c r="E30" s="55" t="s">
        <v>193</v>
      </c>
      <c r="F30" s="55" t="s">
        <v>194</v>
      </c>
      <c r="G30" s="55" t="s">
        <v>297</v>
      </c>
      <c r="H30" s="55" t="s">
        <v>773</v>
      </c>
      <c r="I30" s="139" t="s">
        <v>51</v>
      </c>
      <c r="J30" s="159" t="s">
        <v>774</v>
      </c>
      <c r="K30" s="55">
        <v>20038918</v>
      </c>
      <c r="L30" s="55" t="s">
        <v>198</v>
      </c>
      <c r="M30" s="141" t="str">
        <f t="shared" si="1"/>
        <v>EH1-INT_D</v>
      </c>
      <c r="N30" s="142" t="str">
        <f>LOOKUP(M30,'[2]Doc Set'!E:E,'[2]Doc Set'!F:F)</f>
        <v>_</v>
      </c>
      <c r="O30" s="141" t="s">
        <v>714</v>
      </c>
      <c r="P30" s="142">
        <f>+LOOKUP(O30,'[2]Doc Set'!E:E,'[2]Doc Set'!G:G)</f>
        <v>43493</v>
      </c>
      <c r="Q30" s="55" t="str">
        <f t="shared" si="0"/>
        <v>EH1-INT_D</v>
      </c>
      <c r="R30" s="142">
        <f>+LOOKUP(Q30,'[2]Doc Set'!E:E,'[2]Doc Set'!H:H)</f>
        <v>43521</v>
      </c>
      <c r="S30" s="143" t="s">
        <v>200</v>
      </c>
    </row>
    <row r="31" spans="1:19" x14ac:dyDescent="0.3">
      <c r="A31" s="156" t="s">
        <v>40</v>
      </c>
      <c r="B31" s="157" t="s">
        <v>190</v>
      </c>
      <c r="C31" s="157" t="s">
        <v>191</v>
      </c>
      <c r="D31" s="158" t="s">
        <v>64</v>
      </c>
      <c r="E31" s="55" t="s">
        <v>193</v>
      </c>
      <c r="F31" s="55" t="s">
        <v>194</v>
      </c>
      <c r="G31" s="55" t="s">
        <v>303</v>
      </c>
      <c r="H31" s="55" t="s">
        <v>775</v>
      </c>
      <c r="I31" s="139" t="s">
        <v>51</v>
      </c>
      <c r="J31" s="159" t="s">
        <v>776</v>
      </c>
      <c r="K31" s="55">
        <v>20038918</v>
      </c>
      <c r="L31" s="55" t="s">
        <v>198</v>
      </c>
      <c r="M31" s="141" t="str">
        <f t="shared" si="1"/>
        <v>EH1-INT_D</v>
      </c>
      <c r="N31" s="142" t="str">
        <f>LOOKUP(M31,'[2]Doc Set'!E:E,'[2]Doc Set'!F:F)</f>
        <v>_</v>
      </c>
      <c r="O31" s="141" t="s">
        <v>714</v>
      </c>
      <c r="P31" s="142">
        <f>+LOOKUP(O31,'[2]Doc Set'!E:E,'[2]Doc Set'!G:G)</f>
        <v>43493</v>
      </c>
      <c r="Q31" s="55" t="str">
        <f t="shared" si="0"/>
        <v>EH1-INT_D</v>
      </c>
      <c r="R31" s="142">
        <f>+LOOKUP(Q31,'[2]Doc Set'!E:E,'[2]Doc Set'!H:H)</f>
        <v>43521</v>
      </c>
      <c r="S31" s="143" t="s">
        <v>200</v>
      </c>
    </row>
    <row r="32" spans="1:19" x14ac:dyDescent="0.3">
      <c r="A32" s="156" t="s">
        <v>40</v>
      </c>
      <c r="B32" s="157" t="s">
        <v>190</v>
      </c>
      <c r="C32" s="157" t="s">
        <v>191</v>
      </c>
      <c r="D32" s="158" t="s">
        <v>64</v>
      </c>
      <c r="E32" s="55" t="s">
        <v>193</v>
      </c>
      <c r="F32" s="55" t="s">
        <v>194</v>
      </c>
      <c r="G32" s="55" t="s">
        <v>307</v>
      </c>
      <c r="H32" s="55" t="s">
        <v>777</v>
      </c>
      <c r="I32" s="139" t="s">
        <v>51</v>
      </c>
      <c r="J32" s="159" t="s">
        <v>778</v>
      </c>
      <c r="K32" s="55">
        <v>20038918</v>
      </c>
      <c r="L32" s="55" t="s">
        <v>198</v>
      </c>
      <c r="M32" s="141" t="str">
        <f t="shared" si="1"/>
        <v>EH1-INT_D</v>
      </c>
      <c r="N32" s="142" t="str">
        <f>LOOKUP(M32,'[2]Doc Set'!E:E,'[2]Doc Set'!F:F)</f>
        <v>_</v>
      </c>
      <c r="O32" s="141" t="s">
        <v>714</v>
      </c>
      <c r="P32" s="142">
        <f>+LOOKUP(O32,'[2]Doc Set'!E:E,'[2]Doc Set'!G:G)</f>
        <v>43493</v>
      </c>
      <c r="Q32" s="55" t="str">
        <f t="shared" si="0"/>
        <v>EH1-INT_D</v>
      </c>
      <c r="R32" s="142">
        <f>+LOOKUP(Q32,'[2]Doc Set'!E:E,'[2]Doc Set'!H:H)</f>
        <v>43521</v>
      </c>
      <c r="S32" s="143" t="s">
        <v>200</v>
      </c>
    </row>
    <row r="33" spans="1:19" x14ac:dyDescent="0.3">
      <c r="A33" s="156" t="s">
        <v>40</v>
      </c>
      <c r="B33" s="157" t="s">
        <v>190</v>
      </c>
      <c r="C33" s="157" t="s">
        <v>191</v>
      </c>
      <c r="D33" s="158" t="s">
        <v>64</v>
      </c>
      <c r="E33" s="55" t="s">
        <v>193</v>
      </c>
      <c r="F33" s="55" t="s">
        <v>194</v>
      </c>
      <c r="G33" s="55" t="s">
        <v>310</v>
      </c>
      <c r="H33" s="55" t="s">
        <v>779</v>
      </c>
      <c r="I33" s="139" t="s">
        <v>51</v>
      </c>
      <c r="J33" s="159" t="s">
        <v>780</v>
      </c>
      <c r="K33" s="55">
        <v>20038918</v>
      </c>
      <c r="L33" s="55" t="s">
        <v>198</v>
      </c>
      <c r="M33" s="141" t="str">
        <f t="shared" si="1"/>
        <v>EH1-INT_D</v>
      </c>
      <c r="N33" s="142" t="str">
        <f>LOOKUP(M33,'[2]Doc Set'!E:E,'[2]Doc Set'!F:F)</f>
        <v>_</v>
      </c>
      <c r="O33" s="141" t="s">
        <v>714</v>
      </c>
      <c r="P33" s="142">
        <f>+LOOKUP(O33,'[2]Doc Set'!E:E,'[2]Doc Set'!G:G)</f>
        <v>43493</v>
      </c>
      <c r="Q33" s="55" t="str">
        <f t="shared" si="0"/>
        <v>EH1-INT_D</v>
      </c>
      <c r="R33" s="142">
        <f>+LOOKUP(Q33,'[2]Doc Set'!E:E,'[2]Doc Set'!H:H)</f>
        <v>43521</v>
      </c>
      <c r="S33" s="143" t="s">
        <v>200</v>
      </c>
    </row>
    <row r="34" spans="1:19" x14ac:dyDescent="0.3">
      <c r="A34" s="156" t="s">
        <v>40</v>
      </c>
      <c r="B34" s="157" t="s">
        <v>190</v>
      </c>
      <c r="C34" s="157" t="s">
        <v>191</v>
      </c>
      <c r="D34" s="158" t="s">
        <v>64</v>
      </c>
      <c r="E34" s="55" t="s">
        <v>193</v>
      </c>
      <c r="F34" s="55" t="s">
        <v>194</v>
      </c>
      <c r="G34" s="55" t="s">
        <v>313</v>
      </c>
      <c r="H34" s="55" t="s">
        <v>781</v>
      </c>
      <c r="I34" s="139" t="s">
        <v>51</v>
      </c>
      <c r="J34" s="159" t="s">
        <v>782</v>
      </c>
      <c r="K34" s="55">
        <v>20038918</v>
      </c>
      <c r="L34" s="55" t="s">
        <v>198</v>
      </c>
      <c r="M34" s="141" t="str">
        <f t="shared" si="1"/>
        <v>EH1-INT_D</v>
      </c>
      <c r="N34" s="142" t="str">
        <f>LOOKUP(M34,'[2]Doc Set'!E:E,'[2]Doc Set'!F:F)</f>
        <v>_</v>
      </c>
      <c r="O34" s="141" t="s">
        <v>714</v>
      </c>
      <c r="P34" s="142">
        <f>+LOOKUP(O34,'[2]Doc Set'!E:E,'[2]Doc Set'!G:G)</f>
        <v>43493</v>
      </c>
      <c r="Q34" s="55" t="str">
        <f t="shared" si="0"/>
        <v>EH1-INT_D</v>
      </c>
      <c r="R34" s="142">
        <f>+LOOKUP(Q34,'[2]Doc Set'!E:E,'[2]Doc Set'!H:H)</f>
        <v>43521</v>
      </c>
      <c r="S34" s="143" t="s">
        <v>200</v>
      </c>
    </row>
    <row r="35" spans="1:19" x14ac:dyDescent="0.3">
      <c r="A35" s="156" t="s">
        <v>40</v>
      </c>
      <c r="B35" s="157" t="s">
        <v>190</v>
      </c>
      <c r="C35" s="157" t="s">
        <v>191</v>
      </c>
      <c r="D35" s="158" t="s">
        <v>64</v>
      </c>
      <c r="E35" s="55" t="s">
        <v>193</v>
      </c>
      <c r="F35" s="55" t="s">
        <v>194</v>
      </c>
      <c r="G35" s="55" t="s">
        <v>316</v>
      </c>
      <c r="H35" s="55" t="s">
        <v>783</v>
      </c>
      <c r="I35" s="139" t="s">
        <v>51</v>
      </c>
      <c r="J35" s="159" t="s">
        <v>784</v>
      </c>
      <c r="K35" s="55">
        <v>20038918</v>
      </c>
      <c r="L35" s="55" t="s">
        <v>198</v>
      </c>
      <c r="M35" s="141" t="str">
        <f t="shared" si="1"/>
        <v>EH1-INT_D</v>
      </c>
      <c r="N35" s="142" t="str">
        <f>LOOKUP(M35,'[2]Doc Set'!E:E,'[2]Doc Set'!F:F)</f>
        <v>_</v>
      </c>
      <c r="O35" s="141" t="s">
        <v>714</v>
      </c>
      <c r="P35" s="142">
        <f>+LOOKUP(O35,'[2]Doc Set'!E:E,'[2]Doc Set'!G:G)</f>
        <v>43493</v>
      </c>
      <c r="Q35" s="55" t="str">
        <f t="shared" si="0"/>
        <v>EH1-INT_D</v>
      </c>
      <c r="R35" s="142">
        <f>+LOOKUP(Q35,'[2]Doc Set'!E:E,'[2]Doc Set'!H:H)</f>
        <v>43521</v>
      </c>
      <c r="S35" s="143" t="s">
        <v>200</v>
      </c>
    </row>
    <row r="36" spans="1:19" x14ac:dyDescent="0.3">
      <c r="A36" s="156" t="s">
        <v>40</v>
      </c>
      <c r="B36" s="157" t="s">
        <v>190</v>
      </c>
      <c r="C36" s="157" t="s">
        <v>191</v>
      </c>
      <c r="D36" s="158" t="s">
        <v>64</v>
      </c>
      <c r="E36" s="55" t="s">
        <v>193</v>
      </c>
      <c r="F36" s="55" t="s">
        <v>194</v>
      </c>
      <c r="G36" s="55" t="s">
        <v>319</v>
      </c>
      <c r="H36" s="55" t="s">
        <v>785</v>
      </c>
      <c r="I36" s="139" t="s">
        <v>51</v>
      </c>
      <c r="J36" s="159" t="s">
        <v>786</v>
      </c>
      <c r="K36" s="55">
        <v>20038918</v>
      </c>
      <c r="L36" s="55" t="s">
        <v>198</v>
      </c>
      <c r="M36" s="141" t="str">
        <f t="shared" si="1"/>
        <v>EH1-INT_D</v>
      </c>
      <c r="N36" s="142" t="str">
        <f>LOOKUP(M36,'[2]Doc Set'!E:E,'[2]Doc Set'!F:F)</f>
        <v>_</v>
      </c>
      <c r="O36" s="141" t="s">
        <v>714</v>
      </c>
      <c r="P36" s="142">
        <f>+LOOKUP(O36,'[2]Doc Set'!E:E,'[2]Doc Set'!G:G)</f>
        <v>43493</v>
      </c>
      <c r="Q36" s="55" t="str">
        <f t="shared" si="0"/>
        <v>EH1-INT_D</v>
      </c>
      <c r="R36" s="142">
        <f>+LOOKUP(Q36,'[2]Doc Set'!E:E,'[2]Doc Set'!H:H)</f>
        <v>43521</v>
      </c>
      <c r="S36" s="143" t="s">
        <v>200</v>
      </c>
    </row>
    <row r="37" spans="1:19" x14ac:dyDescent="0.3">
      <c r="A37" s="156" t="s">
        <v>40</v>
      </c>
      <c r="B37" s="157" t="s">
        <v>190</v>
      </c>
      <c r="C37" s="157" t="s">
        <v>191</v>
      </c>
      <c r="D37" s="158" t="s">
        <v>64</v>
      </c>
      <c r="E37" s="55" t="s">
        <v>193</v>
      </c>
      <c r="F37" s="55" t="s">
        <v>194</v>
      </c>
      <c r="G37" s="55" t="s">
        <v>325</v>
      </c>
      <c r="H37" s="55" t="s">
        <v>787</v>
      </c>
      <c r="I37" s="139" t="s">
        <v>51</v>
      </c>
      <c r="J37" s="159" t="s">
        <v>788</v>
      </c>
      <c r="K37" s="55">
        <v>20038918</v>
      </c>
      <c r="L37" s="55" t="s">
        <v>198</v>
      </c>
      <c r="M37" s="141" t="str">
        <f t="shared" si="1"/>
        <v>EH1-INT_D</v>
      </c>
      <c r="N37" s="142" t="str">
        <f>LOOKUP(M37,'[2]Doc Set'!E:E,'[2]Doc Set'!F:F)</f>
        <v>_</v>
      </c>
      <c r="O37" s="141" t="s">
        <v>714</v>
      </c>
      <c r="P37" s="142">
        <f>+LOOKUP(O37,'[2]Doc Set'!E:E,'[2]Doc Set'!G:G)</f>
        <v>43493</v>
      </c>
      <c r="Q37" s="55" t="str">
        <f t="shared" si="0"/>
        <v>EH1-INT_D</v>
      </c>
      <c r="R37" s="142">
        <f>+LOOKUP(Q37,'[2]Doc Set'!E:E,'[2]Doc Set'!H:H)</f>
        <v>43521</v>
      </c>
      <c r="S37" s="143" t="s">
        <v>200</v>
      </c>
    </row>
    <row r="38" spans="1:19" x14ac:dyDescent="0.3">
      <c r="A38" s="156" t="s">
        <v>40</v>
      </c>
      <c r="B38" s="157" t="s">
        <v>190</v>
      </c>
      <c r="C38" s="157" t="s">
        <v>191</v>
      </c>
      <c r="D38" s="158" t="s">
        <v>64</v>
      </c>
      <c r="E38" s="55" t="s">
        <v>193</v>
      </c>
      <c r="F38" s="55" t="s">
        <v>194</v>
      </c>
      <c r="G38" s="55" t="s">
        <v>328</v>
      </c>
      <c r="H38" s="55" t="s">
        <v>789</v>
      </c>
      <c r="I38" s="139" t="s">
        <v>51</v>
      </c>
      <c r="J38" s="159" t="s">
        <v>790</v>
      </c>
      <c r="K38" s="55">
        <v>20038918</v>
      </c>
      <c r="L38" s="55" t="s">
        <v>198</v>
      </c>
      <c r="M38" s="141" t="str">
        <f t="shared" si="1"/>
        <v>EH1-INT_D</v>
      </c>
      <c r="N38" s="142" t="str">
        <f>LOOKUP(M38,'[2]Doc Set'!E:E,'[2]Doc Set'!F:F)</f>
        <v>_</v>
      </c>
      <c r="O38" s="141" t="s">
        <v>714</v>
      </c>
      <c r="P38" s="142">
        <f>+LOOKUP(O38,'[2]Doc Set'!E:E,'[2]Doc Set'!G:G)</f>
        <v>43493</v>
      </c>
      <c r="Q38" s="55" t="str">
        <f t="shared" si="0"/>
        <v>EH1-INT_D</v>
      </c>
      <c r="R38" s="142">
        <f>+LOOKUP(Q38,'[2]Doc Set'!E:E,'[2]Doc Set'!H:H)</f>
        <v>43521</v>
      </c>
      <c r="S38" s="143" t="s">
        <v>200</v>
      </c>
    </row>
    <row r="39" spans="1:19" x14ac:dyDescent="0.3">
      <c r="A39" s="156" t="s">
        <v>40</v>
      </c>
      <c r="B39" s="157" t="s">
        <v>190</v>
      </c>
      <c r="C39" s="157" t="s">
        <v>191</v>
      </c>
      <c r="D39" s="158" t="s">
        <v>64</v>
      </c>
      <c r="E39" s="55" t="s">
        <v>193</v>
      </c>
      <c r="F39" s="55" t="s">
        <v>194</v>
      </c>
      <c r="G39" s="55" t="s">
        <v>331</v>
      </c>
      <c r="H39" s="55" t="s">
        <v>791</v>
      </c>
      <c r="I39" s="139" t="s">
        <v>51</v>
      </c>
      <c r="J39" s="159" t="s">
        <v>792</v>
      </c>
      <c r="K39" s="55">
        <v>20038918</v>
      </c>
      <c r="L39" s="55" t="s">
        <v>198</v>
      </c>
      <c r="M39" s="141" t="str">
        <f t="shared" si="1"/>
        <v>EH1-INT_D</v>
      </c>
      <c r="N39" s="142" t="str">
        <f>LOOKUP(M39,'[2]Doc Set'!E:E,'[2]Doc Set'!F:F)</f>
        <v>_</v>
      </c>
      <c r="O39" s="141" t="s">
        <v>714</v>
      </c>
      <c r="P39" s="142">
        <f>+LOOKUP(O39,'[2]Doc Set'!E:E,'[2]Doc Set'!G:G)</f>
        <v>43493</v>
      </c>
      <c r="Q39" s="55" t="str">
        <f t="shared" si="0"/>
        <v>EH1-INT_D</v>
      </c>
      <c r="R39" s="142">
        <f>+LOOKUP(Q39,'[2]Doc Set'!E:E,'[2]Doc Set'!H:H)</f>
        <v>43521</v>
      </c>
      <c r="S39" s="143" t="s">
        <v>200</v>
      </c>
    </row>
    <row r="40" spans="1:19" x14ac:dyDescent="0.3">
      <c r="A40" s="156" t="s">
        <v>40</v>
      </c>
      <c r="B40" s="157" t="s">
        <v>190</v>
      </c>
      <c r="C40" s="157" t="s">
        <v>191</v>
      </c>
      <c r="D40" s="158" t="s">
        <v>64</v>
      </c>
      <c r="E40" s="55" t="s">
        <v>193</v>
      </c>
      <c r="F40" s="55" t="s">
        <v>194</v>
      </c>
      <c r="G40" s="55" t="s">
        <v>334</v>
      </c>
      <c r="H40" s="55" t="s">
        <v>793</v>
      </c>
      <c r="I40" s="139" t="s">
        <v>51</v>
      </c>
      <c r="J40" s="159" t="s">
        <v>794</v>
      </c>
      <c r="K40" s="55">
        <v>20038918</v>
      </c>
      <c r="L40" s="55" t="s">
        <v>198</v>
      </c>
      <c r="M40" s="141" t="str">
        <f t="shared" si="1"/>
        <v>EH1-INT_D</v>
      </c>
      <c r="N40" s="142" t="str">
        <f>LOOKUP(M40,'[2]Doc Set'!E:E,'[2]Doc Set'!F:F)</f>
        <v>_</v>
      </c>
      <c r="O40" s="141" t="s">
        <v>714</v>
      </c>
      <c r="P40" s="142">
        <f>+LOOKUP(O40,'[2]Doc Set'!E:E,'[2]Doc Set'!G:G)</f>
        <v>43493</v>
      </c>
      <c r="Q40" s="55" t="str">
        <f t="shared" si="0"/>
        <v>EH1-INT_D</v>
      </c>
      <c r="R40" s="142">
        <f>+LOOKUP(Q40,'[2]Doc Set'!E:E,'[2]Doc Set'!H:H)</f>
        <v>43521</v>
      </c>
      <c r="S40" s="143" t="s">
        <v>200</v>
      </c>
    </row>
    <row r="41" spans="1:19" x14ac:dyDescent="0.3">
      <c r="A41" s="156" t="s">
        <v>40</v>
      </c>
      <c r="B41" s="157" t="s">
        <v>190</v>
      </c>
      <c r="C41" s="157" t="s">
        <v>191</v>
      </c>
      <c r="D41" s="158" t="s">
        <v>64</v>
      </c>
      <c r="E41" s="55" t="s">
        <v>193</v>
      </c>
      <c r="F41" s="55" t="s">
        <v>194</v>
      </c>
      <c r="G41" s="55" t="s">
        <v>337</v>
      </c>
      <c r="H41" s="55" t="s">
        <v>795</v>
      </c>
      <c r="I41" s="139" t="s">
        <v>51</v>
      </c>
      <c r="J41" s="159" t="s">
        <v>796</v>
      </c>
      <c r="K41" s="55">
        <v>20038918</v>
      </c>
      <c r="L41" s="55" t="s">
        <v>198</v>
      </c>
      <c r="M41" s="141" t="str">
        <f t="shared" si="1"/>
        <v>EH1-INT_D</v>
      </c>
      <c r="N41" s="142" t="str">
        <f>LOOKUP(M41,'[2]Doc Set'!E:E,'[2]Doc Set'!F:F)</f>
        <v>_</v>
      </c>
      <c r="O41" s="141" t="s">
        <v>714</v>
      </c>
      <c r="P41" s="142">
        <f>+LOOKUP(O41,'[2]Doc Set'!E:E,'[2]Doc Set'!G:G)</f>
        <v>43493</v>
      </c>
      <c r="Q41" s="55" t="str">
        <f t="shared" si="0"/>
        <v>EH1-INT_D</v>
      </c>
      <c r="R41" s="142">
        <f>+LOOKUP(Q41,'[2]Doc Set'!E:E,'[2]Doc Set'!H:H)</f>
        <v>43521</v>
      </c>
      <c r="S41" s="143" t="s">
        <v>200</v>
      </c>
    </row>
    <row r="42" spans="1:19" x14ac:dyDescent="0.3">
      <c r="A42" s="156" t="s">
        <v>40</v>
      </c>
      <c r="B42" s="157" t="s">
        <v>190</v>
      </c>
      <c r="C42" s="157" t="s">
        <v>191</v>
      </c>
      <c r="D42" s="158" t="s">
        <v>64</v>
      </c>
      <c r="E42" s="55" t="s">
        <v>193</v>
      </c>
      <c r="F42" s="55" t="s">
        <v>194</v>
      </c>
      <c r="G42" s="55" t="s">
        <v>340</v>
      </c>
      <c r="H42" s="55" t="s">
        <v>797</v>
      </c>
      <c r="I42" s="139" t="s">
        <v>51</v>
      </c>
      <c r="J42" s="159" t="s">
        <v>798</v>
      </c>
      <c r="K42" s="55">
        <v>20038918</v>
      </c>
      <c r="L42" s="55" t="s">
        <v>198</v>
      </c>
      <c r="M42" s="141" t="str">
        <f t="shared" si="1"/>
        <v>EH1-INT_D</v>
      </c>
      <c r="N42" s="142" t="str">
        <f>LOOKUP(M42,'[2]Doc Set'!E:E,'[2]Doc Set'!F:F)</f>
        <v>_</v>
      </c>
      <c r="O42" s="141" t="s">
        <v>714</v>
      </c>
      <c r="P42" s="142">
        <f>+LOOKUP(O42,'[2]Doc Set'!E:E,'[2]Doc Set'!G:G)</f>
        <v>43493</v>
      </c>
      <c r="Q42" s="55" t="str">
        <f t="shared" si="0"/>
        <v>EH1-INT_D</v>
      </c>
      <c r="R42" s="142">
        <f>+LOOKUP(Q42,'[2]Doc Set'!E:E,'[2]Doc Set'!H:H)</f>
        <v>43521</v>
      </c>
      <c r="S42" s="143" t="s">
        <v>200</v>
      </c>
    </row>
    <row r="43" spans="1:19" x14ac:dyDescent="0.3">
      <c r="A43" s="156" t="s">
        <v>40</v>
      </c>
      <c r="B43" s="157" t="s">
        <v>190</v>
      </c>
      <c r="C43" s="157" t="s">
        <v>191</v>
      </c>
      <c r="D43" s="158" t="s">
        <v>64</v>
      </c>
      <c r="E43" s="55" t="s">
        <v>193</v>
      </c>
      <c r="F43" s="55" t="s">
        <v>194</v>
      </c>
      <c r="G43" s="55" t="s">
        <v>799</v>
      </c>
      <c r="H43" s="55" t="s">
        <v>800</v>
      </c>
      <c r="I43" s="139" t="s">
        <v>51</v>
      </c>
      <c r="J43" s="159" t="s">
        <v>801</v>
      </c>
      <c r="K43" s="55">
        <v>20038918</v>
      </c>
      <c r="L43" s="55" t="s">
        <v>198</v>
      </c>
      <c r="M43" s="141" t="str">
        <f t="shared" si="1"/>
        <v>EH1-INT_D</v>
      </c>
      <c r="N43" s="142" t="str">
        <f>LOOKUP(M43,'[2]Doc Set'!E:E,'[2]Doc Set'!F:F)</f>
        <v>_</v>
      </c>
      <c r="O43" s="141" t="s">
        <v>714</v>
      </c>
      <c r="P43" s="142">
        <f>+LOOKUP(O43,'[2]Doc Set'!E:E,'[2]Doc Set'!G:G)</f>
        <v>43493</v>
      </c>
      <c r="Q43" s="55" t="str">
        <f t="shared" si="0"/>
        <v>EH1-INT_D</v>
      </c>
      <c r="R43" s="142">
        <f>+LOOKUP(Q43,'[2]Doc Set'!E:E,'[2]Doc Set'!H:H)</f>
        <v>43521</v>
      </c>
      <c r="S43" s="143" t="s">
        <v>200</v>
      </c>
    </row>
    <row r="44" spans="1:19" x14ac:dyDescent="0.3">
      <c r="A44" s="156" t="s">
        <v>40</v>
      </c>
      <c r="B44" s="157" t="s">
        <v>190</v>
      </c>
      <c r="C44" s="157" t="s">
        <v>191</v>
      </c>
      <c r="D44" s="158" t="s">
        <v>64</v>
      </c>
      <c r="E44" s="55" t="s">
        <v>193</v>
      </c>
      <c r="F44" s="55" t="s">
        <v>194</v>
      </c>
      <c r="G44" s="55" t="s">
        <v>491</v>
      </c>
      <c r="H44" s="55" t="s">
        <v>802</v>
      </c>
      <c r="I44" s="139" t="s">
        <v>51</v>
      </c>
      <c r="J44" s="159" t="s">
        <v>803</v>
      </c>
      <c r="K44" s="55">
        <v>20038918</v>
      </c>
      <c r="L44" s="55" t="s">
        <v>198</v>
      </c>
      <c r="M44" s="141" t="str">
        <f t="shared" si="1"/>
        <v>EH1-INT_D</v>
      </c>
      <c r="N44" s="142" t="str">
        <f>LOOKUP(M44,'[2]Doc Set'!E:E,'[2]Doc Set'!F:F)</f>
        <v>_</v>
      </c>
      <c r="O44" s="141" t="s">
        <v>714</v>
      </c>
      <c r="P44" s="142">
        <f>+LOOKUP(O44,'[2]Doc Set'!E:E,'[2]Doc Set'!G:G)</f>
        <v>43493</v>
      </c>
      <c r="Q44" s="55" t="str">
        <f t="shared" si="0"/>
        <v>EH1-INT_D</v>
      </c>
      <c r="R44" s="142">
        <f>+LOOKUP(Q44,'[2]Doc Set'!E:E,'[2]Doc Set'!H:H)</f>
        <v>43521</v>
      </c>
      <c r="S44" s="143" t="s">
        <v>200</v>
      </c>
    </row>
    <row r="45" spans="1:19" x14ac:dyDescent="0.3">
      <c r="A45" s="156" t="s">
        <v>40</v>
      </c>
      <c r="B45" s="157" t="s">
        <v>190</v>
      </c>
      <c r="C45" s="157" t="s">
        <v>191</v>
      </c>
      <c r="D45" s="158" t="s">
        <v>64</v>
      </c>
      <c r="E45" s="55" t="s">
        <v>193</v>
      </c>
      <c r="F45" s="55" t="s">
        <v>194</v>
      </c>
      <c r="G45" s="55" t="s">
        <v>518</v>
      </c>
      <c r="H45" s="55" t="s">
        <v>804</v>
      </c>
      <c r="I45" s="139" t="s">
        <v>51</v>
      </c>
      <c r="J45" s="159" t="s">
        <v>805</v>
      </c>
      <c r="K45" s="55">
        <v>20038918</v>
      </c>
      <c r="L45" s="55" t="s">
        <v>198</v>
      </c>
      <c r="M45" s="141" t="str">
        <f t="shared" si="1"/>
        <v>EH1-INT_D</v>
      </c>
      <c r="N45" s="142" t="str">
        <f>LOOKUP(M45,'[2]Doc Set'!E:E,'[2]Doc Set'!F:F)</f>
        <v>_</v>
      </c>
      <c r="O45" s="141" t="s">
        <v>714</v>
      </c>
      <c r="P45" s="142">
        <f>+LOOKUP(O45,'[2]Doc Set'!E:E,'[2]Doc Set'!G:G)</f>
        <v>43493</v>
      </c>
      <c r="Q45" s="55" t="str">
        <f t="shared" si="0"/>
        <v>EH1-INT_D</v>
      </c>
      <c r="R45" s="142">
        <f>+LOOKUP(Q45,'[2]Doc Set'!E:E,'[2]Doc Set'!H:H)</f>
        <v>43521</v>
      </c>
      <c r="S45" s="143" t="s">
        <v>200</v>
      </c>
    </row>
    <row r="46" spans="1:19" x14ac:dyDescent="0.3">
      <c r="A46" s="156" t="s">
        <v>40</v>
      </c>
      <c r="B46" s="157" t="s">
        <v>190</v>
      </c>
      <c r="C46" s="157" t="s">
        <v>191</v>
      </c>
      <c r="D46" s="158" t="s">
        <v>64</v>
      </c>
      <c r="E46" s="55" t="s">
        <v>193</v>
      </c>
      <c r="F46" s="55" t="s">
        <v>194</v>
      </c>
      <c r="G46" s="55" t="s">
        <v>494</v>
      </c>
      <c r="H46" s="55" t="s">
        <v>806</v>
      </c>
      <c r="I46" s="139" t="s">
        <v>51</v>
      </c>
      <c r="J46" s="159" t="s">
        <v>807</v>
      </c>
      <c r="K46" s="55">
        <v>20038918</v>
      </c>
      <c r="L46" s="55" t="s">
        <v>198</v>
      </c>
      <c r="M46" s="141" t="str">
        <f t="shared" si="1"/>
        <v>EH1-INT_D</v>
      </c>
      <c r="N46" s="142" t="str">
        <f>LOOKUP(M46,'[2]Doc Set'!E:E,'[2]Doc Set'!F:F)</f>
        <v>_</v>
      </c>
      <c r="O46" s="141" t="s">
        <v>714</v>
      </c>
      <c r="P46" s="142">
        <f>+LOOKUP(O46,'[2]Doc Set'!E:E,'[2]Doc Set'!G:G)</f>
        <v>43493</v>
      </c>
      <c r="Q46" s="55" t="str">
        <f t="shared" si="0"/>
        <v>EH1-INT_D</v>
      </c>
      <c r="R46" s="142">
        <f>+LOOKUP(Q46,'[2]Doc Set'!E:E,'[2]Doc Set'!H:H)</f>
        <v>43521</v>
      </c>
      <c r="S46" s="143" t="s">
        <v>200</v>
      </c>
    </row>
    <row r="47" spans="1:19" x14ac:dyDescent="0.3">
      <c r="A47" s="156" t="s">
        <v>40</v>
      </c>
      <c r="B47" s="157" t="s">
        <v>190</v>
      </c>
      <c r="C47" s="157" t="s">
        <v>191</v>
      </c>
      <c r="D47" s="158" t="s">
        <v>64</v>
      </c>
      <c r="E47" s="55" t="s">
        <v>193</v>
      </c>
      <c r="F47" s="55" t="s">
        <v>194</v>
      </c>
      <c r="G47" s="55" t="s">
        <v>497</v>
      </c>
      <c r="H47" s="55" t="s">
        <v>808</v>
      </c>
      <c r="I47" s="139" t="s">
        <v>51</v>
      </c>
      <c r="J47" s="159" t="s">
        <v>809</v>
      </c>
      <c r="K47" s="55">
        <v>20038918</v>
      </c>
      <c r="L47" s="55" t="s">
        <v>198</v>
      </c>
      <c r="M47" s="141" t="str">
        <f t="shared" si="1"/>
        <v>EH1-INT_D</v>
      </c>
      <c r="N47" s="142" t="str">
        <f>LOOKUP(M47,'[2]Doc Set'!E:E,'[2]Doc Set'!F:F)</f>
        <v>_</v>
      </c>
      <c r="O47" s="141" t="s">
        <v>714</v>
      </c>
      <c r="P47" s="142">
        <f>+LOOKUP(O47,'[2]Doc Set'!E:E,'[2]Doc Set'!G:G)</f>
        <v>43493</v>
      </c>
      <c r="Q47" s="55" t="str">
        <f t="shared" si="0"/>
        <v>EH1-INT_D</v>
      </c>
      <c r="R47" s="142">
        <f>+LOOKUP(Q47,'[2]Doc Set'!E:E,'[2]Doc Set'!H:H)</f>
        <v>43521</v>
      </c>
      <c r="S47" s="143" t="s">
        <v>200</v>
      </c>
    </row>
    <row r="48" spans="1:19" x14ac:dyDescent="0.3">
      <c r="A48" s="156" t="s">
        <v>40</v>
      </c>
      <c r="B48" s="157" t="s">
        <v>190</v>
      </c>
      <c r="C48" s="157" t="s">
        <v>191</v>
      </c>
      <c r="D48" s="158" t="s">
        <v>64</v>
      </c>
      <c r="E48" s="55" t="s">
        <v>193</v>
      </c>
      <c r="F48" s="55" t="s">
        <v>194</v>
      </c>
      <c r="G48" s="55" t="s">
        <v>500</v>
      </c>
      <c r="H48" s="55" t="s">
        <v>810</v>
      </c>
      <c r="I48" s="139" t="s">
        <v>51</v>
      </c>
      <c r="J48" s="159" t="s">
        <v>811</v>
      </c>
      <c r="K48" s="55">
        <v>20038918</v>
      </c>
      <c r="L48" s="55" t="s">
        <v>198</v>
      </c>
      <c r="M48" s="141" t="str">
        <f t="shared" si="1"/>
        <v>EH1-INT_D</v>
      </c>
      <c r="N48" s="142" t="str">
        <f>LOOKUP(M48,'[2]Doc Set'!E:E,'[2]Doc Set'!F:F)</f>
        <v>_</v>
      </c>
      <c r="O48" s="141" t="s">
        <v>714</v>
      </c>
      <c r="P48" s="142">
        <f>+LOOKUP(O48,'[2]Doc Set'!E:E,'[2]Doc Set'!G:G)</f>
        <v>43493</v>
      </c>
      <c r="Q48" s="55" t="str">
        <f t="shared" si="0"/>
        <v>EH1-INT_D</v>
      </c>
      <c r="R48" s="142">
        <f>+LOOKUP(Q48,'[2]Doc Set'!E:E,'[2]Doc Set'!H:H)</f>
        <v>43521</v>
      </c>
      <c r="S48" s="143" t="s">
        <v>200</v>
      </c>
    </row>
    <row r="49" spans="1:19" x14ac:dyDescent="0.3">
      <c r="A49" s="156" t="s">
        <v>40</v>
      </c>
      <c r="B49" s="157" t="s">
        <v>190</v>
      </c>
      <c r="C49" s="157" t="s">
        <v>191</v>
      </c>
      <c r="D49" s="158" t="s">
        <v>64</v>
      </c>
      <c r="E49" s="55" t="s">
        <v>193</v>
      </c>
      <c r="F49" s="55" t="s">
        <v>194</v>
      </c>
      <c r="G49" s="55" t="s">
        <v>503</v>
      </c>
      <c r="H49" s="55" t="s">
        <v>812</v>
      </c>
      <c r="I49" s="139" t="s">
        <v>51</v>
      </c>
      <c r="J49" s="159" t="s">
        <v>813</v>
      </c>
      <c r="K49" s="55">
        <v>20038918</v>
      </c>
      <c r="L49" s="55" t="s">
        <v>198</v>
      </c>
      <c r="M49" s="141" t="str">
        <f t="shared" si="1"/>
        <v>EH1-INT_D</v>
      </c>
      <c r="N49" s="142" t="str">
        <f>LOOKUP(M49,'[2]Doc Set'!E:E,'[2]Doc Set'!F:F)</f>
        <v>_</v>
      </c>
      <c r="O49" s="141" t="s">
        <v>714</v>
      </c>
      <c r="P49" s="142">
        <f>+LOOKUP(O49,'[2]Doc Set'!E:E,'[2]Doc Set'!G:G)</f>
        <v>43493</v>
      </c>
      <c r="Q49" s="55" t="str">
        <f t="shared" si="0"/>
        <v>EH1-INT_D</v>
      </c>
      <c r="R49" s="142">
        <f>+LOOKUP(Q49,'[2]Doc Set'!E:E,'[2]Doc Set'!H:H)</f>
        <v>43521</v>
      </c>
      <c r="S49" s="143" t="s">
        <v>200</v>
      </c>
    </row>
    <row r="50" spans="1:19" ht="28.8" x14ac:dyDescent="0.3">
      <c r="A50" s="156" t="s">
        <v>40</v>
      </c>
      <c r="B50" s="157" t="s">
        <v>190</v>
      </c>
      <c r="C50" s="157" t="s">
        <v>191</v>
      </c>
      <c r="D50" s="158" t="s">
        <v>64</v>
      </c>
      <c r="E50" s="55" t="s">
        <v>193</v>
      </c>
      <c r="F50" s="55" t="s">
        <v>521</v>
      </c>
      <c r="G50" s="55" t="s">
        <v>522</v>
      </c>
      <c r="H50" s="55" t="s">
        <v>814</v>
      </c>
      <c r="I50" s="139" t="s">
        <v>51</v>
      </c>
      <c r="J50" s="159" t="s">
        <v>815</v>
      </c>
      <c r="K50" s="55">
        <v>20038918</v>
      </c>
      <c r="L50" s="55" t="s">
        <v>198</v>
      </c>
      <c r="M50" s="141" t="str">
        <f t="shared" si="1"/>
        <v>EH1-INT_D</v>
      </c>
      <c r="N50" s="142" t="str">
        <f>LOOKUP(M50,'[2]Doc Set'!E:E,'[2]Doc Set'!F:F)</f>
        <v>_</v>
      </c>
      <c r="O50" s="141" t="s">
        <v>714</v>
      </c>
      <c r="P50" s="142">
        <f>+LOOKUP(O50,'[2]Doc Set'!E:E,'[2]Doc Set'!G:G)</f>
        <v>43493</v>
      </c>
      <c r="Q50" s="55" t="str">
        <f t="shared" si="0"/>
        <v>EH1-INT_D</v>
      </c>
      <c r="R50" s="142">
        <f>+LOOKUP(Q50,'[2]Doc Set'!E:E,'[2]Doc Set'!H:H)</f>
        <v>43521</v>
      </c>
      <c r="S50" s="143" t="s">
        <v>200</v>
      </c>
    </row>
    <row r="51" spans="1:19" ht="28.8" x14ac:dyDescent="0.3">
      <c r="A51" s="156" t="s">
        <v>40</v>
      </c>
      <c r="B51" s="157" t="s">
        <v>190</v>
      </c>
      <c r="C51" s="157" t="s">
        <v>191</v>
      </c>
      <c r="D51" s="158" t="s">
        <v>64</v>
      </c>
      <c r="E51" s="55" t="s">
        <v>193</v>
      </c>
      <c r="F51" s="55" t="s">
        <v>521</v>
      </c>
      <c r="G51" s="55" t="s">
        <v>525</v>
      </c>
      <c r="H51" s="55" t="s">
        <v>816</v>
      </c>
      <c r="I51" s="139" t="s">
        <v>51</v>
      </c>
      <c r="J51" s="159" t="s">
        <v>817</v>
      </c>
      <c r="K51" s="55">
        <v>20038918</v>
      </c>
      <c r="L51" s="55" t="s">
        <v>198</v>
      </c>
      <c r="M51" s="141" t="str">
        <f t="shared" si="1"/>
        <v>EH1-INT_D</v>
      </c>
      <c r="N51" s="142" t="str">
        <f>LOOKUP(M51,'[2]Doc Set'!E:E,'[2]Doc Set'!F:F)</f>
        <v>_</v>
      </c>
      <c r="O51" s="141" t="s">
        <v>714</v>
      </c>
      <c r="P51" s="142">
        <f>+LOOKUP(O51,'[2]Doc Set'!E:E,'[2]Doc Set'!G:G)</f>
        <v>43493</v>
      </c>
      <c r="Q51" s="55" t="str">
        <f t="shared" si="0"/>
        <v>EH1-INT_D</v>
      </c>
      <c r="R51" s="142">
        <f>+LOOKUP(Q51,'[2]Doc Set'!E:E,'[2]Doc Set'!H:H)</f>
        <v>43521</v>
      </c>
      <c r="S51" s="143" t="s">
        <v>200</v>
      </c>
    </row>
    <row r="52" spans="1:19" ht="28.8" x14ac:dyDescent="0.3">
      <c r="A52" s="156" t="s">
        <v>40</v>
      </c>
      <c r="B52" s="157" t="s">
        <v>190</v>
      </c>
      <c r="C52" s="157" t="s">
        <v>191</v>
      </c>
      <c r="D52" s="158" t="s">
        <v>64</v>
      </c>
      <c r="E52" s="55" t="s">
        <v>193</v>
      </c>
      <c r="F52" s="55" t="s">
        <v>521</v>
      </c>
      <c r="G52" s="55" t="s">
        <v>528</v>
      </c>
      <c r="H52" s="55" t="s">
        <v>818</v>
      </c>
      <c r="I52" s="139" t="s">
        <v>51</v>
      </c>
      <c r="J52" s="159" t="s">
        <v>819</v>
      </c>
      <c r="K52" s="55">
        <v>20038918</v>
      </c>
      <c r="L52" s="55" t="s">
        <v>198</v>
      </c>
      <c r="M52" s="141" t="str">
        <f t="shared" si="1"/>
        <v>EH1-INT_D</v>
      </c>
      <c r="N52" s="142" t="str">
        <f>LOOKUP(M52,'[2]Doc Set'!E:E,'[2]Doc Set'!F:F)</f>
        <v>_</v>
      </c>
      <c r="O52" s="141" t="s">
        <v>714</v>
      </c>
      <c r="P52" s="142">
        <f>+LOOKUP(O52,'[2]Doc Set'!E:E,'[2]Doc Set'!G:G)</f>
        <v>43493</v>
      </c>
      <c r="Q52" s="55" t="str">
        <f t="shared" si="0"/>
        <v>EH1-INT_D</v>
      </c>
      <c r="R52" s="142">
        <f>+LOOKUP(Q52,'[2]Doc Set'!E:E,'[2]Doc Set'!H:H)</f>
        <v>43521</v>
      </c>
      <c r="S52" s="143" t="s">
        <v>200</v>
      </c>
    </row>
    <row r="53" spans="1:19" ht="28.8" x14ac:dyDescent="0.3">
      <c r="A53" s="156" t="s">
        <v>40</v>
      </c>
      <c r="B53" s="157" t="s">
        <v>190</v>
      </c>
      <c r="C53" s="157" t="s">
        <v>191</v>
      </c>
      <c r="D53" s="158" t="s">
        <v>64</v>
      </c>
      <c r="E53" s="55" t="s">
        <v>193</v>
      </c>
      <c r="F53" s="55" t="s">
        <v>521</v>
      </c>
      <c r="G53" s="55" t="s">
        <v>820</v>
      </c>
      <c r="H53" s="55" t="s">
        <v>821</v>
      </c>
      <c r="I53" s="139" t="s">
        <v>51</v>
      </c>
      <c r="J53" s="159" t="s">
        <v>822</v>
      </c>
      <c r="K53" s="55">
        <v>20038918</v>
      </c>
      <c r="L53" s="55" t="s">
        <v>198</v>
      </c>
      <c r="M53" s="141" t="str">
        <f t="shared" si="1"/>
        <v>EH1-INT_D</v>
      </c>
      <c r="N53" s="142" t="str">
        <f>LOOKUP(M53,'[2]Doc Set'!E:E,'[2]Doc Set'!F:F)</f>
        <v>_</v>
      </c>
      <c r="O53" s="141" t="s">
        <v>714</v>
      </c>
      <c r="P53" s="142">
        <f>+LOOKUP(O53,'[2]Doc Set'!E:E,'[2]Doc Set'!G:G)</f>
        <v>43493</v>
      </c>
      <c r="Q53" s="55" t="str">
        <f t="shared" si="0"/>
        <v>EH1-INT_D</v>
      </c>
      <c r="R53" s="142">
        <f>+LOOKUP(Q53,'[2]Doc Set'!E:E,'[2]Doc Set'!H:H)</f>
        <v>43521</v>
      </c>
      <c r="S53" s="143" t="s">
        <v>200</v>
      </c>
    </row>
    <row r="54" spans="1:19" ht="28.8" x14ac:dyDescent="0.3">
      <c r="A54" s="156" t="s">
        <v>40</v>
      </c>
      <c r="B54" s="157" t="s">
        <v>190</v>
      </c>
      <c r="C54" s="157" t="s">
        <v>191</v>
      </c>
      <c r="D54" s="158" t="s">
        <v>64</v>
      </c>
      <c r="E54" s="55" t="s">
        <v>193</v>
      </c>
      <c r="F54" s="55" t="s">
        <v>521</v>
      </c>
      <c r="G54" s="55" t="s">
        <v>823</v>
      </c>
      <c r="H54" s="55" t="s">
        <v>824</v>
      </c>
      <c r="I54" s="139" t="s">
        <v>51</v>
      </c>
      <c r="J54" s="159" t="s">
        <v>825</v>
      </c>
      <c r="K54" s="55">
        <v>20038918</v>
      </c>
      <c r="L54" s="55" t="s">
        <v>198</v>
      </c>
      <c r="M54" s="141" t="str">
        <f t="shared" si="1"/>
        <v>EH1-INT_D</v>
      </c>
      <c r="N54" s="142" t="str">
        <f>LOOKUP(M54,'[2]Doc Set'!E:E,'[2]Doc Set'!F:F)</f>
        <v>_</v>
      </c>
      <c r="O54" s="141" t="s">
        <v>714</v>
      </c>
      <c r="P54" s="142">
        <f>+LOOKUP(O54,'[2]Doc Set'!E:E,'[2]Doc Set'!G:G)</f>
        <v>43493</v>
      </c>
      <c r="Q54" s="55" t="str">
        <f t="shared" si="0"/>
        <v>EH1-INT_D</v>
      </c>
      <c r="R54" s="142">
        <f>+LOOKUP(Q54,'[2]Doc Set'!E:E,'[2]Doc Set'!H:H)</f>
        <v>43521</v>
      </c>
      <c r="S54" s="143" t="s">
        <v>200</v>
      </c>
    </row>
    <row r="55" spans="1:19" x14ac:dyDescent="0.3">
      <c r="A55" s="156" t="s">
        <v>40</v>
      </c>
      <c r="B55" s="157" t="s">
        <v>190</v>
      </c>
      <c r="C55" s="157" t="s">
        <v>191</v>
      </c>
      <c r="D55" s="158" t="s">
        <v>64</v>
      </c>
      <c r="E55" s="55" t="s">
        <v>193</v>
      </c>
      <c r="F55" s="55" t="s">
        <v>451</v>
      </c>
      <c r="G55" s="55" t="s">
        <v>458</v>
      </c>
      <c r="H55" s="55" t="s">
        <v>826</v>
      </c>
      <c r="I55" s="139" t="s">
        <v>134</v>
      </c>
      <c r="J55" s="159" t="s">
        <v>827</v>
      </c>
      <c r="K55" s="55">
        <v>20038918</v>
      </c>
      <c r="L55" s="55" t="s">
        <v>198</v>
      </c>
      <c r="M55" s="141" t="str">
        <f t="shared" si="1"/>
        <v>EH1-INT_D</v>
      </c>
      <c r="N55" s="142" t="str">
        <f>LOOKUP(M55,'[2]Doc Set'!E:E,'[2]Doc Set'!F:F)</f>
        <v>_</v>
      </c>
      <c r="O55" s="141" t="s">
        <v>714</v>
      </c>
      <c r="P55" s="142">
        <f>+LOOKUP(O55,'[2]Doc Set'!E:E,'[2]Doc Set'!G:G)</f>
        <v>43493</v>
      </c>
      <c r="Q55" s="55" t="str">
        <f t="shared" si="0"/>
        <v>EH1-INT_D</v>
      </c>
      <c r="R55" s="142">
        <f>+LOOKUP(Q55,'[2]Doc Set'!E:E,'[2]Doc Set'!H:H)</f>
        <v>43521</v>
      </c>
      <c r="S55" s="143" t="s">
        <v>200</v>
      </c>
    </row>
    <row r="56" spans="1:19" x14ac:dyDescent="0.3">
      <c r="A56" s="156" t="s">
        <v>40</v>
      </c>
      <c r="B56" s="157" t="s">
        <v>190</v>
      </c>
      <c r="C56" s="157" t="s">
        <v>191</v>
      </c>
      <c r="D56" s="158" t="s">
        <v>64</v>
      </c>
      <c r="E56" s="55" t="s">
        <v>193</v>
      </c>
      <c r="F56" s="55" t="s">
        <v>451</v>
      </c>
      <c r="G56" s="55" t="s">
        <v>828</v>
      </c>
      <c r="H56" s="55" t="s">
        <v>829</v>
      </c>
      <c r="I56" s="139" t="s">
        <v>134</v>
      </c>
      <c r="J56" s="159" t="s">
        <v>830</v>
      </c>
      <c r="K56" s="55">
        <v>20038918</v>
      </c>
      <c r="L56" s="55" t="s">
        <v>198</v>
      </c>
      <c r="M56" s="141" t="str">
        <f t="shared" si="1"/>
        <v>EH1-INT_D</v>
      </c>
      <c r="N56" s="142" t="str">
        <f>LOOKUP(M56,'[2]Doc Set'!E:E,'[2]Doc Set'!F:F)</f>
        <v>_</v>
      </c>
      <c r="O56" s="141" t="s">
        <v>714</v>
      </c>
      <c r="P56" s="142">
        <f>+LOOKUP(O56,'[2]Doc Set'!E:E,'[2]Doc Set'!G:G)</f>
        <v>43493</v>
      </c>
      <c r="Q56" s="55" t="str">
        <f t="shared" si="0"/>
        <v>EH1-INT_D</v>
      </c>
      <c r="R56" s="142">
        <f>+LOOKUP(Q56,'[2]Doc Set'!E:E,'[2]Doc Set'!H:H)</f>
        <v>43521</v>
      </c>
      <c r="S56" s="143" t="s">
        <v>200</v>
      </c>
    </row>
    <row r="57" spans="1:19" x14ac:dyDescent="0.3">
      <c r="A57" s="156" t="s">
        <v>40</v>
      </c>
      <c r="B57" s="157" t="s">
        <v>190</v>
      </c>
      <c r="C57" s="157" t="s">
        <v>191</v>
      </c>
      <c r="D57" s="158" t="s">
        <v>64</v>
      </c>
      <c r="E57" s="55" t="s">
        <v>193</v>
      </c>
      <c r="F57" s="55" t="s">
        <v>451</v>
      </c>
      <c r="G57" s="55" t="s">
        <v>461</v>
      </c>
      <c r="H57" s="55" t="s">
        <v>831</v>
      </c>
      <c r="I57" s="139" t="s">
        <v>134</v>
      </c>
      <c r="J57" s="159" t="s">
        <v>832</v>
      </c>
      <c r="K57" s="55">
        <v>20038918</v>
      </c>
      <c r="L57" s="55" t="s">
        <v>198</v>
      </c>
      <c r="M57" s="141" t="str">
        <f t="shared" si="1"/>
        <v>EH1-INT_D</v>
      </c>
      <c r="N57" s="142" t="str">
        <f>LOOKUP(M57,'[2]Doc Set'!E:E,'[2]Doc Set'!F:F)</f>
        <v>_</v>
      </c>
      <c r="O57" s="141" t="s">
        <v>714</v>
      </c>
      <c r="P57" s="142">
        <f>+LOOKUP(O57,'[2]Doc Set'!E:E,'[2]Doc Set'!G:G)</f>
        <v>43493</v>
      </c>
      <c r="Q57" s="55" t="str">
        <f t="shared" si="0"/>
        <v>EH1-INT_D</v>
      </c>
      <c r="R57" s="142">
        <f>+LOOKUP(Q57,'[2]Doc Set'!E:E,'[2]Doc Set'!H:H)</f>
        <v>43521</v>
      </c>
      <c r="S57" s="143" t="s">
        <v>200</v>
      </c>
    </row>
    <row r="58" spans="1:19" x14ac:dyDescent="0.3">
      <c r="A58" s="156" t="s">
        <v>40</v>
      </c>
      <c r="B58" s="157" t="s">
        <v>190</v>
      </c>
      <c r="C58" s="157" t="s">
        <v>191</v>
      </c>
      <c r="D58" s="158" t="s">
        <v>64</v>
      </c>
      <c r="E58" s="55" t="s">
        <v>193</v>
      </c>
      <c r="F58" s="55" t="s">
        <v>451</v>
      </c>
      <c r="G58" s="55" t="s">
        <v>464</v>
      </c>
      <c r="H58" s="55" t="s">
        <v>833</v>
      </c>
      <c r="I58" s="139" t="s">
        <v>134</v>
      </c>
      <c r="J58" s="159" t="s">
        <v>834</v>
      </c>
      <c r="K58" s="55">
        <v>20038918</v>
      </c>
      <c r="L58" s="55" t="s">
        <v>198</v>
      </c>
      <c r="M58" s="141" t="str">
        <f t="shared" si="1"/>
        <v>EH1-INT_D</v>
      </c>
      <c r="N58" s="142" t="str">
        <f>LOOKUP(M58,'[2]Doc Set'!E:E,'[2]Doc Set'!F:F)</f>
        <v>_</v>
      </c>
      <c r="O58" s="141" t="s">
        <v>714</v>
      </c>
      <c r="P58" s="142">
        <f>+LOOKUP(O58,'[2]Doc Set'!E:E,'[2]Doc Set'!G:G)</f>
        <v>43493</v>
      </c>
      <c r="Q58" s="55" t="str">
        <f t="shared" si="0"/>
        <v>EH1-INT_D</v>
      </c>
      <c r="R58" s="142">
        <f>+LOOKUP(Q58,'[2]Doc Set'!E:E,'[2]Doc Set'!H:H)</f>
        <v>43521</v>
      </c>
      <c r="S58" s="143" t="s">
        <v>200</v>
      </c>
    </row>
    <row r="59" spans="1:19" x14ac:dyDescent="0.3">
      <c r="A59" s="156" t="s">
        <v>40</v>
      </c>
      <c r="B59" s="157" t="s">
        <v>190</v>
      </c>
      <c r="C59" s="157" t="s">
        <v>191</v>
      </c>
      <c r="D59" s="158" t="s">
        <v>64</v>
      </c>
      <c r="E59" s="55" t="s">
        <v>193</v>
      </c>
      <c r="F59" s="55" t="s">
        <v>451</v>
      </c>
      <c r="G59" s="55" t="s">
        <v>467</v>
      </c>
      <c r="H59" s="55" t="s">
        <v>835</v>
      </c>
      <c r="I59" s="139" t="s">
        <v>134</v>
      </c>
      <c r="J59" s="159" t="s">
        <v>836</v>
      </c>
      <c r="K59" s="55">
        <v>20038918</v>
      </c>
      <c r="L59" s="55" t="s">
        <v>198</v>
      </c>
      <c r="M59" s="141" t="str">
        <f t="shared" si="1"/>
        <v>EH1-INT_D</v>
      </c>
      <c r="N59" s="142" t="str">
        <f>LOOKUP(M59,'[2]Doc Set'!E:E,'[2]Doc Set'!F:F)</f>
        <v>_</v>
      </c>
      <c r="O59" s="141" t="s">
        <v>714</v>
      </c>
      <c r="P59" s="142">
        <f>+LOOKUP(O59,'[2]Doc Set'!E:E,'[2]Doc Set'!G:G)</f>
        <v>43493</v>
      </c>
      <c r="Q59" s="55" t="str">
        <f t="shared" si="0"/>
        <v>EH1-INT_D</v>
      </c>
      <c r="R59" s="142">
        <f>+LOOKUP(Q59,'[2]Doc Set'!E:E,'[2]Doc Set'!H:H)</f>
        <v>43521</v>
      </c>
      <c r="S59" s="143" t="s">
        <v>200</v>
      </c>
    </row>
    <row r="60" spans="1:19" x14ac:dyDescent="0.3">
      <c r="A60" s="156" t="s">
        <v>40</v>
      </c>
      <c r="B60" s="157" t="s">
        <v>190</v>
      </c>
      <c r="C60" s="157" t="s">
        <v>191</v>
      </c>
      <c r="D60" s="158" t="s">
        <v>64</v>
      </c>
      <c r="E60" s="55" t="s">
        <v>193</v>
      </c>
      <c r="F60" s="55" t="s">
        <v>609</v>
      </c>
      <c r="G60" s="55" t="s">
        <v>635</v>
      </c>
      <c r="H60" s="55" t="s">
        <v>837</v>
      </c>
      <c r="I60" s="139" t="s">
        <v>128</v>
      </c>
      <c r="J60" s="159" t="s">
        <v>838</v>
      </c>
      <c r="K60" s="55">
        <v>20038918</v>
      </c>
      <c r="L60" s="55" t="s">
        <v>198</v>
      </c>
      <c r="M60" s="141" t="str">
        <f t="shared" si="1"/>
        <v>EH1-INT_D</v>
      </c>
      <c r="N60" s="142" t="str">
        <f>LOOKUP(M60,'[2]Doc Set'!E:E,'[2]Doc Set'!F:F)</f>
        <v>_</v>
      </c>
      <c r="O60" s="141" t="s">
        <v>714</v>
      </c>
      <c r="P60" s="142">
        <f>+LOOKUP(O60,'[2]Doc Set'!E:E,'[2]Doc Set'!G:G)</f>
        <v>43493</v>
      </c>
      <c r="Q60" s="55" t="str">
        <f t="shared" si="0"/>
        <v>EH1-INT_D</v>
      </c>
      <c r="R60" s="142">
        <f>+LOOKUP(Q60,'[2]Doc Set'!E:E,'[2]Doc Set'!H:H)</f>
        <v>43521</v>
      </c>
      <c r="S60" s="143" t="s">
        <v>200</v>
      </c>
    </row>
    <row r="61" spans="1:19" x14ac:dyDescent="0.3">
      <c r="A61" s="156" t="s">
        <v>40</v>
      </c>
      <c r="B61" s="157" t="s">
        <v>190</v>
      </c>
      <c r="C61" s="157" t="s">
        <v>191</v>
      </c>
      <c r="D61" s="158" t="s">
        <v>64</v>
      </c>
      <c r="E61" s="55" t="s">
        <v>193</v>
      </c>
      <c r="F61" s="55" t="s">
        <v>609</v>
      </c>
      <c r="G61" s="55" t="s">
        <v>839</v>
      </c>
      <c r="H61" s="55" t="s">
        <v>840</v>
      </c>
      <c r="I61" s="139" t="s">
        <v>128</v>
      </c>
      <c r="J61" s="159" t="s">
        <v>841</v>
      </c>
      <c r="K61" s="55">
        <v>20038918</v>
      </c>
      <c r="L61" s="55" t="s">
        <v>198</v>
      </c>
      <c r="M61" s="141" t="str">
        <f t="shared" si="1"/>
        <v>EH1-INT_D</v>
      </c>
      <c r="N61" s="142" t="str">
        <f>LOOKUP(M61,'[2]Doc Set'!E:E,'[2]Doc Set'!F:F)</f>
        <v>_</v>
      </c>
      <c r="O61" s="141" t="s">
        <v>714</v>
      </c>
      <c r="P61" s="142">
        <f>+LOOKUP(O61,'[2]Doc Set'!E:E,'[2]Doc Set'!G:G)</f>
        <v>43493</v>
      </c>
      <c r="Q61" s="55" t="str">
        <f t="shared" si="0"/>
        <v>EH1-INT_D</v>
      </c>
      <c r="R61" s="142">
        <f>+LOOKUP(Q61,'[2]Doc Set'!E:E,'[2]Doc Set'!H:H)</f>
        <v>43521</v>
      </c>
      <c r="S61" s="143" t="s">
        <v>200</v>
      </c>
    </row>
    <row r="62" spans="1:19" x14ac:dyDescent="0.3">
      <c r="A62" s="156" t="s">
        <v>40</v>
      </c>
      <c r="B62" s="157" t="s">
        <v>190</v>
      </c>
      <c r="C62" s="157" t="s">
        <v>191</v>
      </c>
      <c r="D62" s="158" t="s">
        <v>64</v>
      </c>
      <c r="E62" s="55" t="s">
        <v>193</v>
      </c>
      <c r="F62" s="55" t="s">
        <v>609</v>
      </c>
      <c r="G62" s="55" t="s">
        <v>638</v>
      </c>
      <c r="H62" s="144" t="s">
        <v>842</v>
      </c>
      <c r="I62" s="139" t="s">
        <v>128</v>
      </c>
      <c r="J62" s="159" t="s">
        <v>843</v>
      </c>
      <c r="K62" s="55">
        <v>20038918</v>
      </c>
      <c r="L62" s="55" t="s">
        <v>198</v>
      </c>
      <c r="M62" s="141" t="str">
        <f t="shared" si="1"/>
        <v>EH1-SS_B</v>
      </c>
      <c r="N62" s="142" t="str">
        <f>LOOKUP(M62,'[2]Doc Set'!E:E,'[2]Doc Set'!F:F)</f>
        <v>_</v>
      </c>
      <c r="O62" s="141" t="s">
        <v>844</v>
      </c>
      <c r="P62" s="142">
        <f>+LOOKUP(O62,'[2]Doc Set'!E:E,'[2]Doc Set'!G:G)</f>
        <v>43295</v>
      </c>
      <c r="Q62" s="55" t="str">
        <f t="shared" si="0"/>
        <v>EH1-SS_B</v>
      </c>
      <c r="R62" s="142">
        <f>+LOOKUP(Q62,'[2]Doc Set'!E:E,'[2]Doc Set'!H:H)</f>
        <v>43340</v>
      </c>
      <c r="S62" s="143" t="s">
        <v>200</v>
      </c>
    </row>
    <row r="63" spans="1:19" x14ac:dyDescent="0.3">
      <c r="A63" s="156" t="s">
        <v>40</v>
      </c>
      <c r="B63" s="157" t="s">
        <v>190</v>
      </c>
      <c r="C63" s="157" t="s">
        <v>191</v>
      </c>
      <c r="D63" s="158" t="s">
        <v>64</v>
      </c>
      <c r="E63" s="55" t="s">
        <v>193</v>
      </c>
      <c r="F63" s="55" t="s">
        <v>609</v>
      </c>
      <c r="G63" s="55" t="s">
        <v>641</v>
      </c>
      <c r="H63" s="144" t="s">
        <v>845</v>
      </c>
      <c r="I63" s="139" t="s">
        <v>128</v>
      </c>
      <c r="J63" s="159" t="s">
        <v>846</v>
      </c>
      <c r="K63" s="55">
        <v>20038918</v>
      </c>
      <c r="L63" s="55" t="s">
        <v>198</v>
      </c>
      <c r="M63" s="141" t="str">
        <f t="shared" si="1"/>
        <v>EH1-SS_B</v>
      </c>
      <c r="N63" s="142" t="str">
        <f>LOOKUP(M63,'[2]Doc Set'!E:E,'[2]Doc Set'!F:F)</f>
        <v>_</v>
      </c>
      <c r="O63" s="141" t="s">
        <v>844</v>
      </c>
      <c r="P63" s="142">
        <f>+LOOKUP(O63,'[2]Doc Set'!E:E,'[2]Doc Set'!G:G)</f>
        <v>43295</v>
      </c>
      <c r="Q63" s="55" t="str">
        <f t="shared" si="0"/>
        <v>EH1-SS_B</v>
      </c>
      <c r="R63" s="142">
        <f>+LOOKUP(Q63,'[2]Doc Set'!E:E,'[2]Doc Set'!H:H)</f>
        <v>43340</v>
      </c>
      <c r="S63" s="143" t="s">
        <v>200</v>
      </c>
    </row>
    <row r="64" spans="1:19" x14ac:dyDescent="0.3">
      <c r="A64" s="156" t="s">
        <v>40</v>
      </c>
      <c r="B64" s="157" t="s">
        <v>190</v>
      </c>
      <c r="C64" s="157" t="s">
        <v>191</v>
      </c>
      <c r="D64" s="158" t="s">
        <v>64</v>
      </c>
      <c r="E64" s="55" t="s">
        <v>193</v>
      </c>
      <c r="F64" s="55" t="s">
        <v>609</v>
      </c>
      <c r="G64" s="55" t="s">
        <v>644</v>
      </c>
      <c r="H64" s="144" t="s">
        <v>847</v>
      </c>
      <c r="I64" s="139" t="s">
        <v>128</v>
      </c>
      <c r="J64" s="159" t="s">
        <v>848</v>
      </c>
      <c r="K64" s="55">
        <v>20038918</v>
      </c>
      <c r="L64" s="55" t="s">
        <v>198</v>
      </c>
      <c r="M64" s="141" t="str">
        <f t="shared" si="1"/>
        <v>EH1-SS_B</v>
      </c>
      <c r="N64" s="142" t="str">
        <f>LOOKUP(M64,'[2]Doc Set'!E:E,'[2]Doc Set'!F:F)</f>
        <v>_</v>
      </c>
      <c r="O64" s="141" t="s">
        <v>844</v>
      </c>
      <c r="P64" s="142">
        <f>+LOOKUP(O64,'[2]Doc Set'!E:E,'[2]Doc Set'!G:G)</f>
        <v>43295</v>
      </c>
      <c r="Q64" s="55" t="str">
        <f t="shared" si="0"/>
        <v>EH1-SS_B</v>
      </c>
      <c r="R64" s="142">
        <f>+LOOKUP(Q64,'[2]Doc Set'!E:E,'[2]Doc Set'!H:H)</f>
        <v>43340</v>
      </c>
      <c r="S64" s="143" t="s">
        <v>200</v>
      </c>
    </row>
    <row r="65" spans="1:19" x14ac:dyDescent="0.3">
      <c r="A65" s="156" t="s">
        <v>40</v>
      </c>
      <c r="B65" s="157" t="s">
        <v>190</v>
      </c>
      <c r="C65" s="157" t="s">
        <v>191</v>
      </c>
      <c r="D65" s="158" t="s">
        <v>64</v>
      </c>
      <c r="E65" s="55" t="s">
        <v>193</v>
      </c>
      <c r="F65" s="55" t="s">
        <v>609</v>
      </c>
      <c r="G65" s="55" t="s">
        <v>849</v>
      </c>
      <c r="H65" s="144" t="s">
        <v>850</v>
      </c>
      <c r="I65" s="139" t="s">
        <v>128</v>
      </c>
      <c r="J65" s="159" t="s">
        <v>851</v>
      </c>
      <c r="K65" s="55">
        <v>20038918</v>
      </c>
      <c r="L65" s="55" t="s">
        <v>198</v>
      </c>
      <c r="M65" s="141" t="str">
        <f t="shared" si="1"/>
        <v>EH1-SS_B</v>
      </c>
      <c r="N65" s="142" t="str">
        <f>LOOKUP(M65,'[2]Doc Set'!E:E,'[2]Doc Set'!F:F)</f>
        <v>_</v>
      </c>
      <c r="O65" s="141" t="s">
        <v>844</v>
      </c>
      <c r="P65" s="142">
        <f>+LOOKUP(O65,'[2]Doc Set'!E:E,'[2]Doc Set'!G:G)</f>
        <v>43295</v>
      </c>
      <c r="Q65" s="55" t="str">
        <f t="shared" si="0"/>
        <v>EH1-SS_B</v>
      </c>
      <c r="R65" s="142">
        <f>+LOOKUP(Q65,'[2]Doc Set'!E:E,'[2]Doc Set'!H:H)</f>
        <v>43340</v>
      </c>
      <c r="S65" s="143" t="s">
        <v>200</v>
      </c>
    </row>
    <row r="66" spans="1:19" x14ac:dyDescent="0.3">
      <c r="A66" s="156" t="s">
        <v>40</v>
      </c>
      <c r="B66" s="157" t="s">
        <v>190</v>
      </c>
      <c r="C66" s="157" t="s">
        <v>191</v>
      </c>
      <c r="D66" s="158" t="s">
        <v>64</v>
      </c>
      <c r="E66" s="55" t="s">
        <v>193</v>
      </c>
      <c r="F66" s="55" t="s">
        <v>609</v>
      </c>
      <c r="G66" s="55" t="s">
        <v>852</v>
      </c>
      <c r="H66" s="144" t="s">
        <v>853</v>
      </c>
      <c r="I66" s="139" t="s">
        <v>51</v>
      </c>
      <c r="J66" s="159" t="s">
        <v>854</v>
      </c>
      <c r="K66" s="55">
        <v>20038918</v>
      </c>
      <c r="L66" s="55" t="s">
        <v>198</v>
      </c>
      <c r="M66" s="141" t="str">
        <f t="shared" si="1"/>
        <v>EH1-SS_B</v>
      </c>
      <c r="N66" s="142" t="str">
        <f>LOOKUP(M66,'[2]Doc Set'!E:E,'[2]Doc Set'!F:F)</f>
        <v>_</v>
      </c>
      <c r="O66" s="141" t="s">
        <v>844</v>
      </c>
      <c r="P66" s="142">
        <f>+LOOKUP(O66,'[2]Doc Set'!E:E,'[2]Doc Set'!G:G)</f>
        <v>43295</v>
      </c>
      <c r="Q66" s="55" t="str">
        <f t="shared" si="0"/>
        <v>EH1-SS_B</v>
      </c>
      <c r="R66" s="142">
        <f>+LOOKUP(Q66,'[2]Doc Set'!E:E,'[2]Doc Set'!H:H)</f>
        <v>43340</v>
      </c>
      <c r="S66" s="143" t="s">
        <v>200</v>
      </c>
    </row>
    <row r="67" spans="1:19" x14ac:dyDescent="0.3">
      <c r="A67" s="156" t="s">
        <v>40</v>
      </c>
      <c r="B67" s="157" t="s">
        <v>190</v>
      </c>
      <c r="C67" s="157" t="s">
        <v>191</v>
      </c>
      <c r="D67" s="158" t="s">
        <v>64</v>
      </c>
      <c r="E67" s="55" t="s">
        <v>193</v>
      </c>
      <c r="F67" s="55" t="s">
        <v>609</v>
      </c>
      <c r="G67" s="55" t="s">
        <v>617</v>
      </c>
      <c r="H67" s="144" t="s">
        <v>855</v>
      </c>
      <c r="I67" s="139" t="s">
        <v>51</v>
      </c>
      <c r="J67" s="159" t="s">
        <v>856</v>
      </c>
      <c r="K67" s="55">
        <v>20038918</v>
      </c>
      <c r="L67" s="55" t="s">
        <v>198</v>
      </c>
      <c r="M67" s="141" t="str">
        <f t="shared" si="1"/>
        <v>EH1-SS_B</v>
      </c>
      <c r="N67" s="142" t="str">
        <f>LOOKUP(M67,'[2]Doc Set'!E:E,'[2]Doc Set'!F:F)</f>
        <v>_</v>
      </c>
      <c r="O67" s="141" t="s">
        <v>844</v>
      </c>
      <c r="P67" s="142">
        <f>+LOOKUP(O67,'[2]Doc Set'!E:E,'[2]Doc Set'!G:G)</f>
        <v>43295</v>
      </c>
      <c r="Q67" s="55" t="str">
        <f t="shared" ref="Q67:Q98" si="2">+O67</f>
        <v>EH1-SS_B</v>
      </c>
      <c r="R67" s="142">
        <f>+LOOKUP(Q67,'[2]Doc Set'!E:E,'[2]Doc Set'!H:H)</f>
        <v>43340</v>
      </c>
      <c r="S67" s="143" t="s">
        <v>200</v>
      </c>
    </row>
    <row r="68" spans="1:19" ht="28.8" x14ac:dyDescent="0.3">
      <c r="A68" s="156" t="s">
        <v>40</v>
      </c>
      <c r="B68" s="157" t="s">
        <v>190</v>
      </c>
      <c r="C68" s="157" t="s">
        <v>191</v>
      </c>
      <c r="D68" s="158" t="s">
        <v>64</v>
      </c>
      <c r="E68" s="55" t="s">
        <v>193</v>
      </c>
      <c r="F68" s="55" t="s">
        <v>555</v>
      </c>
      <c r="G68" s="55" t="s">
        <v>53</v>
      </c>
      <c r="H68" s="144" t="s">
        <v>857</v>
      </c>
      <c r="I68" s="154" t="s">
        <v>51</v>
      </c>
      <c r="J68" s="159" t="s">
        <v>858</v>
      </c>
      <c r="K68" s="55">
        <v>20038918</v>
      </c>
      <c r="L68" s="55" t="s">
        <v>859</v>
      </c>
      <c r="M68" s="141" t="s">
        <v>860</v>
      </c>
      <c r="N68" s="142">
        <f>LOOKUP(M68,'[2]Doc Set'!E:E,'[2]Doc Set'!F:F)</f>
        <v>43160</v>
      </c>
      <c r="O68" s="141" t="s">
        <v>844</v>
      </c>
      <c r="P68" s="142">
        <f>+LOOKUP(O68,'[2]Doc Set'!E:E,'[2]Doc Set'!G:G)</f>
        <v>43295</v>
      </c>
      <c r="Q68" s="55" t="str">
        <f t="shared" si="2"/>
        <v>EH1-SS_B</v>
      </c>
      <c r="R68" s="142">
        <f>+LOOKUP(Q68,'[2]Doc Set'!E:E,'[2]Doc Set'!H:H)</f>
        <v>43340</v>
      </c>
      <c r="S68" s="143" t="s">
        <v>200</v>
      </c>
    </row>
    <row r="69" spans="1:19" ht="28.8" x14ac:dyDescent="0.3">
      <c r="A69" s="156" t="s">
        <v>40</v>
      </c>
      <c r="B69" s="157" t="s">
        <v>190</v>
      </c>
      <c r="C69" s="157" t="s">
        <v>191</v>
      </c>
      <c r="D69" s="158" t="s">
        <v>64</v>
      </c>
      <c r="E69" s="55" t="s">
        <v>193</v>
      </c>
      <c r="F69" s="55" t="s">
        <v>555</v>
      </c>
      <c r="G69" s="55" t="s">
        <v>561</v>
      </c>
      <c r="H69" s="144" t="s">
        <v>861</v>
      </c>
      <c r="I69" s="154" t="s">
        <v>51</v>
      </c>
      <c r="J69" s="159" t="s">
        <v>862</v>
      </c>
      <c r="K69" s="55">
        <v>20038918</v>
      </c>
      <c r="L69" s="55" t="s">
        <v>859</v>
      </c>
      <c r="M69" s="141" t="s">
        <v>860</v>
      </c>
      <c r="N69" s="142">
        <f>LOOKUP(M69,'[2]Doc Set'!E:E,'[2]Doc Set'!F:F)</f>
        <v>43160</v>
      </c>
      <c r="O69" s="141" t="s">
        <v>844</v>
      </c>
      <c r="P69" s="142">
        <f>+LOOKUP(O69,'[2]Doc Set'!E:E,'[2]Doc Set'!G:G)</f>
        <v>43295</v>
      </c>
      <c r="Q69" s="55" t="str">
        <f t="shared" si="2"/>
        <v>EH1-SS_B</v>
      </c>
      <c r="R69" s="142">
        <f>+LOOKUP(Q69,'[2]Doc Set'!E:E,'[2]Doc Set'!H:H)</f>
        <v>43340</v>
      </c>
      <c r="S69" s="143" t="s">
        <v>200</v>
      </c>
    </row>
    <row r="70" spans="1:19" x14ac:dyDescent="0.3">
      <c r="A70" s="156" t="s">
        <v>40</v>
      </c>
      <c r="B70" s="157" t="s">
        <v>190</v>
      </c>
      <c r="C70" s="157" t="s">
        <v>191</v>
      </c>
      <c r="D70" s="158" t="s">
        <v>64</v>
      </c>
      <c r="E70" s="55" t="s">
        <v>193</v>
      </c>
      <c r="F70" s="55" t="s">
        <v>555</v>
      </c>
      <c r="G70" s="55" t="s">
        <v>564</v>
      </c>
      <c r="H70" s="144" t="s">
        <v>863</v>
      </c>
      <c r="I70" s="154" t="s">
        <v>51</v>
      </c>
      <c r="J70" s="159" t="s">
        <v>864</v>
      </c>
      <c r="K70" s="55">
        <v>20038918</v>
      </c>
      <c r="L70" s="55" t="s">
        <v>859</v>
      </c>
      <c r="M70" s="141" t="s">
        <v>860</v>
      </c>
      <c r="N70" s="142">
        <f>LOOKUP(M70,'[2]Doc Set'!E:E,'[2]Doc Set'!F:F)</f>
        <v>43160</v>
      </c>
      <c r="O70" s="141" t="s">
        <v>844</v>
      </c>
      <c r="P70" s="142">
        <f>+LOOKUP(O70,'[2]Doc Set'!E:E,'[2]Doc Set'!G:G)</f>
        <v>43295</v>
      </c>
      <c r="Q70" s="55" t="str">
        <f t="shared" si="2"/>
        <v>EH1-SS_B</v>
      </c>
      <c r="R70" s="142">
        <f>+LOOKUP(Q70,'[2]Doc Set'!E:E,'[2]Doc Set'!H:H)</f>
        <v>43340</v>
      </c>
      <c r="S70" s="143" t="s">
        <v>200</v>
      </c>
    </row>
    <row r="71" spans="1:19" x14ac:dyDescent="0.3">
      <c r="A71" s="156" t="s">
        <v>40</v>
      </c>
      <c r="B71" s="157" t="s">
        <v>190</v>
      </c>
      <c r="C71" s="157" t="s">
        <v>191</v>
      </c>
      <c r="D71" s="158" t="s">
        <v>64</v>
      </c>
      <c r="E71" s="55" t="s">
        <v>193</v>
      </c>
      <c r="F71" s="55" t="s">
        <v>555</v>
      </c>
      <c r="G71" s="55" t="s">
        <v>567</v>
      </c>
      <c r="H71" s="144" t="s">
        <v>865</v>
      </c>
      <c r="I71" s="154" t="s">
        <v>51</v>
      </c>
      <c r="J71" s="159" t="s">
        <v>866</v>
      </c>
      <c r="K71" s="55">
        <v>20038918</v>
      </c>
      <c r="L71" s="55" t="s">
        <v>859</v>
      </c>
      <c r="M71" s="141" t="s">
        <v>860</v>
      </c>
      <c r="N71" s="142">
        <f>LOOKUP(M71,'[2]Doc Set'!E:E,'[2]Doc Set'!F:F)</f>
        <v>43160</v>
      </c>
      <c r="O71" s="141" t="s">
        <v>844</v>
      </c>
      <c r="P71" s="142">
        <f>+LOOKUP(O71,'[2]Doc Set'!E:E,'[2]Doc Set'!G:G)</f>
        <v>43295</v>
      </c>
      <c r="Q71" s="55" t="str">
        <f t="shared" si="2"/>
        <v>EH1-SS_B</v>
      </c>
      <c r="R71" s="142">
        <f>+LOOKUP(Q71,'[2]Doc Set'!E:E,'[2]Doc Set'!H:H)</f>
        <v>43340</v>
      </c>
      <c r="S71" s="143" t="s">
        <v>200</v>
      </c>
    </row>
    <row r="72" spans="1:19" x14ac:dyDescent="0.3">
      <c r="A72" s="156" t="s">
        <v>40</v>
      </c>
      <c r="B72" s="157" t="s">
        <v>190</v>
      </c>
      <c r="C72" s="157" t="s">
        <v>191</v>
      </c>
      <c r="D72" s="158" t="s">
        <v>64</v>
      </c>
      <c r="E72" s="55" t="s">
        <v>193</v>
      </c>
      <c r="F72" s="55" t="s">
        <v>555</v>
      </c>
      <c r="G72" s="55" t="s">
        <v>570</v>
      </c>
      <c r="H72" s="144" t="s">
        <v>867</v>
      </c>
      <c r="I72" s="154" t="s">
        <v>51</v>
      </c>
      <c r="J72" s="159" t="s">
        <v>868</v>
      </c>
      <c r="K72" s="55">
        <v>20038918</v>
      </c>
      <c r="L72" s="55" t="s">
        <v>859</v>
      </c>
      <c r="M72" s="141" t="s">
        <v>860</v>
      </c>
      <c r="N72" s="142">
        <f>LOOKUP(M72,'[2]Doc Set'!E:E,'[2]Doc Set'!F:F)</f>
        <v>43160</v>
      </c>
      <c r="O72" s="141" t="s">
        <v>844</v>
      </c>
      <c r="P72" s="142">
        <f>+LOOKUP(O72,'[2]Doc Set'!E:E,'[2]Doc Set'!G:G)</f>
        <v>43295</v>
      </c>
      <c r="Q72" s="55" t="str">
        <f t="shared" si="2"/>
        <v>EH1-SS_B</v>
      </c>
      <c r="R72" s="142">
        <f>+LOOKUP(Q72,'[2]Doc Set'!E:E,'[2]Doc Set'!H:H)</f>
        <v>43340</v>
      </c>
      <c r="S72" s="143" t="s">
        <v>200</v>
      </c>
    </row>
    <row r="73" spans="1:19" x14ac:dyDescent="0.3">
      <c r="A73" s="156" t="s">
        <v>40</v>
      </c>
      <c r="B73" s="157" t="s">
        <v>190</v>
      </c>
      <c r="C73" s="157" t="s">
        <v>191</v>
      </c>
      <c r="D73" s="158" t="s">
        <v>64</v>
      </c>
      <c r="E73" s="55" t="s">
        <v>193</v>
      </c>
      <c r="F73" s="55" t="s">
        <v>555</v>
      </c>
      <c r="G73" s="55" t="s">
        <v>573</v>
      </c>
      <c r="H73" s="144" t="s">
        <v>869</v>
      </c>
      <c r="I73" s="154" t="s">
        <v>51</v>
      </c>
      <c r="J73" s="159" t="s">
        <v>870</v>
      </c>
      <c r="K73" s="55">
        <v>20038918</v>
      </c>
      <c r="L73" s="55" t="s">
        <v>859</v>
      </c>
      <c r="M73" s="141" t="s">
        <v>860</v>
      </c>
      <c r="N73" s="142">
        <f>LOOKUP(M73,'[2]Doc Set'!E:E,'[2]Doc Set'!F:F)</f>
        <v>43160</v>
      </c>
      <c r="O73" s="141" t="s">
        <v>844</v>
      </c>
      <c r="P73" s="142">
        <f>+LOOKUP(O73,'[2]Doc Set'!E:E,'[2]Doc Set'!G:G)</f>
        <v>43295</v>
      </c>
      <c r="Q73" s="55" t="str">
        <f t="shared" si="2"/>
        <v>EH1-SS_B</v>
      </c>
      <c r="R73" s="142">
        <f>+LOOKUP(Q73,'[2]Doc Set'!E:E,'[2]Doc Set'!H:H)</f>
        <v>43340</v>
      </c>
      <c r="S73" s="143" t="s">
        <v>200</v>
      </c>
    </row>
    <row r="74" spans="1:19" ht="28.8" x14ac:dyDescent="0.3">
      <c r="A74" s="156" t="s">
        <v>40</v>
      </c>
      <c r="B74" s="157" t="s">
        <v>190</v>
      </c>
      <c r="C74" s="157" t="s">
        <v>191</v>
      </c>
      <c r="D74" s="158" t="s">
        <v>64</v>
      </c>
      <c r="E74" s="55" t="s">
        <v>193</v>
      </c>
      <c r="F74" s="55" t="s">
        <v>555</v>
      </c>
      <c r="G74" s="55" t="s">
        <v>576</v>
      </c>
      <c r="H74" s="144" t="s">
        <v>871</v>
      </c>
      <c r="I74" s="154" t="s">
        <v>51</v>
      </c>
      <c r="J74" s="159" t="s">
        <v>872</v>
      </c>
      <c r="K74" s="55">
        <v>20038918</v>
      </c>
      <c r="L74" s="55" t="s">
        <v>859</v>
      </c>
      <c r="M74" s="141" t="str">
        <f t="shared" ref="M74:M98" si="3">+O74</f>
        <v>EH1-SS_B</v>
      </c>
      <c r="N74" s="142" t="str">
        <f>LOOKUP(M74,'[2]Doc Set'!E:E,'[2]Doc Set'!F:F)</f>
        <v>_</v>
      </c>
      <c r="O74" s="141" t="s">
        <v>844</v>
      </c>
      <c r="P74" s="142">
        <f>+LOOKUP(O74,'[2]Doc Set'!E:E,'[2]Doc Set'!G:G)</f>
        <v>43295</v>
      </c>
      <c r="Q74" s="55" t="str">
        <f t="shared" si="2"/>
        <v>EH1-SS_B</v>
      </c>
      <c r="R74" s="142">
        <f>+LOOKUP(Q74,'[2]Doc Set'!E:E,'[2]Doc Set'!H:H)</f>
        <v>43340</v>
      </c>
      <c r="S74" s="143" t="s">
        <v>200</v>
      </c>
    </row>
    <row r="75" spans="1:19" ht="28.8" x14ac:dyDescent="0.3">
      <c r="A75" s="156" t="s">
        <v>40</v>
      </c>
      <c r="B75" s="157" t="s">
        <v>190</v>
      </c>
      <c r="C75" s="157" t="s">
        <v>191</v>
      </c>
      <c r="D75" s="158" t="s">
        <v>64</v>
      </c>
      <c r="E75" s="55" t="s">
        <v>193</v>
      </c>
      <c r="F75" s="55" t="s">
        <v>555</v>
      </c>
      <c r="G75" s="55" t="s">
        <v>579</v>
      </c>
      <c r="H75" s="144" t="s">
        <v>873</v>
      </c>
      <c r="I75" s="154" t="s">
        <v>51</v>
      </c>
      <c r="J75" s="159" t="s">
        <v>874</v>
      </c>
      <c r="K75" s="55">
        <v>20038918</v>
      </c>
      <c r="L75" s="55" t="s">
        <v>859</v>
      </c>
      <c r="M75" s="141" t="str">
        <f t="shared" si="3"/>
        <v>EH1-SS_B</v>
      </c>
      <c r="N75" s="142" t="str">
        <f>LOOKUP(M75,'[2]Doc Set'!E:E,'[2]Doc Set'!F:F)</f>
        <v>_</v>
      </c>
      <c r="O75" s="141" t="s">
        <v>844</v>
      </c>
      <c r="P75" s="142">
        <f>+LOOKUP(O75,'[2]Doc Set'!E:E,'[2]Doc Set'!G:G)</f>
        <v>43295</v>
      </c>
      <c r="Q75" s="55" t="str">
        <f t="shared" si="2"/>
        <v>EH1-SS_B</v>
      </c>
      <c r="R75" s="142">
        <f>+LOOKUP(Q75,'[2]Doc Set'!E:E,'[2]Doc Set'!H:H)</f>
        <v>43340</v>
      </c>
      <c r="S75" s="143" t="s">
        <v>200</v>
      </c>
    </row>
    <row r="76" spans="1:19" x14ac:dyDescent="0.3">
      <c r="A76" s="156" t="s">
        <v>40</v>
      </c>
      <c r="B76" s="157" t="s">
        <v>190</v>
      </c>
      <c r="C76" s="157" t="s">
        <v>191</v>
      </c>
      <c r="D76" s="158" t="s">
        <v>64</v>
      </c>
      <c r="E76" s="55" t="s">
        <v>193</v>
      </c>
      <c r="F76" s="55" t="s">
        <v>555</v>
      </c>
      <c r="G76" s="55" t="s">
        <v>582</v>
      </c>
      <c r="H76" s="144" t="s">
        <v>875</v>
      </c>
      <c r="I76" s="154" t="s">
        <v>51</v>
      </c>
      <c r="J76" s="159" t="s">
        <v>876</v>
      </c>
      <c r="K76" s="55">
        <v>20038918</v>
      </c>
      <c r="L76" s="55" t="s">
        <v>859</v>
      </c>
      <c r="M76" s="141" t="str">
        <f t="shared" si="3"/>
        <v>EH1-SS_B</v>
      </c>
      <c r="N76" s="142" t="str">
        <f>LOOKUP(M76,'[2]Doc Set'!E:E,'[2]Doc Set'!F:F)</f>
        <v>_</v>
      </c>
      <c r="O76" s="141" t="s">
        <v>844</v>
      </c>
      <c r="P76" s="142">
        <f>+LOOKUP(O76,'[2]Doc Set'!E:E,'[2]Doc Set'!G:G)</f>
        <v>43295</v>
      </c>
      <c r="Q76" s="55" t="str">
        <f t="shared" si="2"/>
        <v>EH1-SS_B</v>
      </c>
      <c r="R76" s="142">
        <f>+LOOKUP(Q76,'[2]Doc Set'!E:E,'[2]Doc Set'!H:H)</f>
        <v>43340</v>
      </c>
      <c r="S76" s="143" t="s">
        <v>200</v>
      </c>
    </row>
    <row r="77" spans="1:19" x14ac:dyDescent="0.3">
      <c r="A77" s="156" t="s">
        <v>40</v>
      </c>
      <c r="B77" s="157" t="s">
        <v>190</v>
      </c>
      <c r="C77" s="157" t="s">
        <v>191</v>
      </c>
      <c r="D77" s="158" t="s">
        <v>64</v>
      </c>
      <c r="E77" s="55" t="s">
        <v>193</v>
      </c>
      <c r="F77" s="55" t="s">
        <v>663</v>
      </c>
      <c r="G77" s="55" t="s">
        <v>877</v>
      </c>
      <c r="H77" s="55" t="s">
        <v>878</v>
      </c>
      <c r="I77" s="154" t="s">
        <v>134</v>
      </c>
      <c r="J77" s="159" t="s">
        <v>879</v>
      </c>
      <c r="K77" s="55">
        <v>20038918</v>
      </c>
      <c r="L77" s="55" t="s">
        <v>198</v>
      </c>
      <c r="M77" s="141" t="str">
        <f t="shared" si="3"/>
        <v>EH1-INT_D</v>
      </c>
      <c r="N77" s="142" t="str">
        <f>LOOKUP(M77,'[2]Doc Set'!E:E,'[2]Doc Set'!F:F)</f>
        <v>_</v>
      </c>
      <c r="O77" s="141" t="s">
        <v>714</v>
      </c>
      <c r="P77" s="142">
        <f>+LOOKUP(O77,'[2]Doc Set'!E:E,'[2]Doc Set'!G:G)</f>
        <v>43493</v>
      </c>
      <c r="Q77" s="55" t="str">
        <f t="shared" si="2"/>
        <v>EH1-INT_D</v>
      </c>
      <c r="R77" s="142">
        <f>+LOOKUP(Q77,'[2]Doc Set'!E:E,'[2]Doc Set'!H:H)</f>
        <v>43521</v>
      </c>
      <c r="S77" s="143" t="s">
        <v>200</v>
      </c>
    </row>
    <row r="78" spans="1:19" x14ac:dyDescent="0.3">
      <c r="A78" s="156" t="s">
        <v>40</v>
      </c>
      <c r="B78" s="157" t="s">
        <v>190</v>
      </c>
      <c r="C78" s="157" t="s">
        <v>191</v>
      </c>
      <c r="D78" s="158" t="s">
        <v>64</v>
      </c>
      <c r="E78" s="55" t="s">
        <v>193</v>
      </c>
      <c r="F78" s="55" t="s">
        <v>663</v>
      </c>
      <c r="G78" s="55" t="s">
        <v>670</v>
      </c>
      <c r="H78" s="55" t="s">
        <v>880</v>
      </c>
      <c r="I78" s="154" t="s">
        <v>134</v>
      </c>
      <c r="J78" s="159" t="s">
        <v>881</v>
      </c>
      <c r="K78" s="55">
        <v>20038918</v>
      </c>
      <c r="L78" s="55" t="s">
        <v>198</v>
      </c>
      <c r="M78" s="141" t="str">
        <f t="shared" si="3"/>
        <v>EH1-INT_D</v>
      </c>
      <c r="N78" s="142" t="str">
        <f>LOOKUP(M78,'[2]Doc Set'!E:E,'[2]Doc Set'!F:F)</f>
        <v>_</v>
      </c>
      <c r="O78" s="141" t="s">
        <v>714</v>
      </c>
      <c r="P78" s="142">
        <f>+LOOKUP(O78,'[2]Doc Set'!E:E,'[2]Doc Set'!G:G)</f>
        <v>43493</v>
      </c>
      <c r="Q78" s="55" t="str">
        <f t="shared" si="2"/>
        <v>EH1-INT_D</v>
      </c>
      <c r="R78" s="142">
        <f>+LOOKUP(Q78,'[2]Doc Set'!E:E,'[2]Doc Set'!H:H)</f>
        <v>43521</v>
      </c>
      <c r="S78" s="143" t="s">
        <v>200</v>
      </c>
    </row>
    <row r="79" spans="1:19" x14ac:dyDescent="0.3">
      <c r="A79" s="156" t="s">
        <v>40</v>
      </c>
      <c r="B79" s="157" t="s">
        <v>190</v>
      </c>
      <c r="C79" s="157" t="s">
        <v>191</v>
      </c>
      <c r="D79" s="158" t="s">
        <v>64</v>
      </c>
      <c r="E79" s="55" t="s">
        <v>193</v>
      </c>
      <c r="F79" s="55" t="s">
        <v>663</v>
      </c>
      <c r="G79" s="55" t="s">
        <v>673</v>
      </c>
      <c r="H79" s="55" t="s">
        <v>882</v>
      </c>
      <c r="I79" s="154" t="s">
        <v>134</v>
      </c>
      <c r="J79" s="159" t="s">
        <v>883</v>
      </c>
      <c r="K79" s="55">
        <v>20038918</v>
      </c>
      <c r="L79" s="55" t="s">
        <v>198</v>
      </c>
      <c r="M79" s="141" t="str">
        <f t="shared" si="3"/>
        <v>EH1-INT_D</v>
      </c>
      <c r="N79" s="142" t="str">
        <f>LOOKUP(M79,'[2]Doc Set'!E:E,'[2]Doc Set'!F:F)</f>
        <v>_</v>
      </c>
      <c r="O79" s="141" t="s">
        <v>714</v>
      </c>
      <c r="P79" s="142">
        <f>+LOOKUP(O79,'[2]Doc Set'!E:E,'[2]Doc Set'!G:G)</f>
        <v>43493</v>
      </c>
      <c r="Q79" s="55" t="str">
        <f t="shared" si="2"/>
        <v>EH1-INT_D</v>
      </c>
      <c r="R79" s="142">
        <f>+LOOKUP(Q79,'[2]Doc Set'!E:E,'[2]Doc Set'!H:H)</f>
        <v>43521</v>
      </c>
      <c r="S79" s="143" t="s">
        <v>200</v>
      </c>
    </row>
    <row r="80" spans="1:19" x14ac:dyDescent="0.3">
      <c r="A80" s="156" t="s">
        <v>40</v>
      </c>
      <c r="B80" s="157" t="s">
        <v>190</v>
      </c>
      <c r="C80" s="157" t="s">
        <v>191</v>
      </c>
      <c r="D80" s="158" t="s">
        <v>64</v>
      </c>
      <c r="E80" s="55" t="s">
        <v>193</v>
      </c>
      <c r="F80" s="55" t="s">
        <v>663</v>
      </c>
      <c r="G80" s="55" t="s">
        <v>676</v>
      </c>
      <c r="H80" s="55" t="s">
        <v>884</v>
      </c>
      <c r="I80" s="154" t="s">
        <v>134</v>
      </c>
      <c r="J80" s="159" t="s">
        <v>885</v>
      </c>
      <c r="K80" s="55">
        <v>20038918</v>
      </c>
      <c r="L80" s="55" t="s">
        <v>198</v>
      </c>
      <c r="M80" s="141" t="str">
        <f t="shared" si="3"/>
        <v>EH1-INT_D</v>
      </c>
      <c r="N80" s="142" t="str">
        <f>LOOKUP(M80,'[2]Doc Set'!E:E,'[2]Doc Set'!F:F)</f>
        <v>_</v>
      </c>
      <c r="O80" s="141" t="s">
        <v>714</v>
      </c>
      <c r="P80" s="142">
        <f>+LOOKUP(O80,'[2]Doc Set'!E:E,'[2]Doc Set'!G:G)</f>
        <v>43493</v>
      </c>
      <c r="Q80" s="55" t="str">
        <f t="shared" si="2"/>
        <v>EH1-INT_D</v>
      </c>
      <c r="R80" s="142">
        <f>+LOOKUP(Q80,'[2]Doc Set'!E:E,'[2]Doc Set'!H:H)</f>
        <v>43521</v>
      </c>
      <c r="S80" s="143" t="s">
        <v>200</v>
      </c>
    </row>
    <row r="81" spans="1:19" x14ac:dyDescent="0.3">
      <c r="A81" s="156" t="s">
        <v>40</v>
      </c>
      <c r="B81" s="157" t="s">
        <v>190</v>
      </c>
      <c r="C81" s="157" t="s">
        <v>191</v>
      </c>
      <c r="D81" s="158" t="s">
        <v>64</v>
      </c>
      <c r="E81" s="55" t="s">
        <v>193</v>
      </c>
      <c r="F81" s="55" t="s">
        <v>663</v>
      </c>
      <c r="G81" s="55" t="s">
        <v>679</v>
      </c>
      <c r="H81" s="55" t="s">
        <v>886</v>
      </c>
      <c r="I81" s="154" t="s">
        <v>134</v>
      </c>
      <c r="J81" s="159" t="s">
        <v>887</v>
      </c>
      <c r="K81" s="55">
        <v>20038918</v>
      </c>
      <c r="L81" s="55" t="s">
        <v>198</v>
      </c>
      <c r="M81" s="141" t="str">
        <f t="shared" si="3"/>
        <v>EH1-INT_D</v>
      </c>
      <c r="N81" s="142" t="str">
        <f>LOOKUP(M81,'[2]Doc Set'!E:E,'[2]Doc Set'!F:F)</f>
        <v>_</v>
      </c>
      <c r="O81" s="141" t="s">
        <v>714</v>
      </c>
      <c r="P81" s="142">
        <f>+LOOKUP(O81,'[2]Doc Set'!E:E,'[2]Doc Set'!G:G)</f>
        <v>43493</v>
      </c>
      <c r="Q81" s="55" t="str">
        <f t="shared" si="2"/>
        <v>EH1-INT_D</v>
      </c>
      <c r="R81" s="142">
        <f>+LOOKUP(Q81,'[2]Doc Set'!E:E,'[2]Doc Set'!H:H)</f>
        <v>43521</v>
      </c>
      <c r="S81" s="143" t="s">
        <v>200</v>
      </c>
    </row>
    <row r="82" spans="1:19" x14ac:dyDescent="0.3">
      <c r="A82" s="156" t="s">
        <v>40</v>
      </c>
      <c r="B82" s="157" t="s">
        <v>190</v>
      </c>
      <c r="C82" s="157" t="s">
        <v>191</v>
      </c>
      <c r="D82" s="158" t="s">
        <v>64</v>
      </c>
      <c r="E82" s="55" t="s">
        <v>193</v>
      </c>
      <c r="F82" s="55" t="s">
        <v>663</v>
      </c>
      <c r="G82" s="55" t="s">
        <v>682</v>
      </c>
      <c r="H82" s="55" t="s">
        <v>888</v>
      </c>
      <c r="I82" s="154" t="s">
        <v>134</v>
      </c>
      <c r="J82" s="159" t="s">
        <v>889</v>
      </c>
      <c r="K82" s="55">
        <v>20038918</v>
      </c>
      <c r="L82" s="55" t="s">
        <v>198</v>
      </c>
      <c r="M82" s="141" t="str">
        <f t="shared" si="3"/>
        <v>EH1-INT_D</v>
      </c>
      <c r="N82" s="142" t="str">
        <f>LOOKUP(M82,'[2]Doc Set'!E:E,'[2]Doc Set'!F:F)</f>
        <v>_</v>
      </c>
      <c r="O82" s="141" t="s">
        <v>714</v>
      </c>
      <c r="P82" s="142">
        <f>+LOOKUP(O82,'[2]Doc Set'!E:E,'[2]Doc Set'!G:G)</f>
        <v>43493</v>
      </c>
      <c r="Q82" s="55" t="str">
        <f t="shared" si="2"/>
        <v>EH1-INT_D</v>
      </c>
      <c r="R82" s="142">
        <f>+LOOKUP(Q82,'[2]Doc Set'!E:E,'[2]Doc Set'!H:H)</f>
        <v>43521</v>
      </c>
      <c r="S82" s="143" t="s">
        <v>200</v>
      </c>
    </row>
    <row r="83" spans="1:19" x14ac:dyDescent="0.3">
      <c r="A83" s="156" t="s">
        <v>40</v>
      </c>
      <c r="B83" s="157" t="s">
        <v>190</v>
      </c>
      <c r="C83" s="157" t="s">
        <v>191</v>
      </c>
      <c r="D83" s="158" t="s">
        <v>64</v>
      </c>
      <c r="E83" s="55" t="s">
        <v>193</v>
      </c>
      <c r="F83" s="55" t="s">
        <v>194</v>
      </c>
      <c r="G83" s="55" t="s">
        <v>364</v>
      </c>
      <c r="H83" s="55" t="s">
        <v>890</v>
      </c>
      <c r="I83" s="139" t="s">
        <v>51</v>
      </c>
      <c r="J83" s="159" t="s">
        <v>891</v>
      </c>
      <c r="K83" s="55">
        <v>20038918</v>
      </c>
      <c r="L83" s="55" t="s">
        <v>198</v>
      </c>
      <c r="M83" s="141" t="str">
        <f t="shared" si="3"/>
        <v>EH1-INT_D</v>
      </c>
      <c r="N83" s="142" t="str">
        <f>LOOKUP(M83,'[2]Doc Set'!E:E,'[2]Doc Set'!F:F)</f>
        <v>_</v>
      </c>
      <c r="O83" s="141" t="s">
        <v>714</v>
      </c>
      <c r="P83" s="142">
        <f>+LOOKUP(O83,'[2]Doc Set'!E:E,'[2]Doc Set'!G:G)</f>
        <v>43493</v>
      </c>
      <c r="Q83" s="55" t="str">
        <f t="shared" si="2"/>
        <v>EH1-INT_D</v>
      </c>
      <c r="R83" s="142">
        <f>+LOOKUP(Q83,'[2]Doc Set'!E:E,'[2]Doc Set'!H:H)</f>
        <v>43521</v>
      </c>
      <c r="S83" s="143" t="s">
        <v>200</v>
      </c>
    </row>
    <row r="84" spans="1:19" x14ac:dyDescent="0.3">
      <c r="A84" s="156" t="s">
        <v>40</v>
      </c>
      <c r="B84" s="157" t="s">
        <v>190</v>
      </c>
      <c r="C84" s="157" t="s">
        <v>191</v>
      </c>
      <c r="D84" s="158" t="s">
        <v>64</v>
      </c>
      <c r="E84" s="55" t="s">
        <v>193</v>
      </c>
      <c r="F84" s="55" t="s">
        <v>194</v>
      </c>
      <c r="G84" s="55" t="s">
        <v>892</v>
      </c>
      <c r="H84" s="55" t="s">
        <v>893</v>
      </c>
      <c r="I84" s="139" t="s">
        <v>51</v>
      </c>
      <c r="J84" s="159" t="s">
        <v>894</v>
      </c>
      <c r="K84" s="55">
        <v>20038918</v>
      </c>
      <c r="L84" s="55" t="s">
        <v>198</v>
      </c>
      <c r="M84" s="141" t="str">
        <f t="shared" si="3"/>
        <v>EH1-INT_D</v>
      </c>
      <c r="N84" s="142" t="str">
        <f>LOOKUP(M84,'[2]Doc Set'!E:E,'[2]Doc Set'!F:F)</f>
        <v>_</v>
      </c>
      <c r="O84" s="141" t="s">
        <v>714</v>
      </c>
      <c r="P84" s="142">
        <f>+LOOKUP(O84,'[2]Doc Set'!E:E,'[2]Doc Set'!G:G)</f>
        <v>43493</v>
      </c>
      <c r="Q84" s="55" t="str">
        <f t="shared" si="2"/>
        <v>EH1-INT_D</v>
      </c>
      <c r="R84" s="142">
        <f>+LOOKUP(Q84,'[2]Doc Set'!E:E,'[2]Doc Set'!H:H)</f>
        <v>43521</v>
      </c>
      <c r="S84" s="143" t="s">
        <v>200</v>
      </c>
    </row>
    <row r="85" spans="1:19" x14ac:dyDescent="0.3">
      <c r="A85" s="156" t="s">
        <v>40</v>
      </c>
      <c r="B85" s="157" t="s">
        <v>190</v>
      </c>
      <c r="C85" s="157" t="s">
        <v>191</v>
      </c>
      <c r="D85" s="158" t="s">
        <v>64</v>
      </c>
      <c r="E85" s="55" t="s">
        <v>193</v>
      </c>
      <c r="F85" s="55" t="s">
        <v>194</v>
      </c>
      <c r="G85" s="55" t="s">
        <v>895</v>
      </c>
      <c r="H85" s="55" t="s">
        <v>896</v>
      </c>
      <c r="I85" s="139" t="s">
        <v>51</v>
      </c>
      <c r="J85" s="159" t="s">
        <v>897</v>
      </c>
      <c r="K85" s="55">
        <v>20038918</v>
      </c>
      <c r="L85" s="55" t="s">
        <v>198</v>
      </c>
      <c r="M85" s="141" t="str">
        <f t="shared" si="3"/>
        <v>EH1-INT_D</v>
      </c>
      <c r="N85" s="142" t="str">
        <f>LOOKUP(M85,'[2]Doc Set'!E:E,'[2]Doc Set'!F:F)</f>
        <v>_</v>
      </c>
      <c r="O85" s="141" t="s">
        <v>714</v>
      </c>
      <c r="P85" s="142">
        <f>+LOOKUP(O85,'[2]Doc Set'!E:E,'[2]Doc Set'!G:G)</f>
        <v>43493</v>
      </c>
      <c r="Q85" s="55" t="str">
        <f t="shared" si="2"/>
        <v>EH1-INT_D</v>
      </c>
      <c r="R85" s="142">
        <f>+LOOKUP(Q85,'[2]Doc Set'!E:E,'[2]Doc Set'!H:H)</f>
        <v>43521</v>
      </c>
      <c r="S85" s="143" t="s">
        <v>200</v>
      </c>
    </row>
    <row r="86" spans="1:19" x14ac:dyDescent="0.3">
      <c r="A86" s="156" t="s">
        <v>40</v>
      </c>
      <c r="B86" s="157" t="s">
        <v>190</v>
      </c>
      <c r="C86" s="157" t="s">
        <v>191</v>
      </c>
      <c r="D86" s="158" t="s">
        <v>64</v>
      </c>
      <c r="E86" s="55" t="s">
        <v>193</v>
      </c>
      <c r="F86" s="55" t="s">
        <v>194</v>
      </c>
      <c r="G86" s="55" t="s">
        <v>385</v>
      </c>
      <c r="H86" s="55" t="s">
        <v>898</v>
      </c>
      <c r="I86" s="139" t="s">
        <v>51</v>
      </c>
      <c r="J86" s="159" t="s">
        <v>899</v>
      </c>
      <c r="K86" s="55">
        <v>20038918</v>
      </c>
      <c r="L86" s="55" t="s">
        <v>198</v>
      </c>
      <c r="M86" s="141" t="str">
        <f t="shared" si="3"/>
        <v>EH1-INT_D</v>
      </c>
      <c r="N86" s="142" t="str">
        <f>LOOKUP(M86,'[2]Doc Set'!E:E,'[2]Doc Set'!F:F)</f>
        <v>_</v>
      </c>
      <c r="O86" s="141" t="s">
        <v>714</v>
      </c>
      <c r="P86" s="142">
        <f>+LOOKUP(O86,'[2]Doc Set'!E:E,'[2]Doc Set'!G:G)</f>
        <v>43493</v>
      </c>
      <c r="Q86" s="55" t="str">
        <f t="shared" si="2"/>
        <v>EH1-INT_D</v>
      </c>
      <c r="R86" s="142">
        <f>+LOOKUP(Q86,'[2]Doc Set'!E:E,'[2]Doc Set'!H:H)</f>
        <v>43521</v>
      </c>
      <c r="S86" s="143" t="s">
        <v>200</v>
      </c>
    </row>
    <row r="87" spans="1:19" x14ac:dyDescent="0.3">
      <c r="A87" s="156" t="s">
        <v>40</v>
      </c>
      <c r="B87" s="157" t="s">
        <v>190</v>
      </c>
      <c r="C87" s="157" t="s">
        <v>191</v>
      </c>
      <c r="D87" s="158" t="s">
        <v>64</v>
      </c>
      <c r="E87" s="55" t="s">
        <v>193</v>
      </c>
      <c r="F87" s="55" t="s">
        <v>194</v>
      </c>
      <c r="G87" s="55" t="s">
        <v>900</v>
      </c>
      <c r="H87" s="55" t="s">
        <v>901</v>
      </c>
      <c r="I87" s="139" t="s">
        <v>51</v>
      </c>
      <c r="J87" s="159" t="s">
        <v>902</v>
      </c>
      <c r="K87" s="55">
        <v>20038918</v>
      </c>
      <c r="L87" s="55" t="s">
        <v>198</v>
      </c>
      <c r="M87" s="141" t="str">
        <f t="shared" si="3"/>
        <v>EH1-INT_D</v>
      </c>
      <c r="N87" s="142" t="str">
        <f>LOOKUP(M87,'[2]Doc Set'!E:E,'[2]Doc Set'!F:F)</f>
        <v>_</v>
      </c>
      <c r="O87" s="141" t="s">
        <v>714</v>
      </c>
      <c r="P87" s="142">
        <f>+LOOKUP(O87,'[2]Doc Set'!E:E,'[2]Doc Set'!G:G)</f>
        <v>43493</v>
      </c>
      <c r="Q87" s="55" t="str">
        <f t="shared" si="2"/>
        <v>EH1-INT_D</v>
      </c>
      <c r="R87" s="142">
        <f>+LOOKUP(Q87,'[2]Doc Set'!E:E,'[2]Doc Set'!H:H)</f>
        <v>43521</v>
      </c>
      <c r="S87" s="143" t="s">
        <v>200</v>
      </c>
    </row>
    <row r="88" spans="1:19" x14ac:dyDescent="0.3">
      <c r="A88" s="156" t="s">
        <v>40</v>
      </c>
      <c r="B88" s="157" t="s">
        <v>190</v>
      </c>
      <c r="C88" s="157" t="s">
        <v>191</v>
      </c>
      <c r="D88" s="158" t="s">
        <v>64</v>
      </c>
      <c r="E88" s="55" t="s">
        <v>193</v>
      </c>
      <c r="F88" s="55" t="s">
        <v>194</v>
      </c>
      <c r="G88" s="55" t="s">
        <v>903</v>
      </c>
      <c r="H88" s="55" t="s">
        <v>904</v>
      </c>
      <c r="I88" s="139" t="s">
        <v>51</v>
      </c>
      <c r="J88" s="159" t="s">
        <v>905</v>
      </c>
      <c r="K88" s="55">
        <v>20038918</v>
      </c>
      <c r="L88" s="55" t="s">
        <v>198</v>
      </c>
      <c r="M88" s="141" t="str">
        <f t="shared" si="3"/>
        <v>EH1-INT_D</v>
      </c>
      <c r="N88" s="142" t="str">
        <f>LOOKUP(M88,'[2]Doc Set'!E:E,'[2]Doc Set'!F:F)</f>
        <v>_</v>
      </c>
      <c r="O88" s="141" t="s">
        <v>714</v>
      </c>
      <c r="P88" s="142">
        <f>+LOOKUP(O88,'[2]Doc Set'!E:E,'[2]Doc Set'!G:G)</f>
        <v>43493</v>
      </c>
      <c r="Q88" s="55" t="str">
        <f t="shared" si="2"/>
        <v>EH1-INT_D</v>
      </c>
      <c r="R88" s="142">
        <f>+LOOKUP(Q88,'[2]Doc Set'!E:E,'[2]Doc Set'!H:H)</f>
        <v>43521</v>
      </c>
      <c r="S88" s="143" t="s">
        <v>200</v>
      </c>
    </row>
    <row r="89" spans="1:19" x14ac:dyDescent="0.3">
      <c r="A89" s="156" t="s">
        <v>40</v>
      </c>
      <c r="B89" s="157" t="s">
        <v>190</v>
      </c>
      <c r="C89" s="157" t="s">
        <v>191</v>
      </c>
      <c r="D89" s="158" t="s">
        <v>64</v>
      </c>
      <c r="E89" s="55" t="s">
        <v>193</v>
      </c>
      <c r="F89" s="55" t="s">
        <v>194</v>
      </c>
      <c r="G89" s="55" t="s">
        <v>406</v>
      </c>
      <c r="H89" s="55" t="s">
        <v>906</v>
      </c>
      <c r="I89" s="139" t="s">
        <v>51</v>
      </c>
      <c r="J89" s="159" t="s">
        <v>907</v>
      </c>
      <c r="K89" s="55">
        <v>20038918</v>
      </c>
      <c r="L89" s="55" t="s">
        <v>198</v>
      </c>
      <c r="M89" s="141" t="str">
        <f t="shared" si="3"/>
        <v>EH1-INT_D</v>
      </c>
      <c r="N89" s="142" t="str">
        <f>LOOKUP(M89,'[2]Doc Set'!E:E,'[2]Doc Set'!F:F)</f>
        <v>_</v>
      </c>
      <c r="O89" s="141" t="s">
        <v>714</v>
      </c>
      <c r="P89" s="142">
        <f>+LOOKUP(O89,'[2]Doc Set'!E:E,'[2]Doc Set'!G:G)</f>
        <v>43493</v>
      </c>
      <c r="Q89" s="55" t="str">
        <f t="shared" si="2"/>
        <v>EH1-INT_D</v>
      </c>
      <c r="R89" s="142">
        <f>+LOOKUP(Q89,'[2]Doc Set'!E:E,'[2]Doc Set'!H:H)</f>
        <v>43521</v>
      </c>
      <c r="S89" s="143" t="s">
        <v>200</v>
      </c>
    </row>
    <row r="90" spans="1:19" x14ac:dyDescent="0.3">
      <c r="A90" s="156" t="s">
        <v>40</v>
      </c>
      <c r="B90" s="157" t="s">
        <v>190</v>
      </c>
      <c r="C90" s="157" t="s">
        <v>191</v>
      </c>
      <c r="D90" s="158" t="s">
        <v>64</v>
      </c>
      <c r="E90" s="55" t="s">
        <v>193</v>
      </c>
      <c r="F90" s="55" t="s">
        <v>194</v>
      </c>
      <c r="G90" s="55" t="s">
        <v>908</v>
      </c>
      <c r="H90" s="55" t="s">
        <v>909</v>
      </c>
      <c r="I90" s="139" t="s">
        <v>51</v>
      </c>
      <c r="J90" s="159" t="s">
        <v>910</v>
      </c>
      <c r="K90" s="55">
        <v>20038918</v>
      </c>
      <c r="L90" s="55" t="s">
        <v>198</v>
      </c>
      <c r="M90" s="141" t="str">
        <f t="shared" si="3"/>
        <v>EH1-INT_D</v>
      </c>
      <c r="N90" s="142" t="str">
        <f>LOOKUP(M90,'[2]Doc Set'!E:E,'[2]Doc Set'!F:F)</f>
        <v>_</v>
      </c>
      <c r="O90" s="141" t="s">
        <v>714</v>
      </c>
      <c r="P90" s="142">
        <f>+LOOKUP(O90,'[2]Doc Set'!E:E,'[2]Doc Set'!G:G)</f>
        <v>43493</v>
      </c>
      <c r="Q90" s="55" t="str">
        <f t="shared" si="2"/>
        <v>EH1-INT_D</v>
      </c>
      <c r="R90" s="142">
        <f>+LOOKUP(Q90,'[2]Doc Set'!E:E,'[2]Doc Set'!H:H)</f>
        <v>43521</v>
      </c>
      <c r="S90" s="143" t="s">
        <v>200</v>
      </c>
    </row>
    <row r="91" spans="1:19" x14ac:dyDescent="0.3">
      <c r="A91" s="156" t="s">
        <v>40</v>
      </c>
      <c r="B91" s="157" t="s">
        <v>190</v>
      </c>
      <c r="C91" s="157" t="s">
        <v>191</v>
      </c>
      <c r="D91" s="158" t="s">
        <v>64</v>
      </c>
      <c r="E91" s="55" t="s">
        <v>193</v>
      </c>
      <c r="F91" s="55" t="s">
        <v>194</v>
      </c>
      <c r="G91" s="55" t="s">
        <v>911</v>
      </c>
      <c r="H91" s="55" t="s">
        <v>912</v>
      </c>
      <c r="I91" s="139" t="s">
        <v>51</v>
      </c>
      <c r="J91" s="159" t="s">
        <v>913</v>
      </c>
      <c r="K91" s="55">
        <v>20038918</v>
      </c>
      <c r="L91" s="55" t="s">
        <v>198</v>
      </c>
      <c r="M91" s="141" t="str">
        <f t="shared" si="3"/>
        <v>EH1-INT_D</v>
      </c>
      <c r="N91" s="142" t="str">
        <f>LOOKUP(M91,'[2]Doc Set'!E:E,'[2]Doc Set'!F:F)</f>
        <v>_</v>
      </c>
      <c r="O91" s="141" t="s">
        <v>714</v>
      </c>
      <c r="P91" s="142">
        <f>+LOOKUP(O91,'[2]Doc Set'!E:E,'[2]Doc Set'!G:G)</f>
        <v>43493</v>
      </c>
      <c r="Q91" s="55" t="str">
        <f t="shared" si="2"/>
        <v>EH1-INT_D</v>
      </c>
      <c r="R91" s="142">
        <f>+LOOKUP(Q91,'[2]Doc Set'!E:E,'[2]Doc Set'!H:H)</f>
        <v>43521</v>
      </c>
      <c r="S91" s="143" t="s">
        <v>200</v>
      </c>
    </row>
    <row r="92" spans="1:19" x14ac:dyDescent="0.3">
      <c r="A92" s="156" t="s">
        <v>40</v>
      </c>
      <c r="B92" s="157" t="s">
        <v>190</v>
      </c>
      <c r="C92" s="157" t="s">
        <v>191</v>
      </c>
      <c r="D92" s="158" t="s">
        <v>64</v>
      </c>
      <c r="E92" s="55" t="s">
        <v>193</v>
      </c>
      <c r="F92" s="55" t="s">
        <v>194</v>
      </c>
      <c r="G92" s="55" t="s">
        <v>506</v>
      </c>
      <c r="H92" s="55" t="s">
        <v>914</v>
      </c>
      <c r="I92" s="139" t="s">
        <v>51</v>
      </c>
      <c r="J92" s="147" t="s">
        <v>915</v>
      </c>
      <c r="K92" s="55">
        <v>20038918</v>
      </c>
      <c r="L92" s="55" t="s">
        <v>198</v>
      </c>
      <c r="M92" s="141" t="str">
        <f t="shared" si="3"/>
        <v>EH1-INT_D</v>
      </c>
      <c r="N92" s="142" t="str">
        <f>LOOKUP(M92,'[2]Doc Set'!E:E,'[2]Doc Set'!F:F)</f>
        <v>_</v>
      </c>
      <c r="O92" s="141" t="s">
        <v>714</v>
      </c>
      <c r="P92" s="142">
        <f>+LOOKUP(O92,'[2]Doc Set'!E:E,'[2]Doc Set'!G:G)</f>
        <v>43493</v>
      </c>
      <c r="Q92" s="55" t="str">
        <f t="shared" si="2"/>
        <v>EH1-INT_D</v>
      </c>
      <c r="R92" s="142">
        <f>+LOOKUP(Q92,'[2]Doc Set'!E:E,'[2]Doc Set'!H:H)</f>
        <v>43521</v>
      </c>
      <c r="S92" s="143" t="s">
        <v>200</v>
      </c>
    </row>
    <row r="93" spans="1:19" x14ac:dyDescent="0.3">
      <c r="A93" s="156" t="s">
        <v>40</v>
      </c>
      <c r="B93" s="157" t="s">
        <v>190</v>
      </c>
      <c r="C93" s="157" t="s">
        <v>191</v>
      </c>
      <c r="D93" s="158" t="s">
        <v>64</v>
      </c>
      <c r="E93" s="55" t="s">
        <v>193</v>
      </c>
      <c r="F93" s="55" t="s">
        <v>194</v>
      </c>
      <c r="G93" s="55" t="s">
        <v>509</v>
      </c>
      <c r="H93" s="55" t="s">
        <v>916</v>
      </c>
      <c r="I93" s="139" t="s">
        <v>51</v>
      </c>
      <c r="J93" s="159" t="s">
        <v>917</v>
      </c>
      <c r="K93" s="55">
        <v>20038918</v>
      </c>
      <c r="L93" s="55" t="s">
        <v>198</v>
      </c>
      <c r="M93" s="141" t="str">
        <f t="shared" si="3"/>
        <v>EH1-INT_D</v>
      </c>
      <c r="N93" s="142" t="str">
        <f>LOOKUP(M93,'[2]Doc Set'!E:E,'[2]Doc Set'!F:F)</f>
        <v>_</v>
      </c>
      <c r="O93" s="141" t="s">
        <v>714</v>
      </c>
      <c r="P93" s="142">
        <f>+LOOKUP(O93,'[2]Doc Set'!E:E,'[2]Doc Set'!G:G)</f>
        <v>43493</v>
      </c>
      <c r="Q93" s="55" t="str">
        <f t="shared" si="2"/>
        <v>EH1-INT_D</v>
      </c>
      <c r="R93" s="142">
        <f>+LOOKUP(Q93,'[2]Doc Set'!E:E,'[2]Doc Set'!H:H)</f>
        <v>43521</v>
      </c>
      <c r="S93" s="143" t="s">
        <v>200</v>
      </c>
    </row>
    <row r="94" spans="1:19" x14ac:dyDescent="0.3">
      <c r="A94" s="156" t="s">
        <v>40</v>
      </c>
      <c r="B94" s="157" t="s">
        <v>190</v>
      </c>
      <c r="C94" s="157" t="s">
        <v>191</v>
      </c>
      <c r="D94" s="158" t="s">
        <v>64</v>
      </c>
      <c r="E94" s="55" t="s">
        <v>193</v>
      </c>
      <c r="F94" s="55" t="s">
        <v>194</v>
      </c>
      <c r="G94" s="55" t="s">
        <v>512</v>
      </c>
      <c r="H94" s="55" t="s">
        <v>918</v>
      </c>
      <c r="I94" s="139" t="s">
        <v>51</v>
      </c>
      <c r="J94" s="159" t="s">
        <v>919</v>
      </c>
      <c r="K94" s="55">
        <v>20038918</v>
      </c>
      <c r="L94" s="55" t="s">
        <v>198</v>
      </c>
      <c r="M94" s="141" t="str">
        <f t="shared" si="3"/>
        <v>EH1-INT_D</v>
      </c>
      <c r="N94" s="142" t="str">
        <f>LOOKUP(M94,'[2]Doc Set'!E:E,'[2]Doc Set'!F:F)</f>
        <v>_</v>
      </c>
      <c r="O94" s="141" t="s">
        <v>714</v>
      </c>
      <c r="P94" s="142">
        <f>+LOOKUP(O94,'[2]Doc Set'!E:E,'[2]Doc Set'!G:G)</f>
        <v>43493</v>
      </c>
      <c r="Q94" s="55" t="str">
        <f t="shared" si="2"/>
        <v>EH1-INT_D</v>
      </c>
      <c r="R94" s="142">
        <f>+LOOKUP(Q94,'[2]Doc Set'!E:E,'[2]Doc Set'!H:H)</f>
        <v>43521</v>
      </c>
      <c r="S94" s="143" t="s">
        <v>200</v>
      </c>
    </row>
    <row r="95" spans="1:19" x14ac:dyDescent="0.3">
      <c r="A95" s="156" t="s">
        <v>40</v>
      </c>
      <c r="B95" s="157" t="s">
        <v>190</v>
      </c>
      <c r="C95" s="157" t="s">
        <v>191</v>
      </c>
      <c r="D95" s="158" t="s">
        <v>64</v>
      </c>
      <c r="E95" s="55" t="s">
        <v>193</v>
      </c>
      <c r="F95" s="55" t="s">
        <v>663</v>
      </c>
      <c r="G95" s="55" t="s">
        <v>685</v>
      </c>
      <c r="H95" s="55" t="s">
        <v>920</v>
      </c>
      <c r="I95" s="139" t="s">
        <v>134</v>
      </c>
      <c r="J95" s="147" t="s">
        <v>921</v>
      </c>
      <c r="K95" s="55">
        <v>20038918</v>
      </c>
      <c r="L95" s="55" t="s">
        <v>198</v>
      </c>
      <c r="M95" s="141" t="str">
        <f t="shared" si="3"/>
        <v>EH1-INT_D</v>
      </c>
      <c r="N95" s="142" t="str">
        <f>LOOKUP(M95,'[2]Doc Set'!E:E,'[2]Doc Set'!F:F)</f>
        <v>_</v>
      </c>
      <c r="O95" s="141" t="s">
        <v>714</v>
      </c>
      <c r="P95" s="142">
        <f>+LOOKUP(O95,'[2]Doc Set'!E:E,'[2]Doc Set'!G:G)</f>
        <v>43493</v>
      </c>
      <c r="Q95" s="55" t="str">
        <f t="shared" si="2"/>
        <v>EH1-INT_D</v>
      </c>
      <c r="R95" s="142">
        <f>+LOOKUP(Q95,'[2]Doc Set'!E:E,'[2]Doc Set'!H:H)</f>
        <v>43521</v>
      </c>
      <c r="S95" s="143" t="s">
        <v>200</v>
      </c>
    </row>
    <row r="96" spans="1:19" x14ac:dyDescent="0.3">
      <c r="A96" s="156" t="s">
        <v>40</v>
      </c>
      <c r="B96" s="157" t="s">
        <v>190</v>
      </c>
      <c r="C96" s="157" t="s">
        <v>191</v>
      </c>
      <c r="D96" s="158" t="s">
        <v>64</v>
      </c>
      <c r="E96" s="55" t="s">
        <v>193</v>
      </c>
      <c r="F96" s="55" t="s">
        <v>663</v>
      </c>
      <c r="G96" s="55" t="s">
        <v>688</v>
      </c>
      <c r="H96" s="55" t="s">
        <v>922</v>
      </c>
      <c r="I96" s="139" t="s">
        <v>134</v>
      </c>
      <c r="J96" s="159" t="s">
        <v>923</v>
      </c>
      <c r="K96" s="55">
        <v>20038918</v>
      </c>
      <c r="L96" s="55" t="s">
        <v>198</v>
      </c>
      <c r="M96" s="141" t="str">
        <f t="shared" si="3"/>
        <v>EH1-INT_D</v>
      </c>
      <c r="N96" s="142" t="str">
        <f>LOOKUP(M96,'[2]Doc Set'!E:E,'[2]Doc Set'!F:F)</f>
        <v>_</v>
      </c>
      <c r="O96" s="141" t="s">
        <v>714</v>
      </c>
      <c r="P96" s="142">
        <f>+LOOKUP(O96,'[2]Doc Set'!E:E,'[2]Doc Set'!G:G)</f>
        <v>43493</v>
      </c>
      <c r="Q96" s="55" t="str">
        <f t="shared" si="2"/>
        <v>EH1-INT_D</v>
      </c>
      <c r="R96" s="142">
        <f>+LOOKUP(Q96,'[2]Doc Set'!E:E,'[2]Doc Set'!H:H)</f>
        <v>43521</v>
      </c>
      <c r="S96" s="143" t="s">
        <v>200</v>
      </c>
    </row>
    <row r="97" spans="1:19" x14ac:dyDescent="0.3">
      <c r="A97" s="156" t="s">
        <v>40</v>
      </c>
      <c r="B97" s="157" t="s">
        <v>190</v>
      </c>
      <c r="C97" s="157" t="s">
        <v>191</v>
      </c>
      <c r="D97" s="158" t="s">
        <v>64</v>
      </c>
      <c r="E97" s="55" t="s">
        <v>193</v>
      </c>
      <c r="F97" s="55" t="s">
        <v>663</v>
      </c>
      <c r="G97" s="55" t="s">
        <v>691</v>
      </c>
      <c r="H97" s="55" t="s">
        <v>924</v>
      </c>
      <c r="I97" s="139" t="s">
        <v>134</v>
      </c>
      <c r="J97" s="159" t="s">
        <v>925</v>
      </c>
      <c r="K97" s="55">
        <v>20038918</v>
      </c>
      <c r="L97" s="55" t="s">
        <v>198</v>
      </c>
      <c r="M97" s="141" t="str">
        <f t="shared" si="3"/>
        <v>EH1-INT_D</v>
      </c>
      <c r="N97" s="142" t="str">
        <f>LOOKUP(M97,'[2]Doc Set'!E:E,'[2]Doc Set'!F:F)</f>
        <v>_</v>
      </c>
      <c r="O97" s="141" t="s">
        <v>714</v>
      </c>
      <c r="P97" s="142">
        <f>+LOOKUP(O97,'[2]Doc Set'!E:E,'[2]Doc Set'!G:G)</f>
        <v>43493</v>
      </c>
      <c r="Q97" s="55" t="str">
        <f t="shared" si="2"/>
        <v>EH1-INT_D</v>
      </c>
      <c r="R97" s="142">
        <f>+LOOKUP(Q97,'[2]Doc Set'!E:E,'[2]Doc Set'!H:H)</f>
        <v>43521</v>
      </c>
      <c r="S97" s="143" t="s">
        <v>200</v>
      </c>
    </row>
    <row r="98" spans="1:19" x14ac:dyDescent="0.3">
      <c r="A98" s="156" t="s">
        <v>40</v>
      </c>
      <c r="B98" s="157" t="s">
        <v>190</v>
      </c>
      <c r="C98" s="157" t="s">
        <v>191</v>
      </c>
      <c r="D98" s="158" t="s">
        <v>64</v>
      </c>
      <c r="E98" s="55" t="s">
        <v>193</v>
      </c>
      <c r="F98" s="55" t="s">
        <v>663</v>
      </c>
      <c r="G98" s="55" t="s">
        <v>926</v>
      </c>
      <c r="H98" s="55" t="s">
        <v>927</v>
      </c>
      <c r="I98" s="139" t="s">
        <v>134</v>
      </c>
      <c r="J98" s="159" t="s">
        <v>928</v>
      </c>
      <c r="K98" s="55">
        <v>20038918</v>
      </c>
      <c r="L98" s="55" t="s">
        <v>198</v>
      </c>
      <c r="M98" s="141" t="str">
        <f t="shared" si="3"/>
        <v>EH1-INT_D</v>
      </c>
      <c r="N98" s="142" t="str">
        <f>LOOKUP(M98,'[2]Doc Set'!E:E,'[2]Doc Set'!F:F)</f>
        <v>_</v>
      </c>
      <c r="O98" s="141" t="s">
        <v>714</v>
      </c>
      <c r="P98" s="142">
        <f>+LOOKUP(O98,'[2]Doc Set'!E:E,'[2]Doc Set'!G:G)</f>
        <v>43493</v>
      </c>
      <c r="Q98" s="55" t="str">
        <f t="shared" si="2"/>
        <v>EH1-INT_D</v>
      </c>
      <c r="R98" s="142">
        <f>+LOOKUP(Q98,'[2]Doc Set'!E:E,'[2]Doc Set'!H:H)</f>
        <v>43521</v>
      </c>
      <c r="S98" s="143" t="s">
        <v>200</v>
      </c>
    </row>
  </sheetData>
  <autoFilter ref="A1:S98"/>
  <conditionalFormatting sqref="G1:G1048576">
    <cfRule type="duplicateValues" dxfId="11" priority="2"/>
    <cfRule type="duplicateValues" dxfId="10" priority="3"/>
    <cfRule type="duplicateValues" dxfId="9" priority="4"/>
  </conditionalFormatting>
  <conditionalFormatting sqref="H1:H1048576">
    <cfRule type="duplicateValues" dxfId="8" priority="1"/>
  </conditionalFormatting>
  <dataValidations count="1">
    <dataValidation type="list" allowBlank="1" showInputMessage="1" showErrorMessage="1" sqref="O2:O98 M2:M98">
      <formula1>Document_Set_Name</formula1>
    </dataValidation>
  </dataValidations>
  <pageMargins left="0.7" right="0.7" top="0.75" bottom="0.75" header="0.3" footer="0.3"/>
  <pageSetup orientation="portrait" r:id="rId1"/>
  <headerFooter>
    <oddFooter>&amp;L&amp;1#&amp;"Calibri"&amp;8 Sensitivity: LNT Construction Internal Use</odd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S169"/>
  <sheetViews>
    <sheetView topLeftCell="H160" zoomScaleNormal="100" workbookViewId="0">
      <selection activeCell="I60" sqref="I60"/>
    </sheetView>
  </sheetViews>
  <sheetFormatPr defaultRowHeight="14.4" x14ac:dyDescent="0.3"/>
  <cols>
    <col min="1" max="1" width="11.44140625" bestFit="1" customWidth="1"/>
    <col min="3" max="3" width="11.109375" bestFit="1" customWidth="1"/>
    <col min="4" max="4" width="11.33203125" style="155" bestFit="1" customWidth="1"/>
    <col min="5" max="5" width="10.5546875" bestFit="1" customWidth="1"/>
    <col min="6" max="6" width="8.5546875" bestFit="1" customWidth="1"/>
    <col min="8" max="8" width="22.5546875" bestFit="1" customWidth="1"/>
    <col min="10" max="10" width="56.5546875" bestFit="1" customWidth="1"/>
    <col min="11" max="11" width="11.6640625" customWidth="1"/>
    <col min="12" max="14" width="14.6640625" customWidth="1"/>
    <col min="15" max="15" width="13.6640625" customWidth="1"/>
    <col min="16" max="16" width="12.5546875" bestFit="1" customWidth="1"/>
    <col min="17" max="17" width="9.109375" customWidth="1"/>
    <col min="18" max="18" width="9.6640625" bestFit="1" customWidth="1"/>
    <col min="19" max="19" width="13.88671875" customWidth="1"/>
  </cols>
  <sheetData>
    <row r="1" spans="1:19" s="136" customFormat="1" x14ac:dyDescent="0.3">
      <c r="A1" s="136" t="s">
        <v>174</v>
      </c>
      <c r="B1" s="136" t="s">
        <v>175</v>
      </c>
      <c r="C1" s="136" t="s">
        <v>176</v>
      </c>
      <c r="D1" s="137" t="s">
        <v>177</v>
      </c>
      <c r="E1" s="136" t="s">
        <v>178</v>
      </c>
      <c r="F1" s="136" t="s">
        <v>179</v>
      </c>
      <c r="G1" s="136" t="s">
        <v>180</v>
      </c>
      <c r="H1" s="136" t="s">
        <v>181</v>
      </c>
      <c r="I1" s="136" t="s">
        <v>182</v>
      </c>
      <c r="J1" s="136" t="s">
        <v>183</v>
      </c>
      <c r="K1" s="136" t="s">
        <v>184</v>
      </c>
      <c r="L1" s="136" t="s">
        <v>185</v>
      </c>
      <c r="M1" s="136" t="s">
        <v>34</v>
      </c>
      <c r="N1" s="136" t="s">
        <v>186</v>
      </c>
      <c r="O1" s="136" t="s">
        <v>67</v>
      </c>
      <c r="P1" s="136" t="s">
        <v>187</v>
      </c>
      <c r="Q1" s="136" t="s">
        <v>133</v>
      </c>
      <c r="R1" s="136" t="s">
        <v>188</v>
      </c>
      <c r="S1" s="136" t="s">
        <v>189</v>
      </c>
    </row>
    <row r="2" spans="1:19" x14ac:dyDescent="0.3">
      <c r="A2" s="55" t="s">
        <v>40</v>
      </c>
      <c r="B2" s="55" t="s">
        <v>190</v>
      </c>
      <c r="C2" s="55" t="s">
        <v>191</v>
      </c>
      <c r="D2" s="138" t="s">
        <v>192</v>
      </c>
      <c r="E2" s="55" t="s">
        <v>193</v>
      </c>
      <c r="F2" s="55" t="s">
        <v>194</v>
      </c>
      <c r="G2" s="55" t="s">
        <v>195</v>
      </c>
      <c r="H2" s="55" t="s">
        <v>196</v>
      </c>
      <c r="I2" s="139" t="s">
        <v>51</v>
      </c>
      <c r="J2" s="140" t="s">
        <v>197</v>
      </c>
      <c r="K2" s="55">
        <v>20038918</v>
      </c>
      <c r="L2" s="55" t="s">
        <v>198</v>
      </c>
      <c r="M2" s="141" t="str">
        <f>+O2</f>
        <v>CC-INT_D</v>
      </c>
      <c r="N2" s="142" t="str">
        <f>LOOKUP(M2,'[2]Doc Set'!E:E,'[2]Doc Set'!F:F)</f>
        <v>_</v>
      </c>
      <c r="O2" s="141" t="s">
        <v>199</v>
      </c>
      <c r="P2" s="142">
        <f>+LOOKUP(O2,'[2]Doc Set'!E:E,'[2]Doc Set'!G:G)</f>
        <v>43437</v>
      </c>
      <c r="Q2" s="55" t="str">
        <f>+O2</f>
        <v>CC-INT_D</v>
      </c>
      <c r="R2" s="142">
        <f>+LOOKUP(Q2,'[2]Doc Set'!E:E,'[2]Doc Set'!H:H)</f>
        <v>43514</v>
      </c>
      <c r="S2" s="143" t="s">
        <v>200</v>
      </c>
    </row>
    <row r="3" spans="1:19" x14ac:dyDescent="0.3">
      <c r="A3" s="55" t="s">
        <v>40</v>
      </c>
      <c r="B3" s="55" t="s">
        <v>190</v>
      </c>
      <c r="C3" s="55" t="s">
        <v>191</v>
      </c>
      <c r="D3" s="138" t="s">
        <v>192</v>
      </c>
      <c r="E3" s="55" t="s">
        <v>193</v>
      </c>
      <c r="F3" s="55" t="s">
        <v>194</v>
      </c>
      <c r="G3" s="55" t="s">
        <v>201</v>
      </c>
      <c r="H3" s="55" t="s">
        <v>202</v>
      </c>
      <c r="I3" s="139" t="s">
        <v>51</v>
      </c>
      <c r="J3" s="140" t="s">
        <v>203</v>
      </c>
      <c r="K3" s="55">
        <v>20038918</v>
      </c>
      <c r="L3" s="55" t="s">
        <v>198</v>
      </c>
      <c r="M3" s="141" t="str">
        <f t="shared" ref="M3:M66" si="0">+O3</f>
        <v>CC-INT_D</v>
      </c>
      <c r="N3" s="142" t="str">
        <f>LOOKUP(M3,'[2]Doc Set'!E:E,'[2]Doc Set'!F:F)</f>
        <v>_</v>
      </c>
      <c r="O3" s="141" t="s">
        <v>199</v>
      </c>
      <c r="P3" s="142">
        <f>+LOOKUP(O3,'[2]Doc Set'!E:E,'[2]Doc Set'!G:G)</f>
        <v>43437</v>
      </c>
      <c r="Q3" s="55" t="str">
        <f t="shared" ref="Q3:Q66" si="1">+O3</f>
        <v>CC-INT_D</v>
      </c>
      <c r="R3" s="142">
        <f>+LOOKUP(Q3,'[2]Doc Set'!E:E,'[2]Doc Set'!H:H)</f>
        <v>43514</v>
      </c>
      <c r="S3" s="143" t="s">
        <v>200</v>
      </c>
    </row>
    <row r="4" spans="1:19" x14ac:dyDescent="0.3">
      <c r="A4" s="55" t="s">
        <v>40</v>
      </c>
      <c r="B4" s="55" t="s">
        <v>190</v>
      </c>
      <c r="C4" s="55" t="s">
        <v>191</v>
      </c>
      <c r="D4" s="138" t="s">
        <v>192</v>
      </c>
      <c r="E4" s="55" t="s">
        <v>193</v>
      </c>
      <c r="F4" s="55" t="s">
        <v>194</v>
      </c>
      <c r="G4" s="55" t="s">
        <v>204</v>
      </c>
      <c r="H4" s="55" t="s">
        <v>205</v>
      </c>
      <c r="I4" s="139" t="s">
        <v>51</v>
      </c>
      <c r="J4" s="140" t="s">
        <v>206</v>
      </c>
      <c r="K4" s="55">
        <v>20038918</v>
      </c>
      <c r="L4" s="55" t="s">
        <v>198</v>
      </c>
      <c r="M4" s="141" t="str">
        <f t="shared" si="0"/>
        <v>CC-INT_D</v>
      </c>
      <c r="N4" s="142" t="str">
        <f>LOOKUP(M4,'[2]Doc Set'!E:E,'[2]Doc Set'!F:F)</f>
        <v>_</v>
      </c>
      <c r="O4" s="141" t="s">
        <v>199</v>
      </c>
      <c r="P4" s="142">
        <f>+LOOKUP(O4,'[2]Doc Set'!E:E,'[2]Doc Set'!G:G)</f>
        <v>43437</v>
      </c>
      <c r="Q4" s="55" t="str">
        <f t="shared" si="1"/>
        <v>CC-INT_D</v>
      </c>
      <c r="R4" s="142">
        <f>+LOOKUP(Q4,'[2]Doc Set'!E:E,'[2]Doc Set'!H:H)</f>
        <v>43514</v>
      </c>
      <c r="S4" s="143" t="s">
        <v>200</v>
      </c>
    </row>
    <row r="5" spans="1:19" x14ac:dyDescent="0.3">
      <c r="A5" s="55" t="s">
        <v>40</v>
      </c>
      <c r="B5" s="55" t="s">
        <v>190</v>
      </c>
      <c r="C5" s="55" t="s">
        <v>191</v>
      </c>
      <c r="D5" s="138" t="s">
        <v>192</v>
      </c>
      <c r="E5" s="55" t="s">
        <v>193</v>
      </c>
      <c r="F5" s="55" t="s">
        <v>194</v>
      </c>
      <c r="G5" s="55" t="s">
        <v>207</v>
      </c>
      <c r="H5" s="55" t="s">
        <v>208</v>
      </c>
      <c r="I5" s="139" t="s">
        <v>51</v>
      </c>
      <c r="J5" s="140" t="s">
        <v>209</v>
      </c>
      <c r="K5" s="55">
        <v>20038918</v>
      </c>
      <c r="L5" s="55" t="s">
        <v>198</v>
      </c>
      <c r="M5" s="141" t="str">
        <f t="shared" si="0"/>
        <v>CC-INT_D</v>
      </c>
      <c r="N5" s="142" t="str">
        <f>LOOKUP(M5,'[2]Doc Set'!E:E,'[2]Doc Set'!F:F)</f>
        <v>_</v>
      </c>
      <c r="O5" s="141" t="s">
        <v>199</v>
      </c>
      <c r="P5" s="142">
        <f>+LOOKUP(O5,'[2]Doc Set'!E:E,'[2]Doc Set'!G:G)</f>
        <v>43437</v>
      </c>
      <c r="Q5" s="55" t="str">
        <f t="shared" si="1"/>
        <v>CC-INT_D</v>
      </c>
      <c r="R5" s="142">
        <f>+LOOKUP(Q5,'[2]Doc Set'!E:E,'[2]Doc Set'!H:H)</f>
        <v>43514</v>
      </c>
      <c r="S5" s="143" t="s">
        <v>200</v>
      </c>
    </row>
    <row r="6" spans="1:19" x14ac:dyDescent="0.3">
      <c r="A6" s="55" t="s">
        <v>40</v>
      </c>
      <c r="B6" s="55" t="s">
        <v>190</v>
      </c>
      <c r="C6" s="55" t="s">
        <v>191</v>
      </c>
      <c r="D6" s="138" t="s">
        <v>192</v>
      </c>
      <c r="E6" s="55" t="s">
        <v>193</v>
      </c>
      <c r="F6" s="55" t="s">
        <v>194</v>
      </c>
      <c r="G6" s="55" t="s">
        <v>210</v>
      </c>
      <c r="H6" s="55" t="s">
        <v>211</v>
      </c>
      <c r="I6" s="139" t="s">
        <v>51</v>
      </c>
      <c r="J6" s="140" t="s">
        <v>212</v>
      </c>
      <c r="K6" s="55">
        <v>20038918</v>
      </c>
      <c r="L6" s="55" t="s">
        <v>198</v>
      </c>
      <c r="M6" s="141" t="str">
        <f t="shared" si="0"/>
        <v>CC-INT_D</v>
      </c>
      <c r="N6" s="142" t="str">
        <f>LOOKUP(M6,'[2]Doc Set'!E:E,'[2]Doc Set'!F:F)</f>
        <v>_</v>
      </c>
      <c r="O6" s="141" t="s">
        <v>199</v>
      </c>
      <c r="P6" s="142">
        <f>+LOOKUP(O6,'[2]Doc Set'!E:E,'[2]Doc Set'!G:G)</f>
        <v>43437</v>
      </c>
      <c r="Q6" s="55" t="str">
        <f t="shared" si="1"/>
        <v>CC-INT_D</v>
      </c>
      <c r="R6" s="142">
        <f>+LOOKUP(Q6,'[2]Doc Set'!E:E,'[2]Doc Set'!H:H)</f>
        <v>43514</v>
      </c>
      <c r="S6" s="143" t="s">
        <v>200</v>
      </c>
    </row>
    <row r="7" spans="1:19" x14ac:dyDescent="0.3">
      <c r="A7" s="55" t="s">
        <v>40</v>
      </c>
      <c r="B7" s="55" t="s">
        <v>190</v>
      </c>
      <c r="C7" s="55" t="s">
        <v>191</v>
      </c>
      <c r="D7" s="138" t="s">
        <v>192</v>
      </c>
      <c r="E7" s="55" t="s">
        <v>193</v>
      </c>
      <c r="F7" s="55" t="s">
        <v>194</v>
      </c>
      <c r="G7" s="55" t="s">
        <v>213</v>
      </c>
      <c r="H7" s="55" t="s">
        <v>214</v>
      </c>
      <c r="I7" s="139" t="s">
        <v>51</v>
      </c>
      <c r="J7" s="140" t="s">
        <v>215</v>
      </c>
      <c r="K7" s="55">
        <v>20038918</v>
      </c>
      <c r="L7" s="55" t="s">
        <v>198</v>
      </c>
      <c r="M7" s="141" t="str">
        <f t="shared" si="0"/>
        <v>CC-INT_D</v>
      </c>
      <c r="N7" s="142" t="str">
        <f>LOOKUP(M7,'[2]Doc Set'!E:E,'[2]Doc Set'!F:F)</f>
        <v>_</v>
      </c>
      <c r="O7" s="141" t="s">
        <v>199</v>
      </c>
      <c r="P7" s="142">
        <f>+LOOKUP(O7,'[2]Doc Set'!E:E,'[2]Doc Set'!G:G)</f>
        <v>43437</v>
      </c>
      <c r="Q7" s="55" t="str">
        <f t="shared" si="1"/>
        <v>CC-INT_D</v>
      </c>
      <c r="R7" s="142">
        <f>+LOOKUP(Q7,'[2]Doc Set'!E:E,'[2]Doc Set'!H:H)</f>
        <v>43514</v>
      </c>
      <c r="S7" s="143" t="s">
        <v>200</v>
      </c>
    </row>
    <row r="8" spans="1:19" x14ac:dyDescent="0.3">
      <c r="A8" s="55" t="s">
        <v>40</v>
      </c>
      <c r="B8" s="55" t="s">
        <v>190</v>
      </c>
      <c r="C8" s="55" t="s">
        <v>191</v>
      </c>
      <c r="D8" s="138" t="s">
        <v>192</v>
      </c>
      <c r="E8" s="55" t="s">
        <v>193</v>
      </c>
      <c r="F8" s="55" t="s">
        <v>194</v>
      </c>
      <c r="G8" s="55" t="s">
        <v>216</v>
      </c>
      <c r="H8" s="55" t="s">
        <v>217</v>
      </c>
      <c r="I8" s="139" t="s">
        <v>51</v>
      </c>
      <c r="J8" s="140" t="s">
        <v>218</v>
      </c>
      <c r="K8" s="55">
        <v>20038918</v>
      </c>
      <c r="L8" s="55" t="s">
        <v>198</v>
      </c>
      <c r="M8" s="141" t="str">
        <f t="shared" si="0"/>
        <v>CC-INT_D</v>
      </c>
      <c r="N8" s="142" t="str">
        <f>LOOKUP(M8,'[2]Doc Set'!E:E,'[2]Doc Set'!F:F)</f>
        <v>_</v>
      </c>
      <c r="O8" s="141" t="s">
        <v>199</v>
      </c>
      <c r="P8" s="142">
        <f>+LOOKUP(O8,'[2]Doc Set'!E:E,'[2]Doc Set'!G:G)</f>
        <v>43437</v>
      </c>
      <c r="Q8" s="55" t="str">
        <f t="shared" si="1"/>
        <v>CC-INT_D</v>
      </c>
      <c r="R8" s="142">
        <f>+LOOKUP(Q8,'[2]Doc Set'!E:E,'[2]Doc Set'!H:H)</f>
        <v>43514</v>
      </c>
      <c r="S8" s="143" t="s">
        <v>200</v>
      </c>
    </row>
    <row r="9" spans="1:19" x14ac:dyDescent="0.3">
      <c r="A9" s="55" t="s">
        <v>40</v>
      </c>
      <c r="B9" s="55" t="s">
        <v>190</v>
      </c>
      <c r="C9" s="55" t="s">
        <v>191</v>
      </c>
      <c r="D9" s="138" t="s">
        <v>192</v>
      </c>
      <c r="E9" s="55" t="s">
        <v>193</v>
      </c>
      <c r="F9" s="55" t="s">
        <v>194</v>
      </c>
      <c r="G9" s="55" t="s">
        <v>219</v>
      </c>
      <c r="H9" s="55" t="s">
        <v>220</v>
      </c>
      <c r="I9" s="139" t="s">
        <v>51</v>
      </c>
      <c r="J9" s="140" t="s">
        <v>221</v>
      </c>
      <c r="K9" s="55">
        <v>20038918</v>
      </c>
      <c r="L9" s="55" t="s">
        <v>198</v>
      </c>
      <c r="M9" s="141" t="str">
        <f t="shared" si="0"/>
        <v>CC-INT_D</v>
      </c>
      <c r="N9" s="142" t="str">
        <f>LOOKUP(M9,'[2]Doc Set'!E:E,'[2]Doc Set'!F:F)</f>
        <v>_</v>
      </c>
      <c r="O9" s="141" t="s">
        <v>199</v>
      </c>
      <c r="P9" s="142">
        <f>+LOOKUP(O9,'[2]Doc Set'!E:E,'[2]Doc Set'!G:G)</f>
        <v>43437</v>
      </c>
      <c r="Q9" s="55" t="str">
        <f t="shared" si="1"/>
        <v>CC-INT_D</v>
      </c>
      <c r="R9" s="142">
        <f>+LOOKUP(Q9,'[2]Doc Set'!E:E,'[2]Doc Set'!H:H)</f>
        <v>43514</v>
      </c>
      <c r="S9" s="143" t="s">
        <v>200</v>
      </c>
    </row>
    <row r="10" spans="1:19" x14ac:dyDescent="0.3">
      <c r="A10" s="55" t="s">
        <v>40</v>
      </c>
      <c r="B10" s="55" t="s">
        <v>190</v>
      </c>
      <c r="C10" s="55" t="s">
        <v>191</v>
      </c>
      <c r="D10" s="138" t="s">
        <v>192</v>
      </c>
      <c r="E10" s="55" t="s">
        <v>193</v>
      </c>
      <c r="F10" s="55" t="s">
        <v>194</v>
      </c>
      <c r="G10" s="55" t="s">
        <v>222</v>
      </c>
      <c r="H10" s="55" t="s">
        <v>223</v>
      </c>
      <c r="I10" s="139" t="s">
        <v>51</v>
      </c>
      <c r="J10" s="140" t="s">
        <v>224</v>
      </c>
      <c r="K10" s="55">
        <v>20038918</v>
      </c>
      <c r="L10" s="55" t="s">
        <v>198</v>
      </c>
      <c r="M10" s="141" t="str">
        <f t="shared" si="0"/>
        <v>CC-INT_D</v>
      </c>
      <c r="N10" s="142" t="str">
        <f>LOOKUP(M10,'[2]Doc Set'!E:E,'[2]Doc Set'!F:F)</f>
        <v>_</v>
      </c>
      <c r="O10" s="141" t="s">
        <v>199</v>
      </c>
      <c r="P10" s="142">
        <f>+LOOKUP(O10,'[2]Doc Set'!E:E,'[2]Doc Set'!G:G)</f>
        <v>43437</v>
      </c>
      <c r="Q10" s="55" t="str">
        <f t="shared" si="1"/>
        <v>CC-INT_D</v>
      </c>
      <c r="R10" s="142">
        <f>+LOOKUP(Q10,'[2]Doc Set'!E:E,'[2]Doc Set'!H:H)</f>
        <v>43514</v>
      </c>
      <c r="S10" s="143" t="s">
        <v>200</v>
      </c>
    </row>
    <row r="11" spans="1:19" x14ac:dyDescent="0.3">
      <c r="A11" s="55" t="s">
        <v>40</v>
      </c>
      <c r="B11" s="55" t="s">
        <v>190</v>
      </c>
      <c r="C11" s="55" t="s">
        <v>191</v>
      </c>
      <c r="D11" s="138" t="s">
        <v>192</v>
      </c>
      <c r="E11" s="55" t="s">
        <v>193</v>
      </c>
      <c r="F11" s="55" t="s">
        <v>194</v>
      </c>
      <c r="G11" s="55" t="s">
        <v>225</v>
      </c>
      <c r="H11" s="55" t="s">
        <v>226</v>
      </c>
      <c r="I11" s="139" t="s">
        <v>51</v>
      </c>
      <c r="J11" s="140" t="s">
        <v>227</v>
      </c>
      <c r="K11" s="55">
        <v>20038918</v>
      </c>
      <c r="L11" s="55" t="s">
        <v>198</v>
      </c>
      <c r="M11" s="141" t="str">
        <f t="shared" si="0"/>
        <v>CC-INT_D</v>
      </c>
      <c r="N11" s="142" t="str">
        <f>LOOKUP(M11,'[2]Doc Set'!E:E,'[2]Doc Set'!F:F)</f>
        <v>_</v>
      </c>
      <c r="O11" s="141" t="s">
        <v>199</v>
      </c>
      <c r="P11" s="142">
        <f>+LOOKUP(O11,'[2]Doc Set'!E:E,'[2]Doc Set'!G:G)</f>
        <v>43437</v>
      </c>
      <c r="Q11" s="55" t="str">
        <f t="shared" si="1"/>
        <v>CC-INT_D</v>
      </c>
      <c r="R11" s="142">
        <f>+LOOKUP(Q11,'[2]Doc Set'!E:E,'[2]Doc Set'!H:H)</f>
        <v>43514</v>
      </c>
      <c r="S11" s="143" t="s">
        <v>200</v>
      </c>
    </row>
    <row r="12" spans="1:19" x14ac:dyDescent="0.3">
      <c r="A12" s="55" t="s">
        <v>40</v>
      </c>
      <c r="B12" s="55" t="s">
        <v>190</v>
      </c>
      <c r="C12" s="55" t="s">
        <v>191</v>
      </c>
      <c r="D12" s="138" t="s">
        <v>192</v>
      </c>
      <c r="E12" s="55" t="s">
        <v>193</v>
      </c>
      <c r="F12" s="55" t="s">
        <v>194</v>
      </c>
      <c r="G12" s="55" t="s">
        <v>228</v>
      </c>
      <c r="H12" s="55" t="s">
        <v>229</v>
      </c>
      <c r="I12" s="139" t="s">
        <v>51</v>
      </c>
      <c r="J12" s="140" t="s">
        <v>230</v>
      </c>
      <c r="K12" s="55">
        <v>20038918</v>
      </c>
      <c r="L12" s="55" t="s">
        <v>198</v>
      </c>
      <c r="M12" s="141" t="str">
        <f t="shared" si="0"/>
        <v>CC-INT_D</v>
      </c>
      <c r="N12" s="142" t="str">
        <f>LOOKUP(M12,'[2]Doc Set'!E:E,'[2]Doc Set'!F:F)</f>
        <v>_</v>
      </c>
      <c r="O12" s="141" t="s">
        <v>199</v>
      </c>
      <c r="P12" s="142">
        <f>+LOOKUP(O12,'[2]Doc Set'!E:E,'[2]Doc Set'!G:G)</f>
        <v>43437</v>
      </c>
      <c r="Q12" s="55" t="str">
        <f t="shared" si="1"/>
        <v>CC-INT_D</v>
      </c>
      <c r="R12" s="142">
        <f>+LOOKUP(Q12,'[2]Doc Set'!E:E,'[2]Doc Set'!H:H)</f>
        <v>43514</v>
      </c>
      <c r="S12" s="143" t="s">
        <v>200</v>
      </c>
    </row>
    <row r="13" spans="1:19" x14ac:dyDescent="0.3">
      <c r="A13" s="55" t="s">
        <v>40</v>
      </c>
      <c r="B13" s="55" t="s">
        <v>190</v>
      </c>
      <c r="C13" s="55" t="s">
        <v>191</v>
      </c>
      <c r="D13" s="138" t="s">
        <v>192</v>
      </c>
      <c r="E13" s="55" t="s">
        <v>193</v>
      </c>
      <c r="F13" s="55" t="s">
        <v>194</v>
      </c>
      <c r="G13" s="55" t="s">
        <v>231</v>
      </c>
      <c r="H13" s="55" t="s">
        <v>232</v>
      </c>
      <c r="I13" s="139" t="s">
        <v>51</v>
      </c>
      <c r="J13" s="140" t="s">
        <v>233</v>
      </c>
      <c r="K13" s="55">
        <v>20038918</v>
      </c>
      <c r="L13" s="55" t="s">
        <v>198</v>
      </c>
      <c r="M13" s="141" t="str">
        <f t="shared" si="0"/>
        <v>CC-INT_D</v>
      </c>
      <c r="N13" s="142" t="str">
        <f>LOOKUP(M13,'[2]Doc Set'!E:E,'[2]Doc Set'!F:F)</f>
        <v>_</v>
      </c>
      <c r="O13" s="141" t="s">
        <v>199</v>
      </c>
      <c r="P13" s="142">
        <f>+LOOKUP(O13,'[2]Doc Set'!E:E,'[2]Doc Set'!G:G)</f>
        <v>43437</v>
      </c>
      <c r="Q13" s="55" t="str">
        <f t="shared" si="1"/>
        <v>CC-INT_D</v>
      </c>
      <c r="R13" s="142">
        <f>+LOOKUP(Q13,'[2]Doc Set'!E:E,'[2]Doc Set'!H:H)</f>
        <v>43514</v>
      </c>
      <c r="S13" s="143" t="s">
        <v>200</v>
      </c>
    </row>
    <row r="14" spans="1:19" x14ac:dyDescent="0.3">
      <c r="A14" s="55" t="s">
        <v>40</v>
      </c>
      <c r="B14" s="55" t="s">
        <v>190</v>
      </c>
      <c r="C14" s="55" t="s">
        <v>191</v>
      </c>
      <c r="D14" s="138" t="s">
        <v>192</v>
      </c>
      <c r="E14" s="55" t="s">
        <v>193</v>
      </c>
      <c r="F14" s="55" t="s">
        <v>194</v>
      </c>
      <c r="G14" s="55" t="s">
        <v>234</v>
      </c>
      <c r="H14" s="55" t="s">
        <v>235</v>
      </c>
      <c r="I14" s="139" t="s">
        <v>51</v>
      </c>
      <c r="J14" s="140" t="s">
        <v>236</v>
      </c>
      <c r="K14" s="55">
        <v>20038918</v>
      </c>
      <c r="L14" s="55" t="s">
        <v>198</v>
      </c>
      <c r="M14" s="141" t="str">
        <f t="shared" si="0"/>
        <v>CC-INT_D</v>
      </c>
      <c r="N14" s="142" t="str">
        <f>LOOKUP(M14,'[2]Doc Set'!E:E,'[2]Doc Set'!F:F)</f>
        <v>_</v>
      </c>
      <c r="O14" s="141" t="s">
        <v>199</v>
      </c>
      <c r="P14" s="142">
        <f>+LOOKUP(O14,'[2]Doc Set'!E:E,'[2]Doc Set'!G:G)</f>
        <v>43437</v>
      </c>
      <c r="Q14" s="55" t="str">
        <f t="shared" si="1"/>
        <v>CC-INT_D</v>
      </c>
      <c r="R14" s="142">
        <f>+LOOKUP(Q14,'[2]Doc Set'!E:E,'[2]Doc Set'!H:H)</f>
        <v>43514</v>
      </c>
      <c r="S14" s="143" t="s">
        <v>200</v>
      </c>
    </row>
    <row r="15" spans="1:19" x14ac:dyDescent="0.3">
      <c r="A15" s="55" t="s">
        <v>40</v>
      </c>
      <c r="B15" s="55" t="s">
        <v>190</v>
      </c>
      <c r="C15" s="55" t="s">
        <v>191</v>
      </c>
      <c r="D15" s="138" t="s">
        <v>192</v>
      </c>
      <c r="E15" s="55" t="s">
        <v>193</v>
      </c>
      <c r="F15" s="55" t="s">
        <v>194</v>
      </c>
      <c r="G15" s="55" t="s">
        <v>237</v>
      </c>
      <c r="H15" s="55" t="s">
        <v>238</v>
      </c>
      <c r="I15" s="139" t="s">
        <v>51</v>
      </c>
      <c r="J15" s="140" t="s">
        <v>239</v>
      </c>
      <c r="K15" s="55">
        <v>20038918</v>
      </c>
      <c r="L15" s="55" t="s">
        <v>198</v>
      </c>
      <c r="M15" s="141" t="str">
        <f t="shared" si="0"/>
        <v>CC-INT_D</v>
      </c>
      <c r="N15" s="142" t="str">
        <f>LOOKUP(M15,'[2]Doc Set'!E:E,'[2]Doc Set'!F:F)</f>
        <v>_</v>
      </c>
      <c r="O15" s="141" t="s">
        <v>199</v>
      </c>
      <c r="P15" s="142">
        <f>+LOOKUP(O15,'[2]Doc Set'!E:E,'[2]Doc Set'!G:G)</f>
        <v>43437</v>
      </c>
      <c r="Q15" s="55" t="str">
        <f t="shared" si="1"/>
        <v>CC-INT_D</v>
      </c>
      <c r="R15" s="142">
        <f>+LOOKUP(Q15,'[2]Doc Set'!E:E,'[2]Doc Set'!H:H)</f>
        <v>43514</v>
      </c>
      <c r="S15" s="143" t="s">
        <v>200</v>
      </c>
    </row>
    <row r="16" spans="1:19" x14ac:dyDescent="0.3">
      <c r="A16" s="55" t="s">
        <v>40</v>
      </c>
      <c r="B16" s="55" t="s">
        <v>190</v>
      </c>
      <c r="C16" s="55" t="s">
        <v>191</v>
      </c>
      <c r="D16" s="138" t="s">
        <v>192</v>
      </c>
      <c r="E16" s="55" t="s">
        <v>193</v>
      </c>
      <c r="F16" s="55" t="s">
        <v>194</v>
      </c>
      <c r="G16" s="55" t="s">
        <v>240</v>
      </c>
      <c r="H16" s="55" t="s">
        <v>241</v>
      </c>
      <c r="I16" s="139" t="s">
        <v>51</v>
      </c>
      <c r="J16" s="140" t="s">
        <v>242</v>
      </c>
      <c r="K16" s="55">
        <v>20038918</v>
      </c>
      <c r="L16" s="55" t="s">
        <v>198</v>
      </c>
      <c r="M16" s="141" t="str">
        <f t="shared" si="0"/>
        <v>CC-INT_D</v>
      </c>
      <c r="N16" s="142" t="str">
        <f>LOOKUP(M16,'[2]Doc Set'!E:E,'[2]Doc Set'!F:F)</f>
        <v>_</v>
      </c>
      <c r="O16" s="141" t="s">
        <v>199</v>
      </c>
      <c r="P16" s="142">
        <f>+LOOKUP(O16,'[2]Doc Set'!E:E,'[2]Doc Set'!G:G)</f>
        <v>43437</v>
      </c>
      <c r="Q16" s="55" t="str">
        <f t="shared" si="1"/>
        <v>CC-INT_D</v>
      </c>
      <c r="R16" s="142">
        <f>+LOOKUP(Q16,'[2]Doc Set'!E:E,'[2]Doc Set'!H:H)</f>
        <v>43514</v>
      </c>
      <c r="S16" s="143" t="s">
        <v>200</v>
      </c>
    </row>
    <row r="17" spans="1:19" x14ac:dyDescent="0.3">
      <c r="A17" s="55" t="s">
        <v>40</v>
      </c>
      <c r="B17" s="55" t="s">
        <v>190</v>
      </c>
      <c r="C17" s="55" t="s">
        <v>191</v>
      </c>
      <c r="D17" s="138" t="s">
        <v>192</v>
      </c>
      <c r="E17" s="55" t="s">
        <v>193</v>
      </c>
      <c r="F17" s="55" t="s">
        <v>194</v>
      </c>
      <c r="G17" s="55" t="s">
        <v>243</v>
      </c>
      <c r="H17" s="55" t="s">
        <v>244</v>
      </c>
      <c r="I17" s="139" t="s">
        <v>51</v>
      </c>
      <c r="J17" s="140" t="s">
        <v>245</v>
      </c>
      <c r="K17" s="55">
        <v>20038918</v>
      </c>
      <c r="L17" s="55" t="s">
        <v>198</v>
      </c>
      <c r="M17" s="141" t="str">
        <f t="shared" si="0"/>
        <v>CC-INT_D</v>
      </c>
      <c r="N17" s="142" t="str">
        <f>LOOKUP(M17,'[2]Doc Set'!E:E,'[2]Doc Set'!F:F)</f>
        <v>_</v>
      </c>
      <c r="O17" s="141" t="s">
        <v>199</v>
      </c>
      <c r="P17" s="142">
        <f>+LOOKUP(O17,'[2]Doc Set'!E:E,'[2]Doc Set'!G:G)</f>
        <v>43437</v>
      </c>
      <c r="Q17" s="55" t="str">
        <f t="shared" si="1"/>
        <v>CC-INT_D</v>
      </c>
      <c r="R17" s="142">
        <f>+LOOKUP(Q17,'[2]Doc Set'!E:E,'[2]Doc Set'!H:H)</f>
        <v>43514</v>
      </c>
      <c r="S17" s="143" t="s">
        <v>200</v>
      </c>
    </row>
    <row r="18" spans="1:19" x14ac:dyDescent="0.3">
      <c r="A18" s="55" t="s">
        <v>40</v>
      </c>
      <c r="B18" s="55" t="s">
        <v>190</v>
      </c>
      <c r="C18" s="55" t="s">
        <v>191</v>
      </c>
      <c r="D18" s="138" t="s">
        <v>192</v>
      </c>
      <c r="E18" s="55" t="s">
        <v>193</v>
      </c>
      <c r="F18" s="55" t="s">
        <v>194</v>
      </c>
      <c r="G18" s="55" t="s">
        <v>246</v>
      </c>
      <c r="H18" s="55" t="s">
        <v>247</v>
      </c>
      <c r="I18" s="139" t="s">
        <v>51</v>
      </c>
      <c r="J18" s="140" t="s">
        <v>248</v>
      </c>
      <c r="K18" s="55">
        <v>20038918</v>
      </c>
      <c r="L18" s="55" t="s">
        <v>198</v>
      </c>
      <c r="M18" s="141" t="str">
        <f t="shared" si="0"/>
        <v>CC-INT_D</v>
      </c>
      <c r="N18" s="142" t="str">
        <f>LOOKUP(M18,'[2]Doc Set'!E:E,'[2]Doc Set'!F:F)</f>
        <v>_</v>
      </c>
      <c r="O18" s="141" t="s">
        <v>199</v>
      </c>
      <c r="P18" s="142">
        <f>+LOOKUP(O18,'[2]Doc Set'!E:E,'[2]Doc Set'!G:G)</f>
        <v>43437</v>
      </c>
      <c r="Q18" s="55" t="str">
        <f t="shared" si="1"/>
        <v>CC-INT_D</v>
      </c>
      <c r="R18" s="142">
        <f>+LOOKUP(Q18,'[2]Doc Set'!E:E,'[2]Doc Set'!H:H)</f>
        <v>43514</v>
      </c>
      <c r="S18" s="143" t="s">
        <v>200</v>
      </c>
    </row>
    <row r="19" spans="1:19" x14ac:dyDescent="0.3">
      <c r="A19" s="55" t="s">
        <v>40</v>
      </c>
      <c r="B19" s="55" t="s">
        <v>190</v>
      </c>
      <c r="C19" s="55" t="s">
        <v>191</v>
      </c>
      <c r="D19" s="138" t="s">
        <v>192</v>
      </c>
      <c r="E19" s="55" t="s">
        <v>193</v>
      </c>
      <c r="F19" s="55" t="s">
        <v>194</v>
      </c>
      <c r="G19" s="55" t="s">
        <v>249</v>
      </c>
      <c r="H19" s="55" t="s">
        <v>250</v>
      </c>
      <c r="I19" s="139" t="s">
        <v>51</v>
      </c>
      <c r="J19" s="140" t="s">
        <v>251</v>
      </c>
      <c r="K19" s="55">
        <v>20038918</v>
      </c>
      <c r="L19" s="55" t="s">
        <v>198</v>
      </c>
      <c r="M19" s="141" t="str">
        <f t="shared" si="0"/>
        <v>CC-INT_D</v>
      </c>
      <c r="N19" s="142" t="str">
        <f>LOOKUP(M19,'[2]Doc Set'!E:E,'[2]Doc Set'!F:F)</f>
        <v>_</v>
      </c>
      <c r="O19" s="141" t="s">
        <v>199</v>
      </c>
      <c r="P19" s="142">
        <f>+LOOKUP(O19,'[2]Doc Set'!E:E,'[2]Doc Set'!G:G)</f>
        <v>43437</v>
      </c>
      <c r="Q19" s="55" t="str">
        <f t="shared" si="1"/>
        <v>CC-INT_D</v>
      </c>
      <c r="R19" s="142">
        <f>+LOOKUP(Q19,'[2]Doc Set'!E:E,'[2]Doc Set'!H:H)</f>
        <v>43514</v>
      </c>
      <c r="S19" s="143" t="s">
        <v>200</v>
      </c>
    </row>
    <row r="20" spans="1:19" x14ac:dyDescent="0.3">
      <c r="A20" s="55" t="s">
        <v>40</v>
      </c>
      <c r="B20" s="55" t="s">
        <v>190</v>
      </c>
      <c r="C20" s="55" t="s">
        <v>191</v>
      </c>
      <c r="D20" s="138" t="s">
        <v>192</v>
      </c>
      <c r="E20" s="55" t="s">
        <v>193</v>
      </c>
      <c r="F20" s="55" t="s">
        <v>194</v>
      </c>
      <c r="G20" s="55" t="s">
        <v>252</v>
      </c>
      <c r="H20" s="55" t="s">
        <v>253</v>
      </c>
      <c r="I20" s="139" t="s">
        <v>51</v>
      </c>
      <c r="J20" s="140" t="s">
        <v>254</v>
      </c>
      <c r="K20" s="55">
        <v>20038918</v>
      </c>
      <c r="L20" s="55" t="s">
        <v>198</v>
      </c>
      <c r="M20" s="141" t="str">
        <f t="shared" si="0"/>
        <v>CC-INT_D</v>
      </c>
      <c r="N20" s="142" t="str">
        <f>LOOKUP(M20,'[2]Doc Set'!E:E,'[2]Doc Set'!F:F)</f>
        <v>_</v>
      </c>
      <c r="O20" s="141" t="s">
        <v>199</v>
      </c>
      <c r="P20" s="142">
        <f>+LOOKUP(O20,'[2]Doc Set'!E:E,'[2]Doc Set'!G:G)</f>
        <v>43437</v>
      </c>
      <c r="Q20" s="55" t="str">
        <f t="shared" si="1"/>
        <v>CC-INT_D</v>
      </c>
      <c r="R20" s="142">
        <f>+LOOKUP(Q20,'[2]Doc Set'!E:E,'[2]Doc Set'!H:H)</f>
        <v>43514</v>
      </c>
      <c r="S20" s="143" t="s">
        <v>200</v>
      </c>
    </row>
    <row r="21" spans="1:19" x14ac:dyDescent="0.3">
      <c r="A21" s="55" t="s">
        <v>40</v>
      </c>
      <c r="B21" s="55" t="s">
        <v>190</v>
      </c>
      <c r="C21" s="55" t="s">
        <v>191</v>
      </c>
      <c r="D21" s="138" t="s">
        <v>192</v>
      </c>
      <c r="E21" s="55" t="s">
        <v>193</v>
      </c>
      <c r="F21" s="55" t="s">
        <v>194</v>
      </c>
      <c r="G21" s="55" t="s">
        <v>255</v>
      </c>
      <c r="H21" s="55" t="s">
        <v>256</v>
      </c>
      <c r="I21" s="139" t="s">
        <v>51</v>
      </c>
      <c r="J21" s="140" t="s">
        <v>257</v>
      </c>
      <c r="K21" s="55">
        <v>20038918</v>
      </c>
      <c r="L21" s="55" t="s">
        <v>198</v>
      </c>
      <c r="M21" s="141" t="str">
        <f t="shared" si="0"/>
        <v>CC-INT_D</v>
      </c>
      <c r="N21" s="142" t="str">
        <f>LOOKUP(M21,'[2]Doc Set'!E:E,'[2]Doc Set'!F:F)</f>
        <v>_</v>
      </c>
      <c r="O21" s="141" t="s">
        <v>199</v>
      </c>
      <c r="P21" s="142">
        <f>+LOOKUP(O21,'[2]Doc Set'!E:E,'[2]Doc Set'!G:G)</f>
        <v>43437</v>
      </c>
      <c r="Q21" s="55" t="str">
        <f t="shared" si="1"/>
        <v>CC-INT_D</v>
      </c>
      <c r="R21" s="142">
        <f>+LOOKUP(Q21,'[2]Doc Set'!E:E,'[2]Doc Set'!H:H)</f>
        <v>43514</v>
      </c>
      <c r="S21" s="143" t="s">
        <v>200</v>
      </c>
    </row>
    <row r="22" spans="1:19" x14ac:dyDescent="0.3">
      <c r="A22" s="55" t="s">
        <v>40</v>
      </c>
      <c r="B22" s="55" t="s">
        <v>190</v>
      </c>
      <c r="C22" s="55" t="s">
        <v>191</v>
      </c>
      <c r="D22" s="138" t="s">
        <v>192</v>
      </c>
      <c r="E22" s="55" t="s">
        <v>193</v>
      </c>
      <c r="F22" s="55" t="s">
        <v>194</v>
      </c>
      <c r="G22" s="55" t="s">
        <v>258</v>
      </c>
      <c r="H22" s="55" t="s">
        <v>259</v>
      </c>
      <c r="I22" s="139" t="s">
        <v>51</v>
      </c>
      <c r="J22" s="140" t="s">
        <v>260</v>
      </c>
      <c r="K22" s="55">
        <v>20038918</v>
      </c>
      <c r="L22" s="55" t="s">
        <v>198</v>
      </c>
      <c r="M22" s="141" t="str">
        <f t="shared" si="0"/>
        <v>CC-INT_D</v>
      </c>
      <c r="N22" s="142" t="str">
        <f>LOOKUP(M22,'[2]Doc Set'!E:E,'[2]Doc Set'!F:F)</f>
        <v>_</v>
      </c>
      <c r="O22" s="141" t="s">
        <v>199</v>
      </c>
      <c r="P22" s="142">
        <f>+LOOKUP(O22,'[2]Doc Set'!E:E,'[2]Doc Set'!G:G)</f>
        <v>43437</v>
      </c>
      <c r="Q22" s="55" t="str">
        <f t="shared" si="1"/>
        <v>CC-INT_D</v>
      </c>
      <c r="R22" s="142">
        <f>+LOOKUP(Q22,'[2]Doc Set'!E:E,'[2]Doc Set'!H:H)</f>
        <v>43514</v>
      </c>
      <c r="S22" s="143" t="s">
        <v>200</v>
      </c>
    </row>
    <row r="23" spans="1:19" x14ac:dyDescent="0.3">
      <c r="A23" s="55" t="s">
        <v>40</v>
      </c>
      <c r="B23" s="55" t="s">
        <v>190</v>
      </c>
      <c r="C23" s="55" t="s">
        <v>191</v>
      </c>
      <c r="D23" s="138" t="s">
        <v>192</v>
      </c>
      <c r="E23" s="55" t="s">
        <v>193</v>
      </c>
      <c r="F23" s="55" t="s">
        <v>194</v>
      </c>
      <c r="G23" s="55" t="s">
        <v>261</v>
      </c>
      <c r="H23" s="55" t="s">
        <v>262</v>
      </c>
      <c r="I23" s="139" t="s">
        <v>51</v>
      </c>
      <c r="J23" s="140" t="s">
        <v>263</v>
      </c>
      <c r="K23" s="55">
        <v>20038918</v>
      </c>
      <c r="L23" s="55" t="s">
        <v>198</v>
      </c>
      <c r="M23" s="141" t="str">
        <f t="shared" si="0"/>
        <v>CC-INT_D</v>
      </c>
      <c r="N23" s="142" t="str">
        <f>LOOKUP(M23,'[2]Doc Set'!E:E,'[2]Doc Set'!F:F)</f>
        <v>_</v>
      </c>
      <c r="O23" s="141" t="s">
        <v>199</v>
      </c>
      <c r="P23" s="142">
        <f>+LOOKUP(O23,'[2]Doc Set'!E:E,'[2]Doc Set'!G:G)</f>
        <v>43437</v>
      </c>
      <c r="Q23" s="55" t="str">
        <f t="shared" si="1"/>
        <v>CC-INT_D</v>
      </c>
      <c r="R23" s="142">
        <f>+LOOKUP(Q23,'[2]Doc Set'!E:E,'[2]Doc Set'!H:H)</f>
        <v>43514</v>
      </c>
      <c r="S23" s="143" t="s">
        <v>200</v>
      </c>
    </row>
    <row r="24" spans="1:19" x14ac:dyDescent="0.3">
      <c r="A24" s="55" t="s">
        <v>40</v>
      </c>
      <c r="B24" s="55" t="s">
        <v>190</v>
      </c>
      <c r="C24" s="55" t="s">
        <v>191</v>
      </c>
      <c r="D24" s="138" t="s">
        <v>192</v>
      </c>
      <c r="E24" s="55" t="s">
        <v>193</v>
      </c>
      <c r="F24" s="55" t="s">
        <v>194</v>
      </c>
      <c r="G24" s="55" t="s">
        <v>264</v>
      </c>
      <c r="H24" s="55" t="s">
        <v>265</v>
      </c>
      <c r="I24" s="139" t="s">
        <v>51</v>
      </c>
      <c r="J24" s="140" t="s">
        <v>266</v>
      </c>
      <c r="K24" s="55">
        <v>20038918</v>
      </c>
      <c r="L24" s="55" t="s">
        <v>198</v>
      </c>
      <c r="M24" s="141" t="str">
        <f t="shared" si="0"/>
        <v>CC-INT_D</v>
      </c>
      <c r="N24" s="142" t="str">
        <f>LOOKUP(M24,'[2]Doc Set'!E:E,'[2]Doc Set'!F:F)</f>
        <v>_</v>
      </c>
      <c r="O24" s="141" t="s">
        <v>199</v>
      </c>
      <c r="P24" s="142">
        <f>+LOOKUP(O24,'[2]Doc Set'!E:E,'[2]Doc Set'!G:G)</f>
        <v>43437</v>
      </c>
      <c r="Q24" s="55" t="str">
        <f t="shared" si="1"/>
        <v>CC-INT_D</v>
      </c>
      <c r="R24" s="142">
        <f>+LOOKUP(Q24,'[2]Doc Set'!E:E,'[2]Doc Set'!H:H)</f>
        <v>43514</v>
      </c>
      <c r="S24" s="143" t="s">
        <v>200</v>
      </c>
    </row>
    <row r="25" spans="1:19" x14ac:dyDescent="0.3">
      <c r="A25" s="55" t="s">
        <v>40</v>
      </c>
      <c r="B25" s="55" t="s">
        <v>190</v>
      </c>
      <c r="C25" s="55" t="s">
        <v>191</v>
      </c>
      <c r="D25" s="138" t="s">
        <v>192</v>
      </c>
      <c r="E25" s="55" t="s">
        <v>193</v>
      </c>
      <c r="F25" s="55" t="s">
        <v>194</v>
      </c>
      <c r="G25" s="55" t="s">
        <v>267</v>
      </c>
      <c r="H25" s="55" t="s">
        <v>268</v>
      </c>
      <c r="I25" s="139" t="s">
        <v>51</v>
      </c>
      <c r="J25" s="140" t="s">
        <v>269</v>
      </c>
      <c r="K25" s="55">
        <v>20038918</v>
      </c>
      <c r="L25" s="55" t="s">
        <v>198</v>
      </c>
      <c r="M25" s="141" t="str">
        <f t="shared" si="0"/>
        <v>CC-INT_D</v>
      </c>
      <c r="N25" s="142" t="str">
        <f>LOOKUP(M25,'[2]Doc Set'!E:E,'[2]Doc Set'!F:F)</f>
        <v>_</v>
      </c>
      <c r="O25" s="141" t="s">
        <v>199</v>
      </c>
      <c r="P25" s="142">
        <f>+LOOKUP(O25,'[2]Doc Set'!E:E,'[2]Doc Set'!G:G)</f>
        <v>43437</v>
      </c>
      <c r="Q25" s="55" t="str">
        <f t="shared" si="1"/>
        <v>CC-INT_D</v>
      </c>
      <c r="R25" s="142">
        <f>+LOOKUP(Q25,'[2]Doc Set'!E:E,'[2]Doc Set'!H:H)</f>
        <v>43514</v>
      </c>
      <c r="S25" s="143" t="s">
        <v>200</v>
      </c>
    </row>
    <row r="26" spans="1:19" x14ac:dyDescent="0.3">
      <c r="A26" s="55" t="s">
        <v>40</v>
      </c>
      <c r="B26" s="55" t="s">
        <v>190</v>
      </c>
      <c r="C26" s="55" t="s">
        <v>191</v>
      </c>
      <c r="D26" s="138" t="s">
        <v>192</v>
      </c>
      <c r="E26" s="55" t="s">
        <v>193</v>
      </c>
      <c r="F26" s="55" t="s">
        <v>194</v>
      </c>
      <c r="G26" s="55" t="s">
        <v>270</v>
      </c>
      <c r="H26" s="55" t="s">
        <v>271</v>
      </c>
      <c r="I26" s="139" t="s">
        <v>51</v>
      </c>
      <c r="J26" s="140" t="s">
        <v>272</v>
      </c>
      <c r="K26" s="55">
        <v>20038918</v>
      </c>
      <c r="L26" s="55" t="s">
        <v>198</v>
      </c>
      <c r="M26" s="141" t="str">
        <f t="shared" si="0"/>
        <v>CC-INT_D</v>
      </c>
      <c r="N26" s="142" t="str">
        <f>LOOKUP(M26,'[2]Doc Set'!E:E,'[2]Doc Set'!F:F)</f>
        <v>_</v>
      </c>
      <c r="O26" s="141" t="s">
        <v>199</v>
      </c>
      <c r="P26" s="142">
        <f>+LOOKUP(O26,'[2]Doc Set'!E:E,'[2]Doc Set'!G:G)</f>
        <v>43437</v>
      </c>
      <c r="Q26" s="55" t="str">
        <f t="shared" si="1"/>
        <v>CC-INT_D</v>
      </c>
      <c r="R26" s="142">
        <f>+LOOKUP(Q26,'[2]Doc Set'!E:E,'[2]Doc Set'!H:H)</f>
        <v>43514</v>
      </c>
      <c r="S26" s="143" t="s">
        <v>200</v>
      </c>
    </row>
    <row r="27" spans="1:19" x14ac:dyDescent="0.3">
      <c r="A27" s="55" t="s">
        <v>40</v>
      </c>
      <c r="B27" s="55" t="s">
        <v>190</v>
      </c>
      <c r="C27" s="55" t="s">
        <v>191</v>
      </c>
      <c r="D27" s="138" t="s">
        <v>192</v>
      </c>
      <c r="E27" s="55" t="s">
        <v>193</v>
      </c>
      <c r="F27" s="55" t="s">
        <v>194</v>
      </c>
      <c r="G27" s="55" t="s">
        <v>273</v>
      </c>
      <c r="H27" s="55" t="s">
        <v>274</v>
      </c>
      <c r="I27" s="139" t="s">
        <v>51</v>
      </c>
      <c r="J27" s="140" t="s">
        <v>275</v>
      </c>
      <c r="K27" s="55">
        <v>20038918</v>
      </c>
      <c r="L27" s="55" t="s">
        <v>198</v>
      </c>
      <c r="M27" s="141" t="str">
        <f t="shared" si="0"/>
        <v>CC-INT_D</v>
      </c>
      <c r="N27" s="142" t="str">
        <f>LOOKUP(M27,'[2]Doc Set'!E:E,'[2]Doc Set'!F:F)</f>
        <v>_</v>
      </c>
      <c r="O27" s="141" t="s">
        <v>199</v>
      </c>
      <c r="P27" s="142">
        <f>+LOOKUP(O27,'[2]Doc Set'!E:E,'[2]Doc Set'!G:G)</f>
        <v>43437</v>
      </c>
      <c r="Q27" s="55" t="str">
        <f t="shared" si="1"/>
        <v>CC-INT_D</v>
      </c>
      <c r="R27" s="142">
        <f>+LOOKUP(Q27,'[2]Doc Set'!E:E,'[2]Doc Set'!H:H)</f>
        <v>43514</v>
      </c>
      <c r="S27" s="143" t="s">
        <v>200</v>
      </c>
    </row>
    <row r="28" spans="1:19" x14ac:dyDescent="0.3">
      <c r="A28" s="55" t="s">
        <v>40</v>
      </c>
      <c r="B28" s="55" t="s">
        <v>190</v>
      </c>
      <c r="C28" s="55" t="s">
        <v>191</v>
      </c>
      <c r="D28" s="138" t="s">
        <v>192</v>
      </c>
      <c r="E28" s="55" t="s">
        <v>193</v>
      </c>
      <c r="F28" s="55" t="s">
        <v>194</v>
      </c>
      <c r="G28" s="55" t="s">
        <v>276</v>
      </c>
      <c r="H28" s="55" t="s">
        <v>277</v>
      </c>
      <c r="I28" s="139" t="s">
        <v>51</v>
      </c>
      <c r="J28" s="140" t="s">
        <v>278</v>
      </c>
      <c r="K28" s="55">
        <v>20038918</v>
      </c>
      <c r="L28" s="55" t="s">
        <v>198</v>
      </c>
      <c r="M28" s="141" t="str">
        <f t="shared" si="0"/>
        <v>CC-INT_D</v>
      </c>
      <c r="N28" s="142" t="str">
        <f>LOOKUP(M28,'[2]Doc Set'!E:E,'[2]Doc Set'!F:F)</f>
        <v>_</v>
      </c>
      <c r="O28" s="141" t="s">
        <v>199</v>
      </c>
      <c r="P28" s="142">
        <f>+LOOKUP(O28,'[2]Doc Set'!E:E,'[2]Doc Set'!G:G)</f>
        <v>43437</v>
      </c>
      <c r="Q28" s="55" t="str">
        <f t="shared" si="1"/>
        <v>CC-INT_D</v>
      </c>
      <c r="R28" s="142">
        <f>+LOOKUP(Q28,'[2]Doc Set'!E:E,'[2]Doc Set'!H:H)</f>
        <v>43514</v>
      </c>
      <c r="S28" s="143" t="s">
        <v>200</v>
      </c>
    </row>
    <row r="29" spans="1:19" x14ac:dyDescent="0.3">
      <c r="A29" s="55" t="s">
        <v>40</v>
      </c>
      <c r="B29" s="55" t="s">
        <v>190</v>
      </c>
      <c r="C29" s="55" t="s">
        <v>191</v>
      </c>
      <c r="D29" s="138" t="s">
        <v>192</v>
      </c>
      <c r="E29" s="55" t="s">
        <v>193</v>
      </c>
      <c r="F29" s="55" t="s">
        <v>194</v>
      </c>
      <c r="G29" s="55" t="s">
        <v>279</v>
      </c>
      <c r="H29" s="55" t="s">
        <v>280</v>
      </c>
      <c r="I29" s="139" t="s">
        <v>51</v>
      </c>
      <c r="J29" s="140" t="s">
        <v>281</v>
      </c>
      <c r="K29" s="55">
        <v>20038918</v>
      </c>
      <c r="L29" s="55" t="s">
        <v>198</v>
      </c>
      <c r="M29" s="141" t="str">
        <f t="shared" si="0"/>
        <v>CC-INT_D</v>
      </c>
      <c r="N29" s="142" t="str">
        <f>LOOKUP(M29,'[2]Doc Set'!E:E,'[2]Doc Set'!F:F)</f>
        <v>_</v>
      </c>
      <c r="O29" s="141" t="s">
        <v>199</v>
      </c>
      <c r="P29" s="142">
        <f>+LOOKUP(O29,'[2]Doc Set'!E:E,'[2]Doc Set'!G:G)</f>
        <v>43437</v>
      </c>
      <c r="Q29" s="55" t="str">
        <f t="shared" si="1"/>
        <v>CC-INT_D</v>
      </c>
      <c r="R29" s="142">
        <f>+LOOKUP(Q29,'[2]Doc Set'!E:E,'[2]Doc Set'!H:H)</f>
        <v>43514</v>
      </c>
      <c r="S29" s="143" t="s">
        <v>200</v>
      </c>
    </row>
    <row r="30" spans="1:19" x14ac:dyDescent="0.3">
      <c r="A30" s="55" t="s">
        <v>40</v>
      </c>
      <c r="B30" s="55" t="s">
        <v>190</v>
      </c>
      <c r="C30" s="55" t="s">
        <v>191</v>
      </c>
      <c r="D30" s="138" t="s">
        <v>192</v>
      </c>
      <c r="E30" s="55" t="s">
        <v>193</v>
      </c>
      <c r="F30" s="55" t="s">
        <v>194</v>
      </c>
      <c r="G30" s="55" t="s">
        <v>282</v>
      </c>
      <c r="H30" s="55" t="s">
        <v>283</v>
      </c>
      <c r="I30" s="139" t="s">
        <v>51</v>
      </c>
      <c r="J30" s="140" t="s">
        <v>284</v>
      </c>
      <c r="K30" s="55">
        <v>20038918</v>
      </c>
      <c r="L30" s="55" t="s">
        <v>198</v>
      </c>
      <c r="M30" s="141" t="str">
        <f t="shared" si="0"/>
        <v>CC-INT_D</v>
      </c>
      <c r="N30" s="142" t="str">
        <f>LOOKUP(M30,'[2]Doc Set'!E:E,'[2]Doc Set'!F:F)</f>
        <v>_</v>
      </c>
      <c r="O30" s="141" t="s">
        <v>199</v>
      </c>
      <c r="P30" s="142">
        <f>+LOOKUP(O30,'[2]Doc Set'!E:E,'[2]Doc Set'!G:G)</f>
        <v>43437</v>
      </c>
      <c r="Q30" s="55" t="str">
        <f t="shared" si="1"/>
        <v>CC-INT_D</v>
      </c>
      <c r="R30" s="142">
        <f>+LOOKUP(Q30,'[2]Doc Set'!E:E,'[2]Doc Set'!H:H)</f>
        <v>43514</v>
      </c>
      <c r="S30" s="143" t="s">
        <v>200</v>
      </c>
    </row>
    <row r="31" spans="1:19" x14ac:dyDescent="0.3">
      <c r="A31" s="55" t="s">
        <v>40</v>
      </c>
      <c r="B31" s="55" t="s">
        <v>190</v>
      </c>
      <c r="C31" s="55" t="s">
        <v>191</v>
      </c>
      <c r="D31" s="138" t="s">
        <v>192</v>
      </c>
      <c r="E31" s="55" t="s">
        <v>193</v>
      </c>
      <c r="F31" s="55" t="s">
        <v>194</v>
      </c>
      <c r="G31" s="55" t="s">
        <v>285</v>
      </c>
      <c r="H31" s="55" t="s">
        <v>286</v>
      </c>
      <c r="I31" s="139" t="s">
        <v>51</v>
      </c>
      <c r="J31" s="140" t="s">
        <v>287</v>
      </c>
      <c r="K31" s="55">
        <v>20038918</v>
      </c>
      <c r="L31" s="55" t="s">
        <v>198</v>
      </c>
      <c r="M31" s="141" t="str">
        <f t="shared" si="0"/>
        <v>CC-INT_D</v>
      </c>
      <c r="N31" s="142" t="str">
        <f>LOOKUP(M31,'[2]Doc Set'!E:E,'[2]Doc Set'!F:F)</f>
        <v>_</v>
      </c>
      <c r="O31" s="141" t="s">
        <v>199</v>
      </c>
      <c r="P31" s="142">
        <f>+LOOKUP(O31,'[2]Doc Set'!E:E,'[2]Doc Set'!G:G)</f>
        <v>43437</v>
      </c>
      <c r="Q31" s="55" t="str">
        <f t="shared" si="1"/>
        <v>CC-INT_D</v>
      </c>
      <c r="R31" s="142">
        <f>+LOOKUP(Q31,'[2]Doc Set'!E:E,'[2]Doc Set'!H:H)</f>
        <v>43514</v>
      </c>
      <c r="S31" s="143" t="s">
        <v>200</v>
      </c>
    </row>
    <row r="32" spans="1:19" x14ac:dyDescent="0.3">
      <c r="A32" s="55" t="s">
        <v>40</v>
      </c>
      <c r="B32" s="55" t="s">
        <v>190</v>
      </c>
      <c r="C32" s="55" t="s">
        <v>191</v>
      </c>
      <c r="D32" s="138" t="s">
        <v>192</v>
      </c>
      <c r="E32" s="55" t="s">
        <v>193</v>
      </c>
      <c r="F32" s="55" t="s">
        <v>194</v>
      </c>
      <c r="G32" s="55" t="s">
        <v>288</v>
      </c>
      <c r="H32" s="55" t="s">
        <v>289</v>
      </c>
      <c r="I32" s="139" t="s">
        <v>51</v>
      </c>
      <c r="J32" s="140" t="s">
        <v>290</v>
      </c>
      <c r="K32" s="55">
        <v>20038918</v>
      </c>
      <c r="L32" s="55" t="s">
        <v>198</v>
      </c>
      <c r="M32" s="141" t="str">
        <f t="shared" si="0"/>
        <v>CC-INT_D</v>
      </c>
      <c r="N32" s="142" t="str">
        <f>LOOKUP(M32,'[2]Doc Set'!E:E,'[2]Doc Set'!F:F)</f>
        <v>_</v>
      </c>
      <c r="O32" s="141" t="s">
        <v>199</v>
      </c>
      <c r="P32" s="142">
        <f>+LOOKUP(O32,'[2]Doc Set'!E:E,'[2]Doc Set'!G:G)</f>
        <v>43437</v>
      </c>
      <c r="Q32" s="55" t="str">
        <f t="shared" si="1"/>
        <v>CC-INT_D</v>
      </c>
      <c r="R32" s="142">
        <f>+LOOKUP(Q32,'[2]Doc Set'!E:E,'[2]Doc Set'!H:H)</f>
        <v>43514</v>
      </c>
      <c r="S32" s="143" t="s">
        <v>200</v>
      </c>
    </row>
    <row r="33" spans="1:19" x14ac:dyDescent="0.3">
      <c r="A33" s="55" t="s">
        <v>40</v>
      </c>
      <c r="B33" s="55" t="s">
        <v>190</v>
      </c>
      <c r="C33" s="55" t="s">
        <v>191</v>
      </c>
      <c r="D33" s="138" t="s">
        <v>192</v>
      </c>
      <c r="E33" s="55" t="s">
        <v>193</v>
      </c>
      <c r="F33" s="55" t="s">
        <v>194</v>
      </c>
      <c r="G33" s="55" t="s">
        <v>291</v>
      </c>
      <c r="H33" s="55" t="s">
        <v>292</v>
      </c>
      <c r="I33" s="139" t="s">
        <v>51</v>
      </c>
      <c r="J33" s="140" t="s">
        <v>293</v>
      </c>
      <c r="K33" s="55">
        <v>20038918</v>
      </c>
      <c r="L33" s="55" t="s">
        <v>198</v>
      </c>
      <c r="M33" s="141" t="str">
        <f t="shared" si="0"/>
        <v>CC-INT_D</v>
      </c>
      <c r="N33" s="142" t="str">
        <f>LOOKUP(M33,'[2]Doc Set'!E:E,'[2]Doc Set'!F:F)</f>
        <v>_</v>
      </c>
      <c r="O33" s="141" t="s">
        <v>199</v>
      </c>
      <c r="P33" s="142">
        <f>+LOOKUP(O33,'[2]Doc Set'!E:E,'[2]Doc Set'!G:G)</f>
        <v>43437</v>
      </c>
      <c r="Q33" s="55" t="str">
        <f t="shared" si="1"/>
        <v>CC-INT_D</v>
      </c>
      <c r="R33" s="142">
        <f>+LOOKUP(Q33,'[2]Doc Set'!E:E,'[2]Doc Set'!H:H)</f>
        <v>43514</v>
      </c>
      <c r="S33" s="143" t="s">
        <v>200</v>
      </c>
    </row>
    <row r="34" spans="1:19" x14ac:dyDescent="0.3">
      <c r="A34" s="55" t="s">
        <v>40</v>
      </c>
      <c r="B34" s="55" t="s">
        <v>190</v>
      </c>
      <c r="C34" s="55" t="s">
        <v>191</v>
      </c>
      <c r="D34" s="138" t="s">
        <v>192</v>
      </c>
      <c r="E34" s="55" t="s">
        <v>193</v>
      </c>
      <c r="F34" s="55" t="s">
        <v>194</v>
      </c>
      <c r="G34" s="55" t="s">
        <v>294</v>
      </c>
      <c r="H34" s="55" t="s">
        <v>295</v>
      </c>
      <c r="I34" s="139" t="s">
        <v>51</v>
      </c>
      <c r="J34" s="140" t="s">
        <v>296</v>
      </c>
      <c r="K34" s="55">
        <v>20038918</v>
      </c>
      <c r="L34" s="55" t="s">
        <v>198</v>
      </c>
      <c r="M34" s="141" t="str">
        <f t="shared" si="0"/>
        <v>CC-INT_D</v>
      </c>
      <c r="N34" s="142" t="str">
        <f>LOOKUP(M34,'[2]Doc Set'!E:E,'[2]Doc Set'!F:F)</f>
        <v>_</v>
      </c>
      <c r="O34" s="141" t="s">
        <v>199</v>
      </c>
      <c r="P34" s="142">
        <f>+LOOKUP(O34,'[2]Doc Set'!E:E,'[2]Doc Set'!G:G)</f>
        <v>43437</v>
      </c>
      <c r="Q34" s="55" t="str">
        <f t="shared" si="1"/>
        <v>CC-INT_D</v>
      </c>
      <c r="R34" s="142">
        <f>+LOOKUP(Q34,'[2]Doc Set'!E:E,'[2]Doc Set'!H:H)</f>
        <v>43514</v>
      </c>
      <c r="S34" s="143" t="s">
        <v>200</v>
      </c>
    </row>
    <row r="35" spans="1:19" x14ac:dyDescent="0.3">
      <c r="A35" s="55" t="s">
        <v>40</v>
      </c>
      <c r="B35" s="55" t="s">
        <v>190</v>
      </c>
      <c r="C35" s="55" t="s">
        <v>191</v>
      </c>
      <c r="D35" s="138" t="s">
        <v>192</v>
      </c>
      <c r="E35" s="55" t="s">
        <v>193</v>
      </c>
      <c r="F35" s="55" t="s">
        <v>194</v>
      </c>
      <c r="G35" s="55" t="s">
        <v>297</v>
      </c>
      <c r="H35" s="55" t="s">
        <v>298</v>
      </c>
      <c r="I35" s="139" t="s">
        <v>51</v>
      </c>
      <c r="J35" s="140" t="s">
        <v>299</v>
      </c>
      <c r="K35" s="55">
        <v>20038918</v>
      </c>
      <c r="L35" s="55" t="s">
        <v>198</v>
      </c>
      <c r="M35" s="141" t="str">
        <f t="shared" si="0"/>
        <v>CC-INT_D</v>
      </c>
      <c r="N35" s="142" t="str">
        <f>LOOKUP(M35,'[2]Doc Set'!E:E,'[2]Doc Set'!F:F)</f>
        <v>_</v>
      </c>
      <c r="O35" s="141" t="s">
        <v>199</v>
      </c>
      <c r="P35" s="142">
        <f>+LOOKUP(O35,'[2]Doc Set'!E:E,'[2]Doc Set'!G:G)</f>
        <v>43437</v>
      </c>
      <c r="Q35" s="55" t="str">
        <f t="shared" si="1"/>
        <v>CC-INT_D</v>
      </c>
      <c r="R35" s="142">
        <f>+LOOKUP(Q35,'[2]Doc Set'!E:E,'[2]Doc Set'!H:H)</f>
        <v>43514</v>
      </c>
      <c r="S35" s="143" t="s">
        <v>200</v>
      </c>
    </row>
    <row r="36" spans="1:19" x14ac:dyDescent="0.3">
      <c r="A36" s="55" t="s">
        <v>40</v>
      </c>
      <c r="B36" s="55" t="s">
        <v>190</v>
      </c>
      <c r="C36" s="55" t="s">
        <v>191</v>
      </c>
      <c r="D36" s="138" t="s">
        <v>192</v>
      </c>
      <c r="E36" s="55" t="s">
        <v>193</v>
      </c>
      <c r="F36" s="55" t="s">
        <v>194</v>
      </c>
      <c r="G36" s="55" t="s">
        <v>300</v>
      </c>
      <c r="H36" s="55" t="s">
        <v>301</v>
      </c>
      <c r="I36" s="139" t="s">
        <v>51</v>
      </c>
      <c r="J36" s="140" t="s">
        <v>302</v>
      </c>
      <c r="K36" s="55">
        <v>20038918</v>
      </c>
      <c r="L36" s="55" t="s">
        <v>198</v>
      </c>
      <c r="M36" s="141" t="str">
        <f t="shared" si="0"/>
        <v>CC-INT_D</v>
      </c>
      <c r="N36" s="142" t="str">
        <f>LOOKUP(M36,'[2]Doc Set'!E:E,'[2]Doc Set'!F:F)</f>
        <v>_</v>
      </c>
      <c r="O36" s="141" t="s">
        <v>199</v>
      </c>
      <c r="P36" s="142">
        <f>+LOOKUP(O36,'[2]Doc Set'!E:E,'[2]Doc Set'!G:G)</f>
        <v>43437</v>
      </c>
      <c r="Q36" s="55" t="str">
        <f t="shared" si="1"/>
        <v>CC-INT_D</v>
      </c>
      <c r="R36" s="142">
        <f>+LOOKUP(Q36,'[2]Doc Set'!E:E,'[2]Doc Set'!H:H)</f>
        <v>43514</v>
      </c>
      <c r="S36" s="143" t="s">
        <v>200</v>
      </c>
    </row>
    <row r="37" spans="1:19" x14ac:dyDescent="0.3">
      <c r="A37" s="55" t="s">
        <v>40</v>
      </c>
      <c r="B37" s="55" t="s">
        <v>190</v>
      </c>
      <c r="C37" s="55" t="s">
        <v>191</v>
      </c>
      <c r="D37" s="138" t="s">
        <v>192</v>
      </c>
      <c r="E37" s="55" t="s">
        <v>193</v>
      </c>
      <c r="F37" s="55" t="s">
        <v>194</v>
      </c>
      <c r="G37" s="55" t="s">
        <v>303</v>
      </c>
      <c r="H37" s="55" t="s">
        <v>304</v>
      </c>
      <c r="I37" s="139" t="s">
        <v>51</v>
      </c>
      <c r="J37" s="140" t="s">
        <v>305</v>
      </c>
      <c r="K37" s="55">
        <v>20038918</v>
      </c>
      <c r="L37" s="55" t="s">
        <v>198</v>
      </c>
      <c r="M37" s="141" t="str">
        <f t="shared" si="0"/>
        <v>CC-INT_E</v>
      </c>
      <c r="N37" s="142" t="str">
        <f>LOOKUP(M37,'[2]Doc Set'!E:E,'[2]Doc Set'!F:F)</f>
        <v>_</v>
      </c>
      <c r="O37" s="141" t="s">
        <v>306</v>
      </c>
      <c r="P37" s="142">
        <f>+LOOKUP(O37,'[2]Doc Set'!E:E,'[2]Doc Set'!G:G)</f>
        <v>43489</v>
      </c>
      <c r="Q37" s="55" t="str">
        <f t="shared" si="1"/>
        <v>CC-INT_E</v>
      </c>
      <c r="R37" s="142">
        <f>+LOOKUP(Q37,'[2]Doc Set'!E:E,'[2]Doc Set'!H:H)</f>
        <v>43542</v>
      </c>
      <c r="S37" s="143" t="s">
        <v>200</v>
      </c>
    </row>
    <row r="38" spans="1:19" x14ac:dyDescent="0.3">
      <c r="A38" s="55" t="s">
        <v>40</v>
      </c>
      <c r="B38" s="55" t="s">
        <v>190</v>
      </c>
      <c r="C38" s="55" t="s">
        <v>191</v>
      </c>
      <c r="D38" s="138" t="s">
        <v>192</v>
      </c>
      <c r="E38" s="55" t="s">
        <v>193</v>
      </c>
      <c r="F38" s="55" t="s">
        <v>194</v>
      </c>
      <c r="G38" s="55" t="s">
        <v>307</v>
      </c>
      <c r="H38" s="55" t="s">
        <v>308</v>
      </c>
      <c r="I38" s="139" t="s">
        <v>51</v>
      </c>
      <c r="J38" s="140" t="s">
        <v>309</v>
      </c>
      <c r="K38" s="55">
        <v>20038918</v>
      </c>
      <c r="L38" s="55" t="s">
        <v>198</v>
      </c>
      <c r="M38" s="141" t="str">
        <f t="shared" si="0"/>
        <v>CC-INT_E</v>
      </c>
      <c r="N38" s="142" t="str">
        <f>LOOKUP(M38,'[2]Doc Set'!E:E,'[2]Doc Set'!F:F)</f>
        <v>_</v>
      </c>
      <c r="O38" s="141" t="s">
        <v>306</v>
      </c>
      <c r="P38" s="142">
        <f>+LOOKUP(O38,'[2]Doc Set'!E:E,'[2]Doc Set'!G:G)</f>
        <v>43489</v>
      </c>
      <c r="Q38" s="55" t="str">
        <f t="shared" si="1"/>
        <v>CC-INT_E</v>
      </c>
      <c r="R38" s="142">
        <f>+LOOKUP(Q38,'[2]Doc Set'!E:E,'[2]Doc Set'!H:H)</f>
        <v>43542</v>
      </c>
      <c r="S38" s="143" t="s">
        <v>200</v>
      </c>
    </row>
    <row r="39" spans="1:19" x14ac:dyDescent="0.3">
      <c r="A39" s="55" t="s">
        <v>40</v>
      </c>
      <c r="B39" s="55" t="s">
        <v>190</v>
      </c>
      <c r="C39" s="55" t="s">
        <v>191</v>
      </c>
      <c r="D39" s="138" t="s">
        <v>192</v>
      </c>
      <c r="E39" s="55" t="s">
        <v>193</v>
      </c>
      <c r="F39" s="55" t="s">
        <v>194</v>
      </c>
      <c r="G39" s="55" t="s">
        <v>310</v>
      </c>
      <c r="H39" s="55" t="s">
        <v>311</v>
      </c>
      <c r="I39" s="139" t="s">
        <v>51</v>
      </c>
      <c r="J39" s="140" t="s">
        <v>312</v>
      </c>
      <c r="K39" s="55">
        <v>20038918</v>
      </c>
      <c r="L39" s="55" t="s">
        <v>198</v>
      </c>
      <c r="M39" s="141" t="str">
        <f t="shared" si="0"/>
        <v>CC-INT_E</v>
      </c>
      <c r="N39" s="142" t="str">
        <f>LOOKUP(M39,'[2]Doc Set'!E:E,'[2]Doc Set'!F:F)</f>
        <v>_</v>
      </c>
      <c r="O39" s="141" t="s">
        <v>306</v>
      </c>
      <c r="P39" s="142">
        <f>+LOOKUP(O39,'[2]Doc Set'!E:E,'[2]Doc Set'!G:G)</f>
        <v>43489</v>
      </c>
      <c r="Q39" s="55" t="str">
        <f t="shared" si="1"/>
        <v>CC-INT_E</v>
      </c>
      <c r="R39" s="142">
        <f>+LOOKUP(Q39,'[2]Doc Set'!E:E,'[2]Doc Set'!H:H)</f>
        <v>43542</v>
      </c>
      <c r="S39" s="143" t="s">
        <v>200</v>
      </c>
    </row>
    <row r="40" spans="1:19" x14ac:dyDescent="0.3">
      <c r="A40" s="55" t="s">
        <v>40</v>
      </c>
      <c r="B40" s="55" t="s">
        <v>190</v>
      </c>
      <c r="C40" s="55" t="s">
        <v>191</v>
      </c>
      <c r="D40" s="138" t="s">
        <v>192</v>
      </c>
      <c r="E40" s="55" t="s">
        <v>193</v>
      </c>
      <c r="F40" s="55" t="s">
        <v>194</v>
      </c>
      <c r="G40" s="55" t="s">
        <v>313</v>
      </c>
      <c r="H40" s="55" t="s">
        <v>314</v>
      </c>
      <c r="I40" s="139" t="s">
        <v>51</v>
      </c>
      <c r="J40" s="140" t="s">
        <v>315</v>
      </c>
      <c r="K40" s="55">
        <v>20038918</v>
      </c>
      <c r="L40" s="55" t="s">
        <v>198</v>
      </c>
      <c r="M40" s="141" t="str">
        <f t="shared" si="0"/>
        <v>CC-INT_E</v>
      </c>
      <c r="N40" s="142" t="str">
        <f>LOOKUP(M40,'[2]Doc Set'!E:E,'[2]Doc Set'!F:F)</f>
        <v>_</v>
      </c>
      <c r="O40" s="141" t="s">
        <v>306</v>
      </c>
      <c r="P40" s="142">
        <f>+LOOKUP(O40,'[2]Doc Set'!E:E,'[2]Doc Set'!G:G)</f>
        <v>43489</v>
      </c>
      <c r="Q40" s="55" t="str">
        <f t="shared" si="1"/>
        <v>CC-INT_E</v>
      </c>
      <c r="R40" s="142">
        <f>+LOOKUP(Q40,'[2]Doc Set'!E:E,'[2]Doc Set'!H:H)</f>
        <v>43542</v>
      </c>
      <c r="S40" s="143" t="s">
        <v>200</v>
      </c>
    </row>
    <row r="41" spans="1:19" x14ac:dyDescent="0.3">
      <c r="A41" s="55" t="s">
        <v>40</v>
      </c>
      <c r="B41" s="55" t="s">
        <v>190</v>
      </c>
      <c r="C41" s="55" t="s">
        <v>191</v>
      </c>
      <c r="D41" s="138" t="s">
        <v>192</v>
      </c>
      <c r="E41" s="55" t="s">
        <v>193</v>
      </c>
      <c r="F41" s="55" t="s">
        <v>194</v>
      </c>
      <c r="G41" s="55" t="s">
        <v>316</v>
      </c>
      <c r="H41" s="55" t="s">
        <v>317</v>
      </c>
      <c r="I41" s="139" t="s">
        <v>51</v>
      </c>
      <c r="J41" s="140" t="s">
        <v>318</v>
      </c>
      <c r="K41" s="55">
        <v>20038918</v>
      </c>
      <c r="L41" s="55" t="s">
        <v>198</v>
      </c>
      <c r="M41" s="141" t="str">
        <f t="shared" si="0"/>
        <v>CC-INT_E</v>
      </c>
      <c r="N41" s="142" t="str">
        <f>LOOKUP(M41,'[2]Doc Set'!E:E,'[2]Doc Set'!F:F)</f>
        <v>_</v>
      </c>
      <c r="O41" s="141" t="s">
        <v>306</v>
      </c>
      <c r="P41" s="142">
        <f>+LOOKUP(O41,'[2]Doc Set'!E:E,'[2]Doc Set'!G:G)</f>
        <v>43489</v>
      </c>
      <c r="Q41" s="55" t="str">
        <f t="shared" si="1"/>
        <v>CC-INT_E</v>
      </c>
      <c r="R41" s="142">
        <f>+LOOKUP(Q41,'[2]Doc Set'!E:E,'[2]Doc Set'!H:H)</f>
        <v>43542</v>
      </c>
      <c r="S41" s="143" t="s">
        <v>200</v>
      </c>
    </row>
    <row r="42" spans="1:19" x14ac:dyDescent="0.3">
      <c r="A42" s="55" t="s">
        <v>40</v>
      </c>
      <c r="B42" s="55" t="s">
        <v>190</v>
      </c>
      <c r="C42" s="55" t="s">
        <v>191</v>
      </c>
      <c r="D42" s="138" t="s">
        <v>192</v>
      </c>
      <c r="E42" s="55" t="s">
        <v>193</v>
      </c>
      <c r="F42" s="55" t="s">
        <v>194</v>
      </c>
      <c r="G42" s="55" t="s">
        <v>319</v>
      </c>
      <c r="H42" s="55" t="s">
        <v>320</v>
      </c>
      <c r="I42" s="139" t="s">
        <v>51</v>
      </c>
      <c r="J42" s="140" t="s">
        <v>321</v>
      </c>
      <c r="K42" s="55">
        <v>20038918</v>
      </c>
      <c r="L42" s="55" t="s">
        <v>198</v>
      </c>
      <c r="M42" s="141" t="str">
        <f t="shared" si="0"/>
        <v>CC-INT_E</v>
      </c>
      <c r="N42" s="142" t="str">
        <f>LOOKUP(M42,'[2]Doc Set'!E:E,'[2]Doc Set'!F:F)</f>
        <v>_</v>
      </c>
      <c r="O42" s="141" t="s">
        <v>306</v>
      </c>
      <c r="P42" s="142">
        <f>+LOOKUP(O42,'[2]Doc Set'!E:E,'[2]Doc Set'!G:G)</f>
        <v>43489</v>
      </c>
      <c r="Q42" s="55" t="str">
        <f t="shared" si="1"/>
        <v>CC-INT_E</v>
      </c>
      <c r="R42" s="142">
        <f>+LOOKUP(Q42,'[2]Doc Set'!E:E,'[2]Doc Set'!H:H)</f>
        <v>43542</v>
      </c>
      <c r="S42" s="143" t="s">
        <v>200</v>
      </c>
    </row>
    <row r="43" spans="1:19" x14ac:dyDescent="0.3">
      <c r="A43" s="55" t="s">
        <v>40</v>
      </c>
      <c r="B43" s="55" t="s">
        <v>190</v>
      </c>
      <c r="C43" s="55" t="s">
        <v>191</v>
      </c>
      <c r="D43" s="138" t="s">
        <v>192</v>
      </c>
      <c r="E43" s="55" t="s">
        <v>193</v>
      </c>
      <c r="F43" s="55" t="s">
        <v>194</v>
      </c>
      <c r="G43" s="55" t="s">
        <v>322</v>
      </c>
      <c r="H43" s="55" t="s">
        <v>323</v>
      </c>
      <c r="I43" s="139" t="s">
        <v>51</v>
      </c>
      <c r="J43" s="140" t="s">
        <v>324</v>
      </c>
      <c r="K43" s="55">
        <v>20038918</v>
      </c>
      <c r="L43" s="55" t="s">
        <v>198</v>
      </c>
      <c r="M43" s="141" t="str">
        <f t="shared" si="0"/>
        <v>CC-INT_E</v>
      </c>
      <c r="N43" s="142" t="str">
        <f>LOOKUP(M43,'[2]Doc Set'!E:E,'[2]Doc Set'!F:F)</f>
        <v>_</v>
      </c>
      <c r="O43" s="141" t="s">
        <v>306</v>
      </c>
      <c r="P43" s="142">
        <f>+LOOKUP(O43,'[2]Doc Set'!E:E,'[2]Doc Set'!G:G)</f>
        <v>43489</v>
      </c>
      <c r="Q43" s="55" t="str">
        <f t="shared" si="1"/>
        <v>CC-INT_E</v>
      </c>
      <c r="R43" s="142">
        <f>+LOOKUP(Q43,'[2]Doc Set'!E:E,'[2]Doc Set'!H:H)</f>
        <v>43542</v>
      </c>
      <c r="S43" s="143" t="s">
        <v>200</v>
      </c>
    </row>
    <row r="44" spans="1:19" x14ac:dyDescent="0.3">
      <c r="A44" s="55" t="s">
        <v>40</v>
      </c>
      <c r="B44" s="55" t="s">
        <v>190</v>
      </c>
      <c r="C44" s="55" t="s">
        <v>191</v>
      </c>
      <c r="D44" s="138" t="s">
        <v>192</v>
      </c>
      <c r="E44" s="55" t="s">
        <v>193</v>
      </c>
      <c r="F44" s="55" t="s">
        <v>194</v>
      </c>
      <c r="G44" s="55" t="s">
        <v>325</v>
      </c>
      <c r="H44" s="55" t="s">
        <v>326</v>
      </c>
      <c r="I44" s="139" t="s">
        <v>51</v>
      </c>
      <c r="J44" s="140" t="s">
        <v>327</v>
      </c>
      <c r="K44" s="55">
        <v>20038918</v>
      </c>
      <c r="L44" s="55" t="s">
        <v>198</v>
      </c>
      <c r="M44" s="141" t="str">
        <f t="shared" si="0"/>
        <v>CC-INT_E</v>
      </c>
      <c r="N44" s="142" t="str">
        <f>LOOKUP(M44,'[2]Doc Set'!E:E,'[2]Doc Set'!F:F)</f>
        <v>_</v>
      </c>
      <c r="O44" s="141" t="s">
        <v>306</v>
      </c>
      <c r="P44" s="142">
        <f>+LOOKUP(O44,'[2]Doc Set'!E:E,'[2]Doc Set'!G:G)</f>
        <v>43489</v>
      </c>
      <c r="Q44" s="55" t="str">
        <f t="shared" si="1"/>
        <v>CC-INT_E</v>
      </c>
      <c r="R44" s="142">
        <f>+LOOKUP(Q44,'[2]Doc Set'!E:E,'[2]Doc Set'!H:H)</f>
        <v>43542</v>
      </c>
      <c r="S44" s="143" t="s">
        <v>200</v>
      </c>
    </row>
    <row r="45" spans="1:19" x14ac:dyDescent="0.3">
      <c r="A45" s="55" t="s">
        <v>40</v>
      </c>
      <c r="B45" s="55" t="s">
        <v>190</v>
      </c>
      <c r="C45" s="55" t="s">
        <v>191</v>
      </c>
      <c r="D45" s="138" t="s">
        <v>192</v>
      </c>
      <c r="E45" s="55" t="s">
        <v>193</v>
      </c>
      <c r="F45" s="55" t="s">
        <v>194</v>
      </c>
      <c r="G45" s="55" t="s">
        <v>328</v>
      </c>
      <c r="H45" s="55" t="s">
        <v>329</v>
      </c>
      <c r="I45" s="139" t="s">
        <v>51</v>
      </c>
      <c r="J45" s="140" t="s">
        <v>330</v>
      </c>
      <c r="K45" s="55">
        <v>20038918</v>
      </c>
      <c r="L45" s="55" t="s">
        <v>198</v>
      </c>
      <c r="M45" s="141" t="str">
        <f t="shared" si="0"/>
        <v>CC-INT_E</v>
      </c>
      <c r="N45" s="142" t="str">
        <f>LOOKUP(M45,'[2]Doc Set'!E:E,'[2]Doc Set'!F:F)</f>
        <v>_</v>
      </c>
      <c r="O45" s="141" t="s">
        <v>306</v>
      </c>
      <c r="P45" s="142">
        <f>+LOOKUP(O45,'[2]Doc Set'!E:E,'[2]Doc Set'!G:G)</f>
        <v>43489</v>
      </c>
      <c r="Q45" s="55" t="str">
        <f t="shared" si="1"/>
        <v>CC-INT_E</v>
      </c>
      <c r="R45" s="142">
        <f>+LOOKUP(Q45,'[2]Doc Set'!E:E,'[2]Doc Set'!H:H)</f>
        <v>43542</v>
      </c>
      <c r="S45" s="143" t="s">
        <v>200</v>
      </c>
    </row>
    <row r="46" spans="1:19" x14ac:dyDescent="0.3">
      <c r="A46" s="55" t="s">
        <v>40</v>
      </c>
      <c r="B46" s="55" t="s">
        <v>190</v>
      </c>
      <c r="C46" s="55" t="s">
        <v>191</v>
      </c>
      <c r="D46" s="138" t="s">
        <v>192</v>
      </c>
      <c r="E46" s="55" t="s">
        <v>193</v>
      </c>
      <c r="F46" s="55" t="s">
        <v>194</v>
      </c>
      <c r="G46" s="55" t="s">
        <v>331</v>
      </c>
      <c r="H46" s="55" t="s">
        <v>332</v>
      </c>
      <c r="I46" s="139" t="s">
        <v>51</v>
      </c>
      <c r="J46" s="140" t="s">
        <v>333</v>
      </c>
      <c r="K46" s="55">
        <v>20038918</v>
      </c>
      <c r="L46" s="55" t="s">
        <v>198</v>
      </c>
      <c r="M46" s="141" t="str">
        <f t="shared" si="0"/>
        <v>CC-INT_E</v>
      </c>
      <c r="N46" s="142" t="str">
        <f>LOOKUP(M46,'[2]Doc Set'!E:E,'[2]Doc Set'!F:F)</f>
        <v>_</v>
      </c>
      <c r="O46" s="141" t="s">
        <v>306</v>
      </c>
      <c r="P46" s="142">
        <f>+LOOKUP(O46,'[2]Doc Set'!E:E,'[2]Doc Set'!G:G)</f>
        <v>43489</v>
      </c>
      <c r="Q46" s="55" t="str">
        <f t="shared" si="1"/>
        <v>CC-INT_E</v>
      </c>
      <c r="R46" s="142">
        <f>+LOOKUP(Q46,'[2]Doc Set'!E:E,'[2]Doc Set'!H:H)</f>
        <v>43542</v>
      </c>
      <c r="S46" s="143" t="s">
        <v>200</v>
      </c>
    </row>
    <row r="47" spans="1:19" x14ac:dyDescent="0.3">
      <c r="A47" s="55" t="s">
        <v>40</v>
      </c>
      <c r="B47" s="55" t="s">
        <v>190</v>
      </c>
      <c r="C47" s="55" t="s">
        <v>191</v>
      </c>
      <c r="D47" s="138" t="s">
        <v>192</v>
      </c>
      <c r="E47" s="55" t="s">
        <v>193</v>
      </c>
      <c r="F47" s="55" t="s">
        <v>194</v>
      </c>
      <c r="G47" s="55" t="s">
        <v>334</v>
      </c>
      <c r="H47" s="55" t="s">
        <v>335</v>
      </c>
      <c r="I47" s="139" t="s">
        <v>51</v>
      </c>
      <c r="J47" s="140" t="s">
        <v>336</v>
      </c>
      <c r="K47" s="55">
        <v>20038918</v>
      </c>
      <c r="L47" s="55" t="s">
        <v>198</v>
      </c>
      <c r="M47" s="141" t="str">
        <f t="shared" si="0"/>
        <v>CC-INT_E</v>
      </c>
      <c r="N47" s="142" t="str">
        <f>LOOKUP(M47,'[2]Doc Set'!E:E,'[2]Doc Set'!F:F)</f>
        <v>_</v>
      </c>
      <c r="O47" s="141" t="s">
        <v>306</v>
      </c>
      <c r="P47" s="142">
        <f>+LOOKUP(O47,'[2]Doc Set'!E:E,'[2]Doc Set'!G:G)</f>
        <v>43489</v>
      </c>
      <c r="Q47" s="55" t="str">
        <f t="shared" si="1"/>
        <v>CC-INT_E</v>
      </c>
      <c r="R47" s="142">
        <f>+LOOKUP(Q47,'[2]Doc Set'!E:E,'[2]Doc Set'!H:H)</f>
        <v>43542</v>
      </c>
      <c r="S47" s="143" t="s">
        <v>200</v>
      </c>
    </row>
    <row r="48" spans="1:19" x14ac:dyDescent="0.3">
      <c r="A48" s="55" t="s">
        <v>40</v>
      </c>
      <c r="B48" s="55" t="s">
        <v>190</v>
      </c>
      <c r="C48" s="55" t="s">
        <v>191</v>
      </c>
      <c r="D48" s="138" t="s">
        <v>192</v>
      </c>
      <c r="E48" s="55" t="s">
        <v>193</v>
      </c>
      <c r="F48" s="55" t="s">
        <v>194</v>
      </c>
      <c r="G48" s="55" t="s">
        <v>337</v>
      </c>
      <c r="H48" s="55" t="s">
        <v>338</v>
      </c>
      <c r="I48" s="139" t="s">
        <v>51</v>
      </c>
      <c r="J48" s="140" t="s">
        <v>339</v>
      </c>
      <c r="K48" s="55">
        <v>20038918</v>
      </c>
      <c r="L48" s="55" t="s">
        <v>198</v>
      </c>
      <c r="M48" s="141" t="str">
        <f t="shared" si="0"/>
        <v>CC-INT_E</v>
      </c>
      <c r="N48" s="142" t="str">
        <f>LOOKUP(M48,'[2]Doc Set'!E:E,'[2]Doc Set'!F:F)</f>
        <v>_</v>
      </c>
      <c r="O48" s="141" t="s">
        <v>306</v>
      </c>
      <c r="P48" s="142">
        <f>+LOOKUP(O48,'[2]Doc Set'!E:E,'[2]Doc Set'!G:G)</f>
        <v>43489</v>
      </c>
      <c r="Q48" s="55" t="str">
        <f t="shared" si="1"/>
        <v>CC-INT_E</v>
      </c>
      <c r="R48" s="142">
        <f>+LOOKUP(Q48,'[2]Doc Set'!E:E,'[2]Doc Set'!H:H)</f>
        <v>43542</v>
      </c>
      <c r="S48" s="143" t="s">
        <v>200</v>
      </c>
    </row>
    <row r="49" spans="1:19" x14ac:dyDescent="0.3">
      <c r="A49" s="55" t="s">
        <v>40</v>
      </c>
      <c r="B49" s="55" t="s">
        <v>190</v>
      </c>
      <c r="C49" s="55" t="s">
        <v>191</v>
      </c>
      <c r="D49" s="138" t="s">
        <v>192</v>
      </c>
      <c r="E49" s="55" t="s">
        <v>193</v>
      </c>
      <c r="F49" s="55" t="s">
        <v>194</v>
      </c>
      <c r="G49" s="55" t="s">
        <v>340</v>
      </c>
      <c r="H49" s="55" t="s">
        <v>341</v>
      </c>
      <c r="I49" s="139" t="s">
        <v>51</v>
      </c>
      <c r="J49" s="140" t="s">
        <v>342</v>
      </c>
      <c r="K49" s="55">
        <v>20038918</v>
      </c>
      <c r="L49" s="55" t="s">
        <v>198</v>
      </c>
      <c r="M49" s="141" t="str">
        <f t="shared" si="0"/>
        <v>CC-INT_E</v>
      </c>
      <c r="N49" s="142" t="str">
        <f>LOOKUP(M49,'[2]Doc Set'!E:E,'[2]Doc Set'!F:F)</f>
        <v>_</v>
      </c>
      <c r="O49" s="141" t="s">
        <v>306</v>
      </c>
      <c r="P49" s="142">
        <f>+LOOKUP(O49,'[2]Doc Set'!E:E,'[2]Doc Set'!G:G)</f>
        <v>43489</v>
      </c>
      <c r="Q49" s="55" t="str">
        <f t="shared" si="1"/>
        <v>CC-INT_E</v>
      </c>
      <c r="R49" s="142">
        <f>+LOOKUP(Q49,'[2]Doc Set'!E:E,'[2]Doc Set'!H:H)</f>
        <v>43542</v>
      </c>
      <c r="S49" s="143" t="s">
        <v>200</v>
      </c>
    </row>
    <row r="50" spans="1:19" x14ac:dyDescent="0.3">
      <c r="A50" s="55" t="s">
        <v>40</v>
      </c>
      <c r="B50" s="55" t="s">
        <v>190</v>
      </c>
      <c r="C50" s="55" t="s">
        <v>191</v>
      </c>
      <c r="D50" s="138" t="s">
        <v>192</v>
      </c>
      <c r="E50" s="55" t="s">
        <v>193</v>
      </c>
      <c r="F50" s="55" t="s">
        <v>194</v>
      </c>
      <c r="G50" s="55" t="s">
        <v>343</v>
      </c>
      <c r="H50" s="55" t="s">
        <v>344</v>
      </c>
      <c r="I50" s="139" t="s">
        <v>51</v>
      </c>
      <c r="J50" s="140" t="s">
        <v>345</v>
      </c>
      <c r="K50" s="55">
        <v>20038918</v>
      </c>
      <c r="L50" s="55" t="s">
        <v>198</v>
      </c>
      <c r="M50" s="141" t="str">
        <f t="shared" si="0"/>
        <v>CC-INT_E</v>
      </c>
      <c r="N50" s="142" t="str">
        <f>LOOKUP(M50,'[2]Doc Set'!E:E,'[2]Doc Set'!F:F)</f>
        <v>_</v>
      </c>
      <c r="O50" s="141" t="s">
        <v>306</v>
      </c>
      <c r="P50" s="142">
        <f>+LOOKUP(O50,'[2]Doc Set'!E:E,'[2]Doc Set'!G:G)</f>
        <v>43489</v>
      </c>
      <c r="Q50" s="55" t="str">
        <f t="shared" si="1"/>
        <v>CC-INT_E</v>
      </c>
      <c r="R50" s="142">
        <f>+LOOKUP(Q50,'[2]Doc Set'!E:E,'[2]Doc Set'!H:H)</f>
        <v>43542</v>
      </c>
      <c r="S50" s="143" t="s">
        <v>200</v>
      </c>
    </row>
    <row r="51" spans="1:19" x14ac:dyDescent="0.3">
      <c r="A51" s="55" t="s">
        <v>40</v>
      </c>
      <c r="B51" s="55" t="s">
        <v>190</v>
      </c>
      <c r="C51" s="55" t="s">
        <v>191</v>
      </c>
      <c r="D51" s="138" t="s">
        <v>192</v>
      </c>
      <c r="E51" s="55" t="s">
        <v>193</v>
      </c>
      <c r="F51" s="55" t="s">
        <v>194</v>
      </c>
      <c r="G51" s="55" t="s">
        <v>346</v>
      </c>
      <c r="H51" s="55" t="s">
        <v>347</v>
      </c>
      <c r="I51" s="139" t="s">
        <v>51</v>
      </c>
      <c r="J51" s="140" t="s">
        <v>348</v>
      </c>
      <c r="K51" s="55">
        <v>20038918</v>
      </c>
      <c r="L51" s="55" t="s">
        <v>198</v>
      </c>
      <c r="M51" s="141" t="str">
        <f t="shared" si="0"/>
        <v>CC-INT_E</v>
      </c>
      <c r="N51" s="142" t="str">
        <f>LOOKUP(M51,'[2]Doc Set'!E:E,'[2]Doc Set'!F:F)</f>
        <v>_</v>
      </c>
      <c r="O51" s="141" t="s">
        <v>306</v>
      </c>
      <c r="P51" s="142">
        <f>+LOOKUP(O51,'[2]Doc Set'!E:E,'[2]Doc Set'!G:G)</f>
        <v>43489</v>
      </c>
      <c r="Q51" s="55" t="str">
        <f t="shared" si="1"/>
        <v>CC-INT_E</v>
      </c>
      <c r="R51" s="142">
        <f>+LOOKUP(Q51,'[2]Doc Set'!E:E,'[2]Doc Set'!H:H)</f>
        <v>43542</v>
      </c>
      <c r="S51" s="143" t="s">
        <v>200</v>
      </c>
    </row>
    <row r="52" spans="1:19" x14ac:dyDescent="0.3">
      <c r="A52" s="55" t="s">
        <v>40</v>
      </c>
      <c r="B52" s="55" t="s">
        <v>190</v>
      </c>
      <c r="C52" s="55" t="s">
        <v>191</v>
      </c>
      <c r="D52" s="138" t="s">
        <v>192</v>
      </c>
      <c r="E52" s="55" t="s">
        <v>193</v>
      </c>
      <c r="F52" s="55" t="s">
        <v>194</v>
      </c>
      <c r="G52" s="55" t="s">
        <v>349</v>
      </c>
      <c r="H52" s="55" t="s">
        <v>350</v>
      </c>
      <c r="I52" s="139" t="s">
        <v>51</v>
      </c>
      <c r="J52" s="140" t="s">
        <v>351</v>
      </c>
      <c r="K52" s="55">
        <v>20038918</v>
      </c>
      <c r="L52" s="55" t="s">
        <v>198</v>
      </c>
      <c r="M52" s="141" t="str">
        <f t="shared" si="0"/>
        <v>CC-INT_E</v>
      </c>
      <c r="N52" s="142" t="str">
        <f>LOOKUP(M52,'[2]Doc Set'!E:E,'[2]Doc Set'!F:F)</f>
        <v>_</v>
      </c>
      <c r="O52" s="141" t="s">
        <v>306</v>
      </c>
      <c r="P52" s="142">
        <f>+LOOKUP(O52,'[2]Doc Set'!E:E,'[2]Doc Set'!G:G)</f>
        <v>43489</v>
      </c>
      <c r="Q52" s="55" t="str">
        <f t="shared" si="1"/>
        <v>CC-INT_E</v>
      </c>
      <c r="R52" s="142">
        <f>+LOOKUP(Q52,'[2]Doc Set'!E:E,'[2]Doc Set'!H:H)</f>
        <v>43542</v>
      </c>
      <c r="S52" s="143" t="s">
        <v>200</v>
      </c>
    </row>
    <row r="53" spans="1:19" x14ac:dyDescent="0.3">
      <c r="A53" s="55" t="s">
        <v>40</v>
      </c>
      <c r="B53" s="55" t="s">
        <v>190</v>
      </c>
      <c r="C53" s="55" t="s">
        <v>191</v>
      </c>
      <c r="D53" s="138" t="s">
        <v>192</v>
      </c>
      <c r="E53" s="55" t="s">
        <v>193</v>
      </c>
      <c r="F53" s="55" t="s">
        <v>194</v>
      </c>
      <c r="G53" s="55" t="s">
        <v>352</v>
      </c>
      <c r="H53" s="55" t="s">
        <v>353</v>
      </c>
      <c r="I53" s="139" t="s">
        <v>51</v>
      </c>
      <c r="J53" s="140" t="s">
        <v>354</v>
      </c>
      <c r="K53" s="55">
        <v>20038918</v>
      </c>
      <c r="L53" s="55" t="s">
        <v>198</v>
      </c>
      <c r="M53" s="141" t="str">
        <f t="shared" si="0"/>
        <v>CC-INT_E</v>
      </c>
      <c r="N53" s="142" t="str">
        <f>LOOKUP(M53,'[2]Doc Set'!E:E,'[2]Doc Set'!F:F)</f>
        <v>_</v>
      </c>
      <c r="O53" s="141" t="s">
        <v>306</v>
      </c>
      <c r="P53" s="142">
        <f>+LOOKUP(O53,'[2]Doc Set'!E:E,'[2]Doc Set'!G:G)</f>
        <v>43489</v>
      </c>
      <c r="Q53" s="55" t="str">
        <f t="shared" si="1"/>
        <v>CC-INT_E</v>
      </c>
      <c r="R53" s="142">
        <f>+LOOKUP(Q53,'[2]Doc Set'!E:E,'[2]Doc Set'!H:H)</f>
        <v>43542</v>
      </c>
      <c r="S53" s="143" t="s">
        <v>200</v>
      </c>
    </row>
    <row r="54" spans="1:19" x14ac:dyDescent="0.3">
      <c r="A54" s="55" t="s">
        <v>40</v>
      </c>
      <c r="B54" s="55" t="s">
        <v>190</v>
      </c>
      <c r="C54" s="55" t="s">
        <v>191</v>
      </c>
      <c r="D54" s="138" t="s">
        <v>192</v>
      </c>
      <c r="E54" s="55" t="s">
        <v>193</v>
      </c>
      <c r="F54" s="55" t="s">
        <v>194</v>
      </c>
      <c r="G54" s="55" t="s">
        <v>355</v>
      </c>
      <c r="H54" s="55" t="s">
        <v>356</v>
      </c>
      <c r="I54" s="139" t="s">
        <v>51</v>
      </c>
      <c r="J54" s="140" t="s">
        <v>357</v>
      </c>
      <c r="K54" s="55">
        <v>20038918</v>
      </c>
      <c r="L54" s="55" t="s">
        <v>198</v>
      </c>
      <c r="M54" s="141" t="str">
        <f t="shared" si="0"/>
        <v>CC-INT_E</v>
      </c>
      <c r="N54" s="142" t="str">
        <f>LOOKUP(M54,'[2]Doc Set'!E:E,'[2]Doc Set'!F:F)</f>
        <v>_</v>
      </c>
      <c r="O54" s="141" t="s">
        <v>306</v>
      </c>
      <c r="P54" s="142">
        <f>+LOOKUP(O54,'[2]Doc Set'!E:E,'[2]Doc Set'!G:G)</f>
        <v>43489</v>
      </c>
      <c r="Q54" s="55" t="str">
        <f t="shared" si="1"/>
        <v>CC-INT_E</v>
      </c>
      <c r="R54" s="142">
        <f>+LOOKUP(Q54,'[2]Doc Set'!E:E,'[2]Doc Set'!H:H)</f>
        <v>43542</v>
      </c>
      <c r="S54" s="143" t="s">
        <v>200</v>
      </c>
    </row>
    <row r="55" spans="1:19" x14ac:dyDescent="0.3">
      <c r="A55" s="55" t="s">
        <v>40</v>
      </c>
      <c r="B55" s="55" t="s">
        <v>190</v>
      </c>
      <c r="C55" s="55" t="s">
        <v>191</v>
      </c>
      <c r="D55" s="138" t="s">
        <v>192</v>
      </c>
      <c r="E55" s="55" t="s">
        <v>193</v>
      </c>
      <c r="F55" s="55" t="s">
        <v>194</v>
      </c>
      <c r="G55" s="55" t="s">
        <v>358</v>
      </c>
      <c r="H55" s="55" t="s">
        <v>359</v>
      </c>
      <c r="I55" s="139" t="s">
        <v>51</v>
      </c>
      <c r="J55" s="140" t="s">
        <v>360</v>
      </c>
      <c r="K55" s="55">
        <v>20038918</v>
      </c>
      <c r="L55" s="55" t="s">
        <v>198</v>
      </c>
      <c r="M55" s="141" t="str">
        <f t="shared" si="0"/>
        <v>CC-INT_E</v>
      </c>
      <c r="N55" s="142" t="str">
        <f>LOOKUP(M55,'[2]Doc Set'!E:E,'[2]Doc Set'!F:F)</f>
        <v>_</v>
      </c>
      <c r="O55" s="141" t="s">
        <v>306</v>
      </c>
      <c r="P55" s="142">
        <f>+LOOKUP(O55,'[2]Doc Set'!E:E,'[2]Doc Set'!G:G)</f>
        <v>43489</v>
      </c>
      <c r="Q55" s="55" t="str">
        <f t="shared" si="1"/>
        <v>CC-INT_E</v>
      </c>
      <c r="R55" s="142">
        <f>+LOOKUP(Q55,'[2]Doc Set'!E:E,'[2]Doc Set'!H:H)</f>
        <v>43542</v>
      </c>
      <c r="S55" s="143" t="s">
        <v>200</v>
      </c>
    </row>
    <row r="56" spans="1:19" x14ac:dyDescent="0.3">
      <c r="A56" s="55" t="s">
        <v>40</v>
      </c>
      <c r="B56" s="55" t="s">
        <v>190</v>
      </c>
      <c r="C56" s="55" t="s">
        <v>191</v>
      </c>
      <c r="D56" s="138" t="s">
        <v>192</v>
      </c>
      <c r="E56" s="55" t="s">
        <v>193</v>
      </c>
      <c r="F56" s="55" t="s">
        <v>194</v>
      </c>
      <c r="G56" s="55" t="s">
        <v>361</v>
      </c>
      <c r="H56" s="55" t="s">
        <v>362</v>
      </c>
      <c r="I56" s="139" t="s">
        <v>51</v>
      </c>
      <c r="J56" s="140" t="s">
        <v>363</v>
      </c>
      <c r="K56" s="55">
        <v>20038918</v>
      </c>
      <c r="L56" s="55" t="s">
        <v>198</v>
      </c>
      <c r="M56" s="141" t="str">
        <f t="shared" si="0"/>
        <v>CC-INT_E</v>
      </c>
      <c r="N56" s="142" t="str">
        <f>LOOKUP(M56,'[2]Doc Set'!E:E,'[2]Doc Set'!F:F)</f>
        <v>_</v>
      </c>
      <c r="O56" s="141" t="s">
        <v>306</v>
      </c>
      <c r="P56" s="142">
        <f>+LOOKUP(O56,'[2]Doc Set'!E:E,'[2]Doc Set'!G:G)</f>
        <v>43489</v>
      </c>
      <c r="Q56" s="55" t="str">
        <f t="shared" si="1"/>
        <v>CC-INT_E</v>
      </c>
      <c r="R56" s="142">
        <f>+LOOKUP(Q56,'[2]Doc Set'!E:E,'[2]Doc Set'!H:H)</f>
        <v>43542</v>
      </c>
      <c r="S56" s="143" t="s">
        <v>200</v>
      </c>
    </row>
    <row r="57" spans="1:19" x14ac:dyDescent="0.3">
      <c r="A57" s="55" t="s">
        <v>40</v>
      </c>
      <c r="B57" s="55" t="s">
        <v>190</v>
      </c>
      <c r="C57" s="55" t="s">
        <v>191</v>
      </c>
      <c r="D57" s="138" t="s">
        <v>192</v>
      </c>
      <c r="E57" s="55" t="s">
        <v>193</v>
      </c>
      <c r="F57" s="55" t="s">
        <v>194</v>
      </c>
      <c r="G57" s="55" t="s">
        <v>364</v>
      </c>
      <c r="H57" s="55" t="s">
        <v>365</v>
      </c>
      <c r="I57" s="139" t="s">
        <v>51</v>
      </c>
      <c r="J57" s="140" t="s">
        <v>366</v>
      </c>
      <c r="K57" s="55">
        <v>20038918</v>
      </c>
      <c r="L57" s="55" t="s">
        <v>198</v>
      </c>
      <c r="M57" s="141" t="str">
        <f t="shared" si="0"/>
        <v>CC-INT_E</v>
      </c>
      <c r="N57" s="142" t="str">
        <f>LOOKUP(M57,'[2]Doc Set'!E:E,'[2]Doc Set'!F:F)</f>
        <v>_</v>
      </c>
      <c r="O57" s="141" t="s">
        <v>306</v>
      </c>
      <c r="P57" s="142">
        <f>+LOOKUP(O57,'[2]Doc Set'!E:E,'[2]Doc Set'!G:G)</f>
        <v>43489</v>
      </c>
      <c r="Q57" s="55" t="str">
        <f t="shared" si="1"/>
        <v>CC-INT_E</v>
      </c>
      <c r="R57" s="142">
        <f>+LOOKUP(Q57,'[2]Doc Set'!E:E,'[2]Doc Set'!H:H)</f>
        <v>43542</v>
      </c>
      <c r="S57" s="143" t="s">
        <v>200</v>
      </c>
    </row>
    <row r="58" spans="1:19" x14ac:dyDescent="0.3">
      <c r="A58" s="55" t="s">
        <v>40</v>
      </c>
      <c r="B58" s="55" t="s">
        <v>190</v>
      </c>
      <c r="C58" s="55" t="s">
        <v>191</v>
      </c>
      <c r="D58" s="138" t="s">
        <v>192</v>
      </c>
      <c r="E58" s="55" t="s">
        <v>193</v>
      </c>
      <c r="F58" s="55" t="s">
        <v>194</v>
      </c>
      <c r="G58" s="55" t="s">
        <v>367</v>
      </c>
      <c r="H58" s="55" t="s">
        <v>368</v>
      </c>
      <c r="I58" s="139" t="s">
        <v>51</v>
      </c>
      <c r="J58" s="140" t="s">
        <v>369</v>
      </c>
      <c r="K58" s="55">
        <v>20038918</v>
      </c>
      <c r="L58" s="55" t="s">
        <v>198</v>
      </c>
      <c r="M58" s="141" t="str">
        <f t="shared" si="0"/>
        <v>CC-INT_E</v>
      </c>
      <c r="N58" s="142" t="str">
        <f>LOOKUP(M58,'[2]Doc Set'!E:E,'[2]Doc Set'!F:F)</f>
        <v>_</v>
      </c>
      <c r="O58" s="141" t="s">
        <v>306</v>
      </c>
      <c r="P58" s="142">
        <f>+LOOKUP(O58,'[2]Doc Set'!E:E,'[2]Doc Set'!G:G)</f>
        <v>43489</v>
      </c>
      <c r="Q58" s="55" t="str">
        <f t="shared" si="1"/>
        <v>CC-INT_E</v>
      </c>
      <c r="R58" s="142">
        <f>+LOOKUP(Q58,'[2]Doc Set'!E:E,'[2]Doc Set'!H:H)</f>
        <v>43542</v>
      </c>
      <c r="S58" s="143" t="s">
        <v>200</v>
      </c>
    </row>
    <row r="59" spans="1:19" x14ac:dyDescent="0.3">
      <c r="A59" s="55" t="s">
        <v>40</v>
      </c>
      <c r="B59" s="55" t="s">
        <v>190</v>
      </c>
      <c r="C59" s="55" t="s">
        <v>191</v>
      </c>
      <c r="D59" s="138" t="s">
        <v>192</v>
      </c>
      <c r="E59" s="55" t="s">
        <v>193</v>
      </c>
      <c r="F59" s="55" t="s">
        <v>194</v>
      </c>
      <c r="G59" s="55" t="s">
        <v>370</v>
      </c>
      <c r="H59" s="55" t="s">
        <v>371</v>
      </c>
      <c r="I59" s="139" t="s">
        <v>51</v>
      </c>
      <c r="J59" s="140" t="s">
        <v>372</v>
      </c>
      <c r="K59" s="55">
        <v>20038918</v>
      </c>
      <c r="L59" s="55" t="s">
        <v>198</v>
      </c>
      <c r="M59" s="141" t="str">
        <f t="shared" si="0"/>
        <v>CC-INT_E</v>
      </c>
      <c r="N59" s="142" t="str">
        <f>LOOKUP(M59,'[2]Doc Set'!E:E,'[2]Doc Set'!F:F)</f>
        <v>_</v>
      </c>
      <c r="O59" s="141" t="s">
        <v>306</v>
      </c>
      <c r="P59" s="142">
        <f>+LOOKUP(O59,'[2]Doc Set'!E:E,'[2]Doc Set'!G:G)</f>
        <v>43489</v>
      </c>
      <c r="Q59" s="55" t="str">
        <f t="shared" si="1"/>
        <v>CC-INT_E</v>
      </c>
      <c r="R59" s="142">
        <f>+LOOKUP(Q59,'[2]Doc Set'!E:E,'[2]Doc Set'!H:H)</f>
        <v>43542</v>
      </c>
      <c r="S59" s="143" t="s">
        <v>200</v>
      </c>
    </row>
    <row r="60" spans="1:19" x14ac:dyDescent="0.3">
      <c r="A60" s="55" t="s">
        <v>40</v>
      </c>
      <c r="B60" s="55" t="s">
        <v>190</v>
      </c>
      <c r="C60" s="55" t="s">
        <v>191</v>
      </c>
      <c r="D60" s="138" t="s">
        <v>192</v>
      </c>
      <c r="E60" s="55" t="s">
        <v>193</v>
      </c>
      <c r="F60" s="55" t="s">
        <v>194</v>
      </c>
      <c r="G60" s="55" t="s">
        <v>373</v>
      </c>
      <c r="H60" s="55" t="s">
        <v>374</v>
      </c>
      <c r="I60" s="139" t="s">
        <v>51</v>
      </c>
      <c r="J60" s="140" t="s">
        <v>375</v>
      </c>
      <c r="K60" s="55">
        <v>20038918</v>
      </c>
      <c r="L60" s="55" t="s">
        <v>198</v>
      </c>
      <c r="M60" s="141" t="str">
        <f t="shared" si="0"/>
        <v>CC-INT_E</v>
      </c>
      <c r="N60" s="142" t="str">
        <f>LOOKUP(M60,'[2]Doc Set'!E:E,'[2]Doc Set'!F:F)</f>
        <v>_</v>
      </c>
      <c r="O60" s="141" t="s">
        <v>306</v>
      </c>
      <c r="P60" s="142">
        <f>+LOOKUP(O60,'[2]Doc Set'!E:E,'[2]Doc Set'!G:G)</f>
        <v>43489</v>
      </c>
      <c r="Q60" s="55" t="str">
        <f t="shared" si="1"/>
        <v>CC-INT_E</v>
      </c>
      <c r="R60" s="142">
        <f>+LOOKUP(Q60,'[2]Doc Set'!E:E,'[2]Doc Set'!H:H)</f>
        <v>43542</v>
      </c>
      <c r="S60" s="143" t="s">
        <v>200</v>
      </c>
    </row>
    <row r="61" spans="1:19" x14ac:dyDescent="0.3">
      <c r="A61" s="55" t="s">
        <v>40</v>
      </c>
      <c r="B61" s="55" t="s">
        <v>190</v>
      </c>
      <c r="C61" s="55" t="s">
        <v>191</v>
      </c>
      <c r="D61" s="138" t="s">
        <v>192</v>
      </c>
      <c r="E61" s="55" t="s">
        <v>193</v>
      </c>
      <c r="F61" s="55" t="s">
        <v>194</v>
      </c>
      <c r="G61" s="55" t="s">
        <v>376</v>
      </c>
      <c r="H61" s="55" t="s">
        <v>377</v>
      </c>
      <c r="I61" s="139" t="s">
        <v>51</v>
      </c>
      <c r="J61" s="140" t="s">
        <v>378</v>
      </c>
      <c r="K61" s="55">
        <v>20038918</v>
      </c>
      <c r="L61" s="55" t="s">
        <v>198</v>
      </c>
      <c r="M61" s="141" t="str">
        <f t="shared" si="0"/>
        <v>CC-INT_E</v>
      </c>
      <c r="N61" s="142" t="str">
        <f>LOOKUP(M61,'[2]Doc Set'!E:E,'[2]Doc Set'!F:F)</f>
        <v>_</v>
      </c>
      <c r="O61" s="141" t="s">
        <v>306</v>
      </c>
      <c r="P61" s="142">
        <f>+LOOKUP(O61,'[2]Doc Set'!E:E,'[2]Doc Set'!G:G)</f>
        <v>43489</v>
      </c>
      <c r="Q61" s="55" t="str">
        <f t="shared" si="1"/>
        <v>CC-INT_E</v>
      </c>
      <c r="R61" s="142">
        <f>+LOOKUP(Q61,'[2]Doc Set'!E:E,'[2]Doc Set'!H:H)</f>
        <v>43542</v>
      </c>
      <c r="S61" s="143" t="s">
        <v>200</v>
      </c>
    </row>
    <row r="62" spans="1:19" x14ac:dyDescent="0.3">
      <c r="A62" s="55" t="s">
        <v>40</v>
      </c>
      <c r="B62" s="55" t="s">
        <v>190</v>
      </c>
      <c r="C62" s="55" t="s">
        <v>191</v>
      </c>
      <c r="D62" s="138" t="s">
        <v>192</v>
      </c>
      <c r="E62" s="55" t="s">
        <v>193</v>
      </c>
      <c r="F62" s="55" t="s">
        <v>194</v>
      </c>
      <c r="G62" s="55" t="s">
        <v>379</v>
      </c>
      <c r="H62" s="55" t="s">
        <v>380</v>
      </c>
      <c r="I62" s="139" t="s">
        <v>51</v>
      </c>
      <c r="J62" s="140" t="s">
        <v>381</v>
      </c>
      <c r="K62" s="55">
        <v>20038918</v>
      </c>
      <c r="L62" s="55" t="s">
        <v>198</v>
      </c>
      <c r="M62" s="141" t="str">
        <f t="shared" si="0"/>
        <v>CC-INT_E</v>
      </c>
      <c r="N62" s="142" t="str">
        <f>LOOKUP(M62,'[2]Doc Set'!E:E,'[2]Doc Set'!F:F)</f>
        <v>_</v>
      </c>
      <c r="O62" s="141" t="s">
        <v>306</v>
      </c>
      <c r="P62" s="142">
        <f>+LOOKUP(O62,'[2]Doc Set'!E:E,'[2]Doc Set'!G:G)</f>
        <v>43489</v>
      </c>
      <c r="Q62" s="55" t="str">
        <f t="shared" si="1"/>
        <v>CC-INT_E</v>
      </c>
      <c r="R62" s="142">
        <f>+LOOKUP(Q62,'[2]Doc Set'!E:E,'[2]Doc Set'!H:H)</f>
        <v>43542</v>
      </c>
      <c r="S62" s="143" t="s">
        <v>200</v>
      </c>
    </row>
    <row r="63" spans="1:19" x14ac:dyDescent="0.3">
      <c r="A63" s="55" t="s">
        <v>40</v>
      </c>
      <c r="B63" s="55" t="s">
        <v>190</v>
      </c>
      <c r="C63" s="55" t="s">
        <v>191</v>
      </c>
      <c r="D63" s="138" t="s">
        <v>192</v>
      </c>
      <c r="E63" s="55" t="s">
        <v>193</v>
      </c>
      <c r="F63" s="55" t="s">
        <v>194</v>
      </c>
      <c r="G63" s="55" t="s">
        <v>382</v>
      </c>
      <c r="H63" s="55" t="s">
        <v>383</v>
      </c>
      <c r="I63" s="139" t="s">
        <v>51</v>
      </c>
      <c r="J63" s="140" t="s">
        <v>384</v>
      </c>
      <c r="K63" s="55">
        <v>20038918</v>
      </c>
      <c r="L63" s="55" t="s">
        <v>198</v>
      </c>
      <c r="M63" s="141" t="str">
        <f t="shared" si="0"/>
        <v>CC-INT_E</v>
      </c>
      <c r="N63" s="142" t="str">
        <f>LOOKUP(M63,'[2]Doc Set'!E:E,'[2]Doc Set'!F:F)</f>
        <v>_</v>
      </c>
      <c r="O63" s="141" t="s">
        <v>306</v>
      </c>
      <c r="P63" s="142">
        <f>+LOOKUP(O63,'[2]Doc Set'!E:E,'[2]Doc Set'!G:G)</f>
        <v>43489</v>
      </c>
      <c r="Q63" s="55" t="str">
        <f t="shared" si="1"/>
        <v>CC-INT_E</v>
      </c>
      <c r="R63" s="142">
        <f>+LOOKUP(Q63,'[2]Doc Set'!E:E,'[2]Doc Set'!H:H)</f>
        <v>43542</v>
      </c>
      <c r="S63" s="143" t="s">
        <v>200</v>
      </c>
    </row>
    <row r="64" spans="1:19" x14ac:dyDescent="0.3">
      <c r="A64" s="55" t="s">
        <v>40</v>
      </c>
      <c r="B64" s="55" t="s">
        <v>190</v>
      </c>
      <c r="C64" s="55" t="s">
        <v>191</v>
      </c>
      <c r="D64" s="138" t="s">
        <v>192</v>
      </c>
      <c r="E64" s="55" t="s">
        <v>193</v>
      </c>
      <c r="F64" s="55" t="s">
        <v>194</v>
      </c>
      <c r="G64" s="55" t="s">
        <v>385</v>
      </c>
      <c r="H64" s="55" t="s">
        <v>386</v>
      </c>
      <c r="I64" s="139" t="s">
        <v>51</v>
      </c>
      <c r="J64" s="140" t="s">
        <v>387</v>
      </c>
      <c r="K64" s="55">
        <v>20038918</v>
      </c>
      <c r="L64" s="55" t="s">
        <v>198</v>
      </c>
      <c r="M64" s="141" t="str">
        <f t="shared" si="0"/>
        <v>CC-INT_E</v>
      </c>
      <c r="N64" s="142" t="str">
        <f>LOOKUP(M64,'[2]Doc Set'!E:E,'[2]Doc Set'!F:F)</f>
        <v>_</v>
      </c>
      <c r="O64" s="141" t="s">
        <v>306</v>
      </c>
      <c r="P64" s="142">
        <f>+LOOKUP(O64,'[2]Doc Set'!E:E,'[2]Doc Set'!G:G)</f>
        <v>43489</v>
      </c>
      <c r="Q64" s="55" t="str">
        <f t="shared" si="1"/>
        <v>CC-INT_E</v>
      </c>
      <c r="R64" s="142">
        <f>+LOOKUP(Q64,'[2]Doc Set'!E:E,'[2]Doc Set'!H:H)</f>
        <v>43542</v>
      </c>
      <c r="S64" s="143" t="s">
        <v>200</v>
      </c>
    </row>
    <row r="65" spans="1:19" x14ac:dyDescent="0.3">
      <c r="A65" s="55" t="s">
        <v>40</v>
      </c>
      <c r="B65" s="55" t="s">
        <v>190</v>
      </c>
      <c r="C65" s="55" t="s">
        <v>191</v>
      </c>
      <c r="D65" s="138" t="s">
        <v>192</v>
      </c>
      <c r="E65" s="55" t="s">
        <v>193</v>
      </c>
      <c r="F65" s="55" t="s">
        <v>194</v>
      </c>
      <c r="G65" s="55" t="s">
        <v>388</v>
      </c>
      <c r="H65" s="55" t="s">
        <v>389</v>
      </c>
      <c r="I65" s="139" t="s">
        <v>51</v>
      </c>
      <c r="J65" s="140" t="s">
        <v>390</v>
      </c>
      <c r="K65" s="55">
        <v>20038918</v>
      </c>
      <c r="L65" s="55" t="s">
        <v>198</v>
      </c>
      <c r="M65" s="141" t="str">
        <f t="shared" si="0"/>
        <v>CC-INT_E</v>
      </c>
      <c r="N65" s="142" t="str">
        <f>LOOKUP(M65,'[2]Doc Set'!E:E,'[2]Doc Set'!F:F)</f>
        <v>_</v>
      </c>
      <c r="O65" s="141" t="s">
        <v>306</v>
      </c>
      <c r="P65" s="142">
        <f>+LOOKUP(O65,'[2]Doc Set'!E:E,'[2]Doc Set'!G:G)</f>
        <v>43489</v>
      </c>
      <c r="Q65" s="55" t="str">
        <f t="shared" si="1"/>
        <v>CC-INT_E</v>
      </c>
      <c r="R65" s="142">
        <f>+LOOKUP(Q65,'[2]Doc Set'!E:E,'[2]Doc Set'!H:H)</f>
        <v>43542</v>
      </c>
      <c r="S65" s="143" t="s">
        <v>200</v>
      </c>
    </row>
    <row r="66" spans="1:19" x14ac:dyDescent="0.3">
      <c r="A66" s="55" t="s">
        <v>40</v>
      </c>
      <c r="B66" s="55" t="s">
        <v>190</v>
      </c>
      <c r="C66" s="55" t="s">
        <v>191</v>
      </c>
      <c r="D66" s="138" t="s">
        <v>192</v>
      </c>
      <c r="E66" s="55" t="s">
        <v>193</v>
      </c>
      <c r="F66" s="55" t="s">
        <v>194</v>
      </c>
      <c r="G66" s="55" t="s">
        <v>391</v>
      </c>
      <c r="H66" s="55" t="s">
        <v>392</v>
      </c>
      <c r="I66" s="139" t="s">
        <v>51</v>
      </c>
      <c r="J66" s="140" t="s">
        <v>393</v>
      </c>
      <c r="K66" s="55">
        <v>20038918</v>
      </c>
      <c r="L66" s="55" t="s">
        <v>198</v>
      </c>
      <c r="M66" s="141" t="str">
        <f t="shared" si="0"/>
        <v>CC-INT_E</v>
      </c>
      <c r="N66" s="142" t="str">
        <f>LOOKUP(M66,'[2]Doc Set'!E:E,'[2]Doc Set'!F:F)</f>
        <v>_</v>
      </c>
      <c r="O66" s="141" t="s">
        <v>306</v>
      </c>
      <c r="P66" s="142">
        <f>+LOOKUP(O66,'[2]Doc Set'!E:E,'[2]Doc Set'!G:G)</f>
        <v>43489</v>
      </c>
      <c r="Q66" s="55" t="str">
        <f t="shared" si="1"/>
        <v>CC-INT_E</v>
      </c>
      <c r="R66" s="142">
        <f>+LOOKUP(Q66,'[2]Doc Set'!E:E,'[2]Doc Set'!H:H)</f>
        <v>43542</v>
      </c>
      <c r="S66" s="143" t="s">
        <v>200</v>
      </c>
    </row>
    <row r="67" spans="1:19" x14ac:dyDescent="0.3">
      <c r="A67" s="55" t="s">
        <v>40</v>
      </c>
      <c r="B67" s="55" t="s">
        <v>190</v>
      </c>
      <c r="C67" s="55" t="s">
        <v>191</v>
      </c>
      <c r="D67" s="138" t="s">
        <v>192</v>
      </c>
      <c r="E67" s="55" t="s">
        <v>193</v>
      </c>
      <c r="F67" s="55" t="s">
        <v>194</v>
      </c>
      <c r="G67" s="55" t="s">
        <v>394</v>
      </c>
      <c r="H67" s="55" t="s">
        <v>395</v>
      </c>
      <c r="I67" s="139" t="s">
        <v>51</v>
      </c>
      <c r="J67" s="140" t="s">
        <v>396</v>
      </c>
      <c r="K67" s="55">
        <v>20038918</v>
      </c>
      <c r="L67" s="55" t="s">
        <v>198</v>
      </c>
      <c r="M67" s="141" t="str">
        <f t="shared" ref="M67:M119" si="2">+O67</f>
        <v>CC-INT_E</v>
      </c>
      <c r="N67" s="142" t="str">
        <f>LOOKUP(M67,'[2]Doc Set'!E:E,'[2]Doc Set'!F:F)</f>
        <v>_</v>
      </c>
      <c r="O67" s="141" t="s">
        <v>306</v>
      </c>
      <c r="P67" s="142">
        <f>+LOOKUP(O67,'[2]Doc Set'!E:E,'[2]Doc Set'!G:G)</f>
        <v>43489</v>
      </c>
      <c r="Q67" s="55" t="str">
        <f t="shared" ref="Q67:Q119" si="3">+O67</f>
        <v>CC-INT_E</v>
      </c>
      <c r="R67" s="142">
        <f>+LOOKUP(Q67,'[2]Doc Set'!E:E,'[2]Doc Set'!H:H)</f>
        <v>43542</v>
      </c>
      <c r="S67" s="143" t="s">
        <v>200</v>
      </c>
    </row>
    <row r="68" spans="1:19" x14ac:dyDescent="0.3">
      <c r="A68" s="55" t="s">
        <v>40</v>
      </c>
      <c r="B68" s="55" t="s">
        <v>190</v>
      </c>
      <c r="C68" s="55" t="s">
        <v>191</v>
      </c>
      <c r="D68" s="138" t="s">
        <v>192</v>
      </c>
      <c r="E68" s="55" t="s">
        <v>193</v>
      </c>
      <c r="F68" s="55" t="s">
        <v>194</v>
      </c>
      <c r="G68" s="55" t="s">
        <v>397</v>
      </c>
      <c r="H68" s="55" t="s">
        <v>398</v>
      </c>
      <c r="I68" s="139" t="s">
        <v>51</v>
      </c>
      <c r="J68" s="140" t="s">
        <v>399</v>
      </c>
      <c r="K68" s="55">
        <v>20038918</v>
      </c>
      <c r="L68" s="55" t="s">
        <v>198</v>
      </c>
      <c r="M68" s="141" t="str">
        <f t="shared" si="2"/>
        <v>CC-INT_E</v>
      </c>
      <c r="N68" s="142" t="str">
        <f>LOOKUP(M68,'[2]Doc Set'!E:E,'[2]Doc Set'!F:F)</f>
        <v>_</v>
      </c>
      <c r="O68" s="141" t="s">
        <v>306</v>
      </c>
      <c r="P68" s="142">
        <f>+LOOKUP(O68,'[2]Doc Set'!E:E,'[2]Doc Set'!G:G)</f>
        <v>43489</v>
      </c>
      <c r="Q68" s="55" t="str">
        <f t="shared" si="3"/>
        <v>CC-INT_E</v>
      </c>
      <c r="R68" s="142">
        <f>+LOOKUP(Q68,'[2]Doc Set'!E:E,'[2]Doc Set'!H:H)</f>
        <v>43542</v>
      </c>
      <c r="S68" s="143" t="s">
        <v>200</v>
      </c>
    </row>
    <row r="69" spans="1:19" x14ac:dyDescent="0.3">
      <c r="A69" s="55" t="s">
        <v>40</v>
      </c>
      <c r="B69" s="55" t="s">
        <v>190</v>
      </c>
      <c r="C69" s="55" t="s">
        <v>191</v>
      </c>
      <c r="D69" s="138" t="s">
        <v>192</v>
      </c>
      <c r="E69" s="55" t="s">
        <v>193</v>
      </c>
      <c r="F69" s="55" t="s">
        <v>194</v>
      </c>
      <c r="G69" s="55" t="s">
        <v>400</v>
      </c>
      <c r="H69" s="55" t="s">
        <v>401</v>
      </c>
      <c r="I69" s="139" t="s">
        <v>51</v>
      </c>
      <c r="J69" s="140" t="s">
        <v>402</v>
      </c>
      <c r="K69" s="55">
        <v>20038918</v>
      </c>
      <c r="L69" s="55" t="s">
        <v>198</v>
      </c>
      <c r="M69" s="141" t="str">
        <f t="shared" si="2"/>
        <v>CC-INT_E</v>
      </c>
      <c r="N69" s="142" t="str">
        <f>LOOKUP(M69,'[2]Doc Set'!E:E,'[2]Doc Set'!F:F)</f>
        <v>_</v>
      </c>
      <c r="O69" s="141" t="s">
        <v>306</v>
      </c>
      <c r="P69" s="142">
        <f>+LOOKUP(O69,'[2]Doc Set'!E:E,'[2]Doc Set'!G:G)</f>
        <v>43489</v>
      </c>
      <c r="Q69" s="55" t="str">
        <f t="shared" si="3"/>
        <v>CC-INT_E</v>
      </c>
      <c r="R69" s="142">
        <f>+LOOKUP(Q69,'[2]Doc Set'!E:E,'[2]Doc Set'!H:H)</f>
        <v>43542</v>
      </c>
      <c r="S69" s="143" t="s">
        <v>200</v>
      </c>
    </row>
    <row r="70" spans="1:19" x14ac:dyDescent="0.3">
      <c r="A70" s="55" t="s">
        <v>40</v>
      </c>
      <c r="B70" s="55" t="s">
        <v>190</v>
      </c>
      <c r="C70" s="55" t="s">
        <v>191</v>
      </c>
      <c r="D70" s="138" t="s">
        <v>192</v>
      </c>
      <c r="E70" s="55" t="s">
        <v>193</v>
      </c>
      <c r="F70" s="55" t="s">
        <v>194</v>
      </c>
      <c r="G70" s="55" t="s">
        <v>403</v>
      </c>
      <c r="H70" s="55" t="s">
        <v>404</v>
      </c>
      <c r="I70" s="139" t="s">
        <v>51</v>
      </c>
      <c r="J70" s="140" t="s">
        <v>405</v>
      </c>
      <c r="K70" s="55">
        <v>20038918</v>
      </c>
      <c r="L70" s="55" t="s">
        <v>198</v>
      </c>
      <c r="M70" s="141" t="str">
        <f t="shared" si="2"/>
        <v>CC-INT_E</v>
      </c>
      <c r="N70" s="142" t="str">
        <f>LOOKUP(M70,'[2]Doc Set'!E:E,'[2]Doc Set'!F:F)</f>
        <v>_</v>
      </c>
      <c r="O70" s="141" t="s">
        <v>306</v>
      </c>
      <c r="P70" s="142">
        <f>+LOOKUP(O70,'[2]Doc Set'!E:E,'[2]Doc Set'!G:G)</f>
        <v>43489</v>
      </c>
      <c r="Q70" s="55" t="str">
        <f t="shared" si="3"/>
        <v>CC-INT_E</v>
      </c>
      <c r="R70" s="142">
        <f>+LOOKUP(Q70,'[2]Doc Set'!E:E,'[2]Doc Set'!H:H)</f>
        <v>43542</v>
      </c>
      <c r="S70" s="143" t="s">
        <v>200</v>
      </c>
    </row>
    <row r="71" spans="1:19" x14ac:dyDescent="0.3">
      <c r="A71" s="55" t="s">
        <v>40</v>
      </c>
      <c r="B71" s="55" t="s">
        <v>190</v>
      </c>
      <c r="C71" s="55" t="s">
        <v>191</v>
      </c>
      <c r="D71" s="138" t="s">
        <v>192</v>
      </c>
      <c r="E71" s="55" t="s">
        <v>193</v>
      </c>
      <c r="F71" s="55" t="s">
        <v>194</v>
      </c>
      <c r="G71" s="55" t="s">
        <v>406</v>
      </c>
      <c r="H71" s="55" t="s">
        <v>407</v>
      </c>
      <c r="I71" s="139" t="s">
        <v>51</v>
      </c>
      <c r="J71" s="140" t="s">
        <v>408</v>
      </c>
      <c r="K71" s="55">
        <v>20038918</v>
      </c>
      <c r="L71" s="55" t="s">
        <v>198</v>
      </c>
      <c r="M71" s="141" t="str">
        <f t="shared" si="2"/>
        <v>CC-INT_E</v>
      </c>
      <c r="N71" s="142" t="str">
        <f>LOOKUP(M71,'[2]Doc Set'!E:E,'[2]Doc Set'!F:F)</f>
        <v>_</v>
      </c>
      <c r="O71" s="141" t="s">
        <v>306</v>
      </c>
      <c r="P71" s="142">
        <f>+LOOKUP(O71,'[2]Doc Set'!E:E,'[2]Doc Set'!G:G)</f>
        <v>43489</v>
      </c>
      <c r="Q71" s="55" t="str">
        <f t="shared" si="3"/>
        <v>CC-INT_E</v>
      </c>
      <c r="R71" s="142">
        <f>+LOOKUP(Q71,'[2]Doc Set'!E:E,'[2]Doc Set'!H:H)</f>
        <v>43542</v>
      </c>
      <c r="S71" s="143" t="s">
        <v>200</v>
      </c>
    </row>
    <row r="72" spans="1:19" x14ac:dyDescent="0.3">
      <c r="A72" s="55" t="s">
        <v>40</v>
      </c>
      <c r="B72" s="55" t="s">
        <v>190</v>
      </c>
      <c r="C72" s="55" t="s">
        <v>191</v>
      </c>
      <c r="D72" s="138" t="s">
        <v>192</v>
      </c>
      <c r="E72" s="55" t="s">
        <v>193</v>
      </c>
      <c r="F72" s="55" t="s">
        <v>194</v>
      </c>
      <c r="G72" s="55" t="s">
        <v>409</v>
      </c>
      <c r="H72" s="55" t="s">
        <v>410</v>
      </c>
      <c r="I72" s="139" t="s">
        <v>51</v>
      </c>
      <c r="J72" s="140" t="s">
        <v>411</v>
      </c>
      <c r="K72" s="55">
        <v>20038918</v>
      </c>
      <c r="L72" s="55" t="s">
        <v>198</v>
      </c>
      <c r="M72" s="141" t="str">
        <f t="shared" si="2"/>
        <v>CC-INT_E</v>
      </c>
      <c r="N72" s="142" t="str">
        <f>LOOKUP(M72,'[2]Doc Set'!E:E,'[2]Doc Set'!F:F)</f>
        <v>_</v>
      </c>
      <c r="O72" s="141" t="s">
        <v>306</v>
      </c>
      <c r="P72" s="142">
        <f>+LOOKUP(O72,'[2]Doc Set'!E:E,'[2]Doc Set'!G:G)</f>
        <v>43489</v>
      </c>
      <c r="Q72" s="55" t="str">
        <f t="shared" si="3"/>
        <v>CC-INT_E</v>
      </c>
      <c r="R72" s="142">
        <f>+LOOKUP(Q72,'[2]Doc Set'!E:E,'[2]Doc Set'!H:H)</f>
        <v>43542</v>
      </c>
      <c r="S72" s="143" t="s">
        <v>200</v>
      </c>
    </row>
    <row r="73" spans="1:19" x14ac:dyDescent="0.3">
      <c r="A73" s="55" t="s">
        <v>40</v>
      </c>
      <c r="B73" s="55" t="s">
        <v>190</v>
      </c>
      <c r="C73" s="55" t="s">
        <v>191</v>
      </c>
      <c r="D73" s="138" t="s">
        <v>192</v>
      </c>
      <c r="E73" s="55" t="s">
        <v>193</v>
      </c>
      <c r="F73" s="55" t="s">
        <v>194</v>
      </c>
      <c r="G73" s="55" t="s">
        <v>412</v>
      </c>
      <c r="H73" s="55" t="s">
        <v>413</v>
      </c>
      <c r="I73" s="139" t="s">
        <v>51</v>
      </c>
      <c r="J73" s="140" t="s">
        <v>414</v>
      </c>
      <c r="K73" s="55">
        <v>20038918</v>
      </c>
      <c r="L73" s="55" t="s">
        <v>198</v>
      </c>
      <c r="M73" s="141" t="str">
        <f t="shared" si="2"/>
        <v>CC-INT_E</v>
      </c>
      <c r="N73" s="142" t="str">
        <f>LOOKUP(M73,'[2]Doc Set'!E:E,'[2]Doc Set'!F:F)</f>
        <v>_</v>
      </c>
      <c r="O73" s="141" t="s">
        <v>306</v>
      </c>
      <c r="P73" s="142">
        <f>+LOOKUP(O73,'[2]Doc Set'!E:E,'[2]Doc Set'!G:G)</f>
        <v>43489</v>
      </c>
      <c r="Q73" s="55" t="str">
        <f t="shared" si="3"/>
        <v>CC-INT_E</v>
      </c>
      <c r="R73" s="142">
        <f>+LOOKUP(Q73,'[2]Doc Set'!E:E,'[2]Doc Set'!H:H)</f>
        <v>43542</v>
      </c>
      <c r="S73" s="143" t="s">
        <v>200</v>
      </c>
    </row>
    <row r="74" spans="1:19" x14ac:dyDescent="0.3">
      <c r="A74" s="55" t="s">
        <v>40</v>
      </c>
      <c r="B74" s="55" t="s">
        <v>190</v>
      </c>
      <c r="C74" s="55" t="s">
        <v>191</v>
      </c>
      <c r="D74" s="138" t="s">
        <v>192</v>
      </c>
      <c r="E74" s="55" t="s">
        <v>193</v>
      </c>
      <c r="F74" s="55" t="s">
        <v>194</v>
      </c>
      <c r="G74" s="55" t="s">
        <v>415</v>
      </c>
      <c r="H74" s="55" t="s">
        <v>416</v>
      </c>
      <c r="I74" s="139" t="s">
        <v>51</v>
      </c>
      <c r="J74" s="140" t="s">
        <v>417</v>
      </c>
      <c r="K74" s="55">
        <v>20038918</v>
      </c>
      <c r="L74" s="55" t="s">
        <v>198</v>
      </c>
      <c r="M74" s="141" t="str">
        <f t="shared" si="2"/>
        <v>CC-INT_E</v>
      </c>
      <c r="N74" s="142" t="str">
        <f>LOOKUP(M74,'[2]Doc Set'!E:E,'[2]Doc Set'!F:F)</f>
        <v>_</v>
      </c>
      <c r="O74" s="141" t="s">
        <v>306</v>
      </c>
      <c r="P74" s="142">
        <f>+LOOKUP(O74,'[2]Doc Set'!E:E,'[2]Doc Set'!G:G)</f>
        <v>43489</v>
      </c>
      <c r="Q74" s="55" t="str">
        <f t="shared" si="3"/>
        <v>CC-INT_E</v>
      </c>
      <c r="R74" s="142">
        <f>+LOOKUP(Q74,'[2]Doc Set'!E:E,'[2]Doc Set'!H:H)</f>
        <v>43542</v>
      </c>
      <c r="S74" s="143" t="s">
        <v>200</v>
      </c>
    </row>
    <row r="75" spans="1:19" x14ac:dyDescent="0.3">
      <c r="A75" s="55" t="s">
        <v>40</v>
      </c>
      <c r="B75" s="55" t="s">
        <v>190</v>
      </c>
      <c r="C75" s="55" t="s">
        <v>191</v>
      </c>
      <c r="D75" s="138" t="s">
        <v>192</v>
      </c>
      <c r="E75" s="55" t="s">
        <v>193</v>
      </c>
      <c r="F75" s="55" t="s">
        <v>194</v>
      </c>
      <c r="G75" s="55" t="s">
        <v>418</v>
      </c>
      <c r="H75" s="55" t="s">
        <v>419</v>
      </c>
      <c r="I75" s="139" t="s">
        <v>51</v>
      </c>
      <c r="J75" s="140" t="s">
        <v>420</v>
      </c>
      <c r="K75" s="55">
        <v>20038918</v>
      </c>
      <c r="L75" s="55" t="s">
        <v>198</v>
      </c>
      <c r="M75" s="141" t="str">
        <f t="shared" si="2"/>
        <v>CC-INT_E</v>
      </c>
      <c r="N75" s="142" t="str">
        <f>LOOKUP(M75,'[2]Doc Set'!E:E,'[2]Doc Set'!F:F)</f>
        <v>_</v>
      </c>
      <c r="O75" s="141" t="s">
        <v>306</v>
      </c>
      <c r="P75" s="142">
        <f>+LOOKUP(O75,'[2]Doc Set'!E:E,'[2]Doc Set'!G:G)</f>
        <v>43489</v>
      </c>
      <c r="Q75" s="55" t="str">
        <f t="shared" si="3"/>
        <v>CC-INT_E</v>
      </c>
      <c r="R75" s="142">
        <f>+LOOKUP(Q75,'[2]Doc Set'!E:E,'[2]Doc Set'!H:H)</f>
        <v>43542</v>
      </c>
      <c r="S75" s="143" t="s">
        <v>200</v>
      </c>
    </row>
    <row r="76" spans="1:19" x14ac:dyDescent="0.3">
      <c r="A76" s="55" t="s">
        <v>40</v>
      </c>
      <c r="B76" s="55" t="s">
        <v>190</v>
      </c>
      <c r="C76" s="55" t="s">
        <v>191</v>
      </c>
      <c r="D76" s="138" t="s">
        <v>192</v>
      </c>
      <c r="E76" s="55" t="s">
        <v>193</v>
      </c>
      <c r="F76" s="55" t="s">
        <v>194</v>
      </c>
      <c r="G76" s="55" t="s">
        <v>421</v>
      </c>
      <c r="H76" s="55" t="s">
        <v>422</v>
      </c>
      <c r="I76" s="139" t="s">
        <v>51</v>
      </c>
      <c r="J76" s="140" t="s">
        <v>423</v>
      </c>
      <c r="K76" s="55">
        <v>20038918</v>
      </c>
      <c r="L76" s="55" t="s">
        <v>198</v>
      </c>
      <c r="M76" s="141" t="str">
        <f t="shared" si="2"/>
        <v>CC-INT_E</v>
      </c>
      <c r="N76" s="142" t="str">
        <f>LOOKUP(M76,'[2]Doc Set'!E:E,'[2]Doc Set'!F:F)</f>
        <v>_</v>
      </c>
      <c r="O76" s="141" t="s">
        <v>306</v>
      </c>
      <c r="P76" s="142">
        <f>+LOOKUP(O76,'[2]Doc Set'!E:E,'[2]Doc Set'!G:G)</f>
        <v>43489</v>
      </c>
      <c r="Q76" s="55" t="str">
        <f t="shared" si="3"/>
        <v>CC-INT_E</v>
      </c>
      <c r="R76" s="142">
        <f>+LOOKUP(Q76,'[2]Doc Set'!E:E,'[2]Doc Set'!H:H)</f>
        <v>43542</v>
      </c>
      <c r="S76" s="143" t="s">
        <v>200</v>
      </c>
    </row>
    <row r="77" spans="1:19" x14ac:dyDescent="0.3">
      <c r="A77" s="55" t="s">
        <v>40</v>
      </c>
      <c r="B77" s="55" t="s">
        <v>190</v>
      </c>
      <c r="C77" s="55" t="s">
        <v>191</v>
      </c>
      <c r="D77" s="138" t="s">
        <v>192</v>
      </c>
      <c r="E77" s="55" t="s">
        <v>193</v>
      </c>
      <c r="F77" s="55" t="s">
        <v>194</v>
      </c>
      <c r="G77" s="55" t="s">
        <v>424</v>
      </c>
      <c r="H77" s="55" t="s">
        <v>425</v>
      </c>
      <c r="I77" s="139" t="s">
        <v>51</v>
      </c>
      <c r="J77" s="140" t="s">
        <v>426</v>
      </c>
      <c r="K77" s="55">
        <v>20038918</v>
      </c>
      <c r="L77" s="55" t="s">
        <v>198</v>
      </c>
      <c r="M77" s="141" t="str">
        <f t="shared" si="2"/>
        <v>CC-INT_E</v>
      </c>
      <c r="N77" s="142" t="str">
        <f>LOOKUP(M77,'[2]Doc Set'!E:E,'[2]Doc Set'!F:F)</f>
        <v>_</v>
      </c>
      <c r="O77" s="141" t="s">
        <v>306</v>
      </c>
      <c r="P77" s="142">
        <f>+LOOKUP(O77,'[2]Doc Set'!E:E,'[2]Doc Set'!G:G)</f>
        <v>43489</v>
      </c>
      <c r="Q77" s="55" t="str">
        <f t="shared" si="3"/>
        <v>CC-INT_E</v>
      </c>
      <c r="R77" s="142">
        <f>+LOOKUP(Q77,'[2]Doc Set'!E:E,'[2]Doc Set'!H:H)</f>
        <v>43542</v>
      </c>
      <c r="S77" s="143" t="s">
        <v>200</v>
      </c>
    </row>
    <row r="78" spans="1:19" x14ac:dyDescent="0.3">
      <c r="A78" s="55" t="s">
        <v>40</v>
      </c>
      <c r="B78" s="55" t="s">
        <v>190</v>
      </c>
      <c r="C78" s="55" t="s">
        <v>191</v>
      </c>
      <c r="D78" s="138" t="s">
        <v>192</v>
      </c>
      <c r="E78" s="55" t="s">
        <v>193</v>
      </c>
      <c r="F78" s="55" t="s">
        <v>194</v>
      </c>
      <c r="G78" s="55" t="s">
        <v>427</v>
      </c>
      <c r="H78" s="55" t="s">
        <v>428</v>
      </c>
      <c r="I78" s="139" t="s">
        <v>51</v>
      </c>
      <c r="J78" s="140" t="s">
        <v>429</v>
      </c>
      <c r="K78" s="55">
        <v>20038918</v>
      </c>
      <c r="L78" s="55" t="s">
        <v>198</v>
      </c>
      <c r="M78" s="141" t="str">
        <f t="shared" si="2"/>
        <v>CC-INT_E</v>
      </c>
      <c r="N78" s="142" t="str">
        <f>LOOKUP(M78,'[2]Doc Set'!E:E,'[2]Doc Set'!F:F)</f>
        <v>_</v>
      </c>
      <c r="O78" s="141" t="s">
        <v>306</v>
      </c>
      <c r="P78" s="142">
        <f>+LOOKUP(O78,'[2]Doc Set'!E:E,'[2]Doc Set'!G:G)</f>
        <v>43489</v>
      </c>
      <c r="Q78" s="55" t="str">
        <f t="shared" si="3"/>
        <v>CC-INT_E</v>
      </c>
      <c r="R78" s="142">
        <f>+LOOKUP(Q78,'[2]Doc Set'!E:E,'[2]Doc Set'!H:H)</f>
        <v>43542</v>
      </c>
      <c r="S78" s="143" t="s">
        <v>200</v>
      </c>
    </row>
    <row r="79" spans="1:19" x14ac:dyDescent="0.3">
      <c r="A79" s="55" t="s">
        <v>40</v>
      </c>
      <c r="B79" s="55" t="s">
        <v>190</v>
      </c>
      <c r="C79" s="55" t="s">
        <v>191</v>
      </c>
      <c r="D79" s="138" t="s">
        <v>192</v>
      </c>
      <c r="E79" s="55" t="s">
        <v>193</v>
      </c>
      <c r="F79" s="55" t="s">
        <v>194</v>
      </c>
      <c r="G79" s="55" t="s">
        <v>430</v>
      </c>
      <c r="H79" s="55" t="s">
        <v>431</v>
      </c>
      <c r="I79" s="139" t="s">
        <v>51</v>
      </c>
      <c r="J79" s="140" t="s">
        <v>432</v>
      </c>
      <c r="K79" s="55">
        <v>20038918</v>
      </c>
      <c r="L79" s="55" t="s">
        <v>198</v>
      </c>
      <c r="M79" s="141" t="str">
        <f t="shared" si="2"/>
        <v>CC-INT_E</v>
      </c>
      <c r="N79" s="142" t="str">
        <f>LOOKUP(M79,'[2]Doc Set'!E:E,'[2]Doc Set'!F:F)</f>
        <v>_</v>
      </c>
      <c r="O79" s="141" t="s">
        <v>306</v>
      </c>
      <c r="P79" s="142">
        <f>+LOOKUP(O79,'[2]Doc Set'!E:E,'[2]Doc Set'!G:G)</f>
        <v>43489</v>
      </c>
      <c r="Q79" s="55" t="str">
        <f t="shared" si="3"/>
        <v>CC-INT_E</v>
      </c>
      <c r="R79" s="142">
        <f>+LOOKUP(Q79,'[2]Doc Set'!E:E,'[2]Doc Set'!H:H)</f>
        <v>43542</v>
      </c>
      <c r="S79" s="143" t="s">
        <v>200</v>
      </c>
    </row>
    <row r="80" spans="1:19" x14ac:dyDescent="0.3">
      <c r="A80" s="55" t="s">
        <v>40</v>
      </c>
      <c r="B80" s="55" t="s">
        <v>190</v>
      </c>
      <c r="C80" s="55" t="s">
        <v>191</v>
      </c>
      <c r="D80" s="138" t="s">
        <v>192</v>
      </c>
      <c r="E80" s="55" t="s">
        <v>193</v>
      </c>
      <c r="F80" s="55" t="s">
        <v>194</v>
      </c>
      <c r="G80" s="55" t="s">
        <v>433</v>
      </c>
      <c r="H80" s="55" t="s">
        <v>434</v>
      </c>
      <c r="I80" s="139" t="s">
        <v>51</v>
      </c>
      <c r="J80" s="140" t="s">
        <v>435</v>
      </c>
      <c r="K80" s="55">
        <v>20038918</v>
      </c>
      <c r="L80" s="55" t="s">
        <v>198</v>
      </c>
      <c r="M80" s="141" t="str">
        <f t="shared" si="2"/>
        <v>CC-INT_E</v>
      </c>
      <c r="N80" s="142" t="str">
        <f>LOOKUP(M80,'[2]Doc Set'!E:E,'[2]Doc Set'!F:F)</f>
        <v>_</v>
      </c>
      <c r="O80" s="141" t="s">
        <v>306</v>
      </c>
      <c r="P80" s="142">
        <f>+LOOKUP(O80,'[2]Doc Set'!E:E,'[2]Doc Set'!G:G)</f>
        <v>43489</v>
      </c>
      <c r="Q80" s="55" t="str">
        <f t="shared" si="3"/>
        <v>CC-INT_E</v>
      </c>
      <c r="R80" s="142">
        <f>+LOOKUP(Q80,'[2]Doc Set'!E:E,'[2]Doc Set'!H:H)</f>
        <v>43542</v>
      </c>
      <c r="S80" s="143" t="s">
        <v>200</v>
      </c>
    </row>
    <row r="81" spans="1:19" x14ac:dyDescent="0.3">
      <c r="A81" s="55" t="s">
        <v>40</v>
      </c>
      <c r="B81" s="55" t="s">
        <v>190</v>
      </c>
      <c r="C81" s="55" t="s">
        <v>191</v>
      </c>
      <c r="D81" s="138" t="s">
        <v>192</v>
      </c>
      <c r="E81" s="55" t="s">
        <v>193</v>
      </c>
      <c r="F81" s="55" t="s">
        <v>194</v>
      </c>
      <c r="G81" s="55" t="s">
        <v>436</v>
      </c>
      <c r="H81" s="55" t="s">
        <v>437</v>
      </c>
      <c r="I81" s="139" t="s">
        <v>51</v>
      </c>
      <c r="J81" s="140" t="s">
        <v>438</v>
      </c>
      <c r="K81" s="55">
        <v>20038918</v>
      </c>
      <c r="L81" s="55" t="s">
        <v>198</v>
      </c>
      <c r="M81" s="141" t="str">
        <f t="shared" si="2"/>
        <v>CC-INT_E</v>
      </c>
      <c r="N81" s="142" t="str">
        <f>LOOKUP(M81,'[2]Doc Set'!E:E,'[2]Doc Set'!F:F)</f>
        <v>_</v>
      </c>
      <c r="O81" s="141" t="s">
        <v>306</v>
      </c>
      <c r="P81" s="142">
        <f>+LOOKUP(O81,'[2]Doc Set'!E:E,'[2]Doc Set'!G:G)</f>
        <v>43489</v>
      </c>
      <c r="Q81" s="55" t="str">
        <f t="shared" si="3"/>
        <v>CC-INT_E</v>
      </c>
      <c r="R81" s="142">
        <f>+LOOKUP(Q81,'[2]Doc Set'!E:E,'[2]Doc Set'!H:H)</f>
        <v>43542</v>
      </c>
      <c r="S81" s="143" t="s">
        <v>200</v>
      </c>
    </row>
    <row r="82" spans="1:19" x14ac:dyDescent="0.3">
      <c r="A82" s="55" t="s">
        <v>40</v>
      </c>
      <c r="B82" s="55" t="s">
        <v>190</v>
      </c>
      <c r="C82" s="55" t="s">
        <v>191</v>
      </c>
      <c r="D82" s="138" t="s">
        <v>192</v>
      </c>
      <c r="E82" s="55" t="s">
        <v>193</v>
      </c>
      <c r="F82" s="55" t="s">
        <v>194</v>
      </c>
      <c r="G82" s="55" t="s">
        <v>439</v>
      </c>
      <c r="H82" s="55" t="s">
        <v>440</v>
      </c>
      <c r="I82" s="139" t="s">
        <v>51</v>
      </c>
      <c r="J82" s="140" t="s">
        <v>441</v>
      </c>
      <c r="K82" s="55">
        <v>20038918</v>
      </c>
      <c r="L82" s="55" t="s">
        <v>198</v>
      </c>
      <c r="M82" s="141" t="str">
        <f t="shared" si="2"/>
        <v>CC-INT_E</v>
      </c>
      <c r="N82" s="142" t="str">
        <f>LOOKUP(M82,'[2]Doc Set'!E:E,'[2]Doc Set'!F:F)</f>
        <v>_</v>
      </c>
      <c r="O82" s="141" t="s">
        <v>306</v>
      </c>
      <c r="P82" s="142">
        <f>+LOOKUP(O82,'[2]Doc Set'!E:E,'[2]Doc Set'!G:G)</f>
        <v>43489</v>
      </c>
      <c r="Q82" s="55" t="str">
        <f t="shared" si="3"/>
        <v>CC-INT_E</v>
      </c>
      <c r="R82" s="142">
        <f>+LOOKUP(Q82,'[2]Doc Set'!E:E,'[2]Doc Set'!H:H)</f>
        <v>43542</v>
      </c>
      <c r="S82" s="143" t="s">
        <v>200</v>
      </c>
    </row>
    <row r="83" spans="1:19" x14ac:dyDescent="0.3">
      <c r="A83" s="55" t="s">
        <v>40</v>
      </c>
      <c r="B83" s="55" t="s">
        <v>190</v>
      </c>
      <c r="C83" s="55" t="s">
        <v>191</v>
      </c>
      <c r="D83" s="138" t="s">
        <v>192</v>
      </c>
      <c r="E83" s="55" t="s">
        <v>193</v>
      </c>
      <c r="F83" s="55" t="s">
        <v>194</v>
      </c>
      <c r="G83" s="55" t="s">
        <v>442</v>
      </c>
      <c r="H83" s="55" t="s">
        <v>443</v>
      </c>
      <c r="I83" s="139" t="s">
        <v>51</v>
      </c>
      <c r="J83" s="140" t="s">
        <v>444</v>
      </c>
      <c r="K83" s="55">
        <v>20038918</v>
      </c>
      <c r="L83" s="55" t="s">
        <v>198</v>
      </c>
      <c r="M83" s="141" t="str">
        <f t="shared" si="2"/>
        <v>CC-INT_E</v>
      </c>
      <c r="N83" s="142" t="str">
        <f>LOOKUP(M83,'[2]Doc Set'!E:E,'[2]Doc Set'!F:F)</f>
        <v>_</v>
      </c>
      <c r="O83" s="141" t="s">
        <v>306</v>
      </c>
      <c r="P83" s="142">
        <f>+LOOKUP(O83,'[2]Doc Set'!E:E,'[2]Doc Set'!G:G)</f>
        <v>43489</v>
      </c>
      <c r="Q83" s="55" t="str">
        <f t="shared" si="3"/>
        <v>CC-INT_E</v>
      </c>
      <c r="R83" s="142">
        <f>+LOOKUP(Q83,'[2]Doc Set'!E:E,'[2]Doc Set'!H:H)</f>
        <v>43542</v>
      </c>
      <c r="S83" s="143" t="s">
        <v>200</v>
      </c>
    </row>
    <row r="84" spans="1:19" x14ac:dyDescent="0.3">
      <c r="A84" s="55" t="s">
        <v>40</v>
      </c>
      <c r="B84" s="55" t="s">
        <v>190</v>
      </c>
      <c r="C84" s="55" t="s">
        <v>191</v>
      </c>
      <c r="D84" s="138" t="s">
        <v>192</v>
      </c>
      <c r="E84" s="55" t="s">
        <v>193</v>
      </c>
      <c r="F84" s="55" t="s">
        <v>194</v>
      </c>
      <c r="G84" s="55" t="s">
        <v>445</v>
      </c>
      <c r="H84" s="55" t="s">
        <v>446</v>
      </c>
      <c r="I84" s="139" t="s">
        <v>51</v>
      </c>
      <c r="J84" s="140" t="s">
        <v>447</v>
      </c>
      <c r="K84" s="55">
        <v>20038918</v>
      </c>
      <c r="L84" s="55" t="s">
        <v>198</v>
      </c>
      <c r="M84" s="141" t="str">
        <f t="shared" si="2"/>
        <v>CC-INT_E</v>
      </c>
      <c r="N84" s="142" t="str">
        <f>LOOKUP(M84,'[2]Doc Set'!E:E,'[2]Doc Set'!F:F)</f>
        <v>_</v>
      </c>
      <c r="O84" s="141" t="s">
        <v>306</v>
      </c>
      <c r="P84" s="142">
        <f>+LOOKUP(O84,'[2]Doc Set'!E:E,'[2]Doc Set'!G:G)</f>
        <v>43489</v>
      </c>
      <c r="Q84" s="55" t="str">
        <f t="shared" si="3"/>
        <v>CC-INT_E</v>
      </c>
      <c r="R84" s="142">
        <f>+LOOKUP(Q84,'[2]Doc Set'!E:E,'[2]Doc Set'!H:H)</f>
        <v>43542</v>
      </c>
      <c r="S84" s="143" t="s">
        <v>200</v>
      </c>
    </row>
    <row r="85" spans="1:19" ht="28.8" x14ac:dyDescent="0.3">
      <c r="A85" s="55" t="s">
        <v>40</v>
      </c>
      <c r="B85" s="55" t="s">
        <v>190</v>
      </c>
      <c r="C85" s="55" t="s">
        <v>191</v>
      </c>
      <c r="D85" s="138" t="s">
        <v>192</v>
      </c>
      <c r="E85" s="55" t="s">
        <v>193</v>
      </c>
      <c r="F85" s="55" t="s">
        <v>194</v>
      </c>
      <c r="G85" s="55" t="s">
        <v>448</v>
      </c>
      <c r="H85" s="55" t="s">
        <v>449</v>
      </c>
      <c r="I85" s="139" t="s">
        <v>51</v>
      </c>
      <c r="J85" s="140" t="s">
        <v>450</v>
      </c>
      <c r="K85" s="55">
        <v>20038918</v>
      </c>
      <c r="L85" s="55" t="s">
        <v>198</v>
      </c>
      <c r="M85" s="141" t="str">
        <f t="shared" si="2"/>
        <v>CC-INT_E</v>
      </c>
      <c r="N85" s="142" t="str">
        <f>LOOKUP(M85,'[2]Doc Set'!E:E,'[2]Doc Set'!F:F)</f>
        <v>_</v>
      </c>
      <c r="O85" s="141" t="s">
        <v>306</v>
      </c>
      <c r="P85" s="142">
        <f>+LOOKUP(O85,'[2]Doc Set'!E:E,'[2]Doc Set'!G:G)</f>
        <v>43489</v>
      </c>
      <c r="Q85" s="55" t="str">
        <f t="shared" si="3"/>
        <v>CC-INT_E</v>
      </c>
      <c r="R85" s="142">
        <f>+LOOKUP(Q85,'[2]Doc Set'!E:E,'[2]Doc Set'!H:H)</f>
        <v>43542</v>
      </c>
      <c r="S85" s="143" t="s">
        <v>200</v>
      </c>
    </row>
    <row r="86" spans="1:19" x14ac:dyDescent="0.3">
      <c r="A86" s="55" t="s">
        <v>40</v>
      </c>
      <c r="B86" s="55" t="s">
        <v>190</v>
      </c>
      <c r="C86" s="55" t="s">
        <v>191</v>
      </c>
      <c r="D86" s="138" t="s">
        <v>192</v>
      </c>
      <c r="E86" s="55" t="s">
        <v>193</v>
      </c>
      <c r="F86" s="55" t="s">
        <v>451</v>
      </c>
      <c r="G86" s="55" t="s">
        <v>452</v>
      </c>
      <c r="H86" s="55" t="s">
        <v>453</v>
      </c>
      <c r="I86" s="139" t="s">
        <v>134</v>
      </c>
      <c r="J86" s="140" t="s">
        <v>454</v>
      </c>
      <c r="K86" s="55">
        <v>20038918</v>
      </c>
      <c r="L86" s="55" t="s">
        <v>198</v>
      </c>
      <c r="M86" s="141" t="str">
        <f t="shared" si="2"/>
        <v>CC-INT_D</v>
      </c>
      <c r="N86" s="142" t="str">
        <f>LOOKUP(M86,'[2]Doc Set'!E:E,'[2]Doc Set'!F:F)</f>
        <v>_</v>
      </c>
      <c r="O86" s="141" t="s">
        <v>199</v>
      </c>
      <c r="P86" s="142">
        <f>+LOOKUP(O86,'[2]Doc Set'!E:E,'[2]Doc Set'!G:G)</f>
        <v>43437</v>
      </c>
      <c r="Q86" s="55" t="str">
        <f t="shared" si="3"/>
        <v>CC-INT_D</v>
      </c>
      <c r="R86" s="142">
        <f>+LOOKUP(Q86,'[2]Doc Set'!E:E,'[2]Doc Set'!H:H)</f>
        <v>43514</v>
      </c>
      <c r="S86" s="143" t="s">
        <v>200</v>
      </c>
    </row>
    <row r="87" spans="1:19" x14ac:dyDescent="0.3">
      <c r="A87" s="55" t="s">
        <v>40</v>
      </c>
      <c r="B87" s="55" t="s">
        <v>190</v>
      </c>
      <c r="C87" s="55" t="s">
        <v>191</v>
      </c>
      <c r="D87" s="138" t="s">
        <v>192</v>
      </c>
      <c r="E87" s="55" t="s">
        <v>193</v>
      </c>
      <c r="F87" s="55" t="s">
        <v>451</v>
      </c>
      <c r="G87" s="55" t="s">
        <v>455</v>
      </c>
      <c r="H87" s="55" t="s">
        <v>456</v>
      </c>
      <c r="I87" s="139" t="s">
        <v>134</v>
      </c>
      <c r="J87" s="140" t="s">
        <v>457</v>
      </c>
      <c r="K87" s="55">
        <v>20038918</v>
      </c>
      <c r="L87" s="55" t="s">
        <v>198</v>
      </c>
      <c r="M87" s="141" t="str">
        <f t="shared" si="2"/>
        <v>CC-INT_D</v>
      </c>
      <c r="N87" s="142" t="str">
        <f>LOOKUP(M87,'[2]Doc Set'!E:E,'[2]Doc Set'!F:F)</f>
        <v>_</v>
      </c>
      <c r="O87" s="141" t="s">
        <v>199</v>
      </c>
      <c r="P87" s="142">
        <f>+LOOKUP(O87,'[2]Doc Set'!E:E,'[2]Doc Set'!G:G)</f>
        <v>43437</v>
      </c>
      <c r="Q87" s="55" t="str">
        <f t="shared" si="3"/>
        <v>CC-INT_D</v>
      </c>
      <c r="R87" s="142">
        <f>+LOOKUP(Q87,'[2]Doc Set'!E:E,'[2]Doc Set'!H:H)</f>
        <v>43514</v>
      </c>
      <c r="S87" s="143" t="s">
        <v>200</v>
      </c>
    </row>
    <row r="88" spans="1:19" x14ac:dyDescent="0.3">
      <c r="A88" s="55" t="s">
        <v>40</v>
      </c>
      <c r="B88" s="55" t="s">
        <v>190</v>
      </c>
      <c r="C88" s="55" t="s">
        <v>191</v>
      </c>
      <c r="D88" s="138" t="s">
        <v>192</v>
      </c>
      <c r="E88" s="55" t="s">
        <v>193</v>
      </c>
      <c r="F88" s="55" t="s">
        <v>451</v>
      </c>
      <c r="G88" s="55" t="s">
        <v>458</v>
      </c>
      <c r="H88" s="55" t="s">
        <v>459</v>
      </c>
      <c r="I88" s="139" t="s">
        <v>134</v>
      </c>
      <c r="J88" s="140" t="s">
        <v>460</v>
      </c>
      <c r="K88" s="55">
        <v>20038918</v>
      </c>
      <c r="L88" s="55" t="s">
        <v>198</v>
      </c>
      <c r="M88" s="141" t="str">
        <f t="shared" si="2"/>
        <v>CC-INT_D</v>
      </c>
      <c r="N88" s="142" t="str">
        <f>LOOKUP(M88,'[2]Doc Set'!E:E,'[2]Doc Set'!F:F)</f>
        <v>_</v>
      </c>
      <c r="O88" s="141" t="s">
        <v>199</v>
      </c>
      <c r="P88" s="142">
        <f>+LOOKUP(O88,'[2]Doc Set'!E:E,'[2]Doc Set'!G:G)</f>
        <v>43437</v>
      </c>
      <c r="Q88" s="55" t="str">
        <f t="shared" si="3"/>
        <v>CC-INT_D</v>
      </c>
      <c r="R88" s="142">
        <f>+LOOKUP(Q88,'[2]Doc Set'!E:E,'[2]Doc Set'!H:H)</f>
        <v>43514</v>
      </c>
      <c r="S88" s="143" t="s">
        <v>200</v>
      </c>
    </row>
    <row r="89" spans="1:19" x14ac:dyDescent="0.3">
      <c r="A89" s="55" t="s">
        <v>40</v>
      </c>
      <c r="B89" s="55" t="s">
        <v>190</v>
      </c>
      <c r="C89" s="55" t="s">
        <v>191</v>
      </c>
      <c r="D89" s="138" t="s">
        <v>192</v>
      </c>
      <c r="E89" s="55" t="s">
        <v>193</v>
      </c>
      <c r="F89" s="55" t="s">
        <v>451</v>
      </c>
      <c r="G89" s="55" t="s">
        <v>461</v>
      </c>
      <c r="H89" s="55" t="s">
        <v>462</v>
      </c>
      <c r="I89" s="139" t="s">
        <v>134</v>
      </c>
      <c r="J89" s="140" t="s">
        <v>463</v>
      </c>
      <c r="K89" s="55">
        <v>20038918</v>
      </c>
      <c r="L89" s="55" t="s">
        <v>198</v>
      </c>
      <c r="M89" s="141" t="str">
        <f t="shared" si="2"/>
        <v>CC-INT_D</v>
      </c>
      <c r="N89" s="142" t="str">
        <f>LOOKUP(M89,'[2]Doc Set'!E:E,'[2]Doc Set'!F:F)</f>
        <v>_</v>
      </c>
      <c r="O89" s="141" t="s">
        <v>199</v>
      </c>
      <c r="P89" s="142">
        <f>+LOOKUP(O89,'[2]Doc Set'!E:E,'[2]Doc Set'!G:G)</f>
        <v>43437</v>
      </c>
      <c r="Q89" s="55" t="str">
        <f t="shared" si="3"/>
        <v>CC-INT_D</v>
      </c>
      <c r="R89" s="142">
        <f>+LOOKUP(Q89,'[2]Doc Set'!E:E,'[2]Doc Set'!H:H)</f>
        <v>43514</v>
      </c>
      <c r="S89" s="143" t="s">
        <v>200</v>
      </c>
    </row>
    <row r="90" spans="1:19" x14ac:dyDescent="0.3">
      <c r="A90" s="55" t="s">
        <v>40</v>
      </c>
      <c r="B90" s="55" t="s">
        <v>190</v>
      </c>
      <c r="C90" s="55" t="s">
        <v>191</v>
      </c>
      <c r="D90" s="138" t="s">
        <v>192</v>
      </c>
      <c r="E90" s="55" t="s">
        <v>193</v>
      </c>
      <c r="F90" s="55" t="s">
        <v>451</v>
      </c>
      <c r="G90" s="55" t="s">
        <v>464</v>
      </c>
      <c r="H90" s="55" t="s">
        <v>465</v>
      </c>
      <c r="I90" s="139" t="s">
        <v>134</v>
      </c>
      <c r="J90" s="140" t="s">
        <v>466</v>
      </c>
      <c r="K90" s="55">
        <v>20038918</v>
      </c>
      <c r="L90" s="55" t="s">
        <v>198</v>
      </c>
      <c r="M90" s="141" t="str">
        <f t="shared" si="2"/>
        <v>CC-INT_D</v>
      </c>
      <c r="N90" s="142" t="str">
        <f>LOOKUP(M90,'[2]Doc Set'!E:E,'[2]Doc Set'!F:F)</f>
        <v>_</v>
      </c>
      <c r="O90" s="141" t="s">
        <v>199</v>
      </c>
      <c r="P90" s="142">
        <f>+LOOKUP(O90,'[2]Doc Set'!E:E,'[2]Doc Set'!G:G)</f>
        <v>43437</v>
      </c>
      <c r="Q90" s="55" t="str">
        <f t="shared" si="3"/>
        <v>CC-INT_D</v>
      </c>
      <c r="R90" s="142">
        <f>+LOOKUP(Q90,'[2]Doc Set'!E:E,'[2]Doc Set'!H:H)</f>
        <v>43514</v>
      </c>
      <c r="S90" s="143" t="s">
        <v>200</v>
      </c>
    </row>
    <row r="91" spans="1:19" x14ac:dyDescent="0.3">
      <c r="A91" s="55" t="s">
        <v>40</v>
      </c>
      <c r="B91" s="55" t="s">
        <v>190</v>
      </c>
      <c r="C91" s="55" t="s">
        <v>191</v>
      </c>
      <c r="D91" s="138" t="s">
        <v>192</v>
      </c>
      <c r="E91" s="55" t="s">
        <v>193</v>
      </c>
      <c r="F91" s="55" t="s">
        <v>451</v>
      </c>
      <c r="G91" s="55" t="s">
        <v>467</v>
      </c>
      <c r="H91" s="55" t="s">
        <v>468</v>
      </c>
      <c r="I91" s="139" t="s">
        <v>134</v>
      </c>
      <c r="J91" s="140" t="s">
        <v>469</v>
      </c>
      <c r="K91" s="55">
        <v>20038918</v>
      </c>
      <c r="L91" s="55" t="s">
        <v>198</v>
      </c>
      <c r="M91" s="141" t="str">
        <f t="shared" si="2"/>
        <v>CC-INT_E</v>
      </c>
      <c r="N91" s="142" t="str">
        <f>LOOKUP(M91,'[2]Doc Set'!E:E,'[2]Doc Set'!F:F)</f>
        <v>_</v>
      </c>
      <c r="O91" s="141" t="s">
        <v>306</v>
      </c>
      <c r="P91" s="142">
        <f>+LOOKUP(O91,'[2]Doc Set'!E:E,'[2]Doc Set'!G:G)</f>
        <v>43489</v>
      </c>
      <c r="Q91" s="55" t="str">
        <f t="shared" si="3"/>
        <v>CC-INT_E</v>
      </c>
      <c r="R91" s="142">
        <f>+LOOKUP(Q91,'[2]Doc Set'!E:E,'[2]Doc Set'!H:H)</f>
        <v>43542</v>
      </c>
      <c r="S91" s="143" t="s">
        <v>200</v>
      </c>
    </row>
    <row r="92" spans="1:19" x14ac:dyDescent="0.3">
      <c r="A92" s="55" t="s">
        <v>40</v>
      </c>
      <c r="B92" s="55" t="s">
        <v>190</v>
      </c>
      <c r="C92" s="55" t="s">
        <v>191</v>
      </c>
      <c r="D92" s="138" t="s">
        <v>192</v>
      </c>
      <c r="E92" s="55" t="s">
        <v>193</v>
      </c>
      <c r="F92" s="55" t="s">
        <v>451</v>
      </c>
      <c r="G92" s="55" t="s">
        <v>470</v>
      </c>
      <c r="H92" s="55" t="s">
        <v>471</v>
      </c>
      <c r="I92" s="139" t="s">
        <v>134</v>
      </c>
      <c r="J92" s="140" t="s">
        <v>472</v>
      </c>
      <c r="K92" s="55">
        <v>20038918</v>
      </c>
      <c r="L92" s="55" t="s">
        <v>198</v>
      </c>
      <c r="M92" s="141" t="str">
        <f t="shared" si="2"/>
        <v>CC-INT_E</v>
      </c>
      <c r="N92" s="142" t="str">
        <f>LOOKUP(M92,'[2]Doc Set'!E:E,'[2]Doc Set'!F:F)</f>
        <v>_</v>
      </c>
      <c r="O92" s="141" t="s">
        <v>306</v>
      </c>
      <c r="P92" s="142">
        <f>+LOOKUP(O92,'[2]Doc Set'!E:E,'[2]Doc Set'!G:G)</f>
        <v>43489</v>
      </c>
      <c r="Q92" s="55" t="str">
        <f t="shared" si="3"/>
        <v>CC-INT_E</v>
      </c>
      <c r="R92" s="142">
        <f>+LOOKUP(Q92,'[2]Doc Set'!E:E,'[2]Doc Set'!H:H)</f>
        <v>43542</v>
      </c>
      <c r="S92" s="143" t="s">
        <v>200</v>
      </c>
    </row>
    <row r="93" spans="1:19" x14ac:dyDescent="0.3">
      <c r="A93" s="55" t="s">
        <v>40</v>
      </c>
      <c r="B93" s="55" t="s">
        <v>190</v>
      </c>
      <c r="C93" s="55" t="s">
        <v>191</v>
      </c>
      <c r="D93" s="138" t="s">
        <v>192</v>
      </c>
      <c r="E93" s="55" t="s">
        <v>193</v>
      </c>
      <c r="F93" s="55" t="s">
        <v>451</v>
      </c>
      <c r="G93" s="55" t="s">
        <v>473</v>
      </c>
      <c r="H93" s="55" t="s">
        <v>474</v>
      </c>
      <c r="I93" s="139" t="s">
        <v>134</v>
      </c>
      <c r="J93" s="140" t="s">
        <v>475</v>
      </c>
      <c r="K93" s="55">
        <v>20038918</v>
      </c>
      <c r="L93" s="55" t="s">
        <v>198</v>
      </c>
      <c r="M93" s="141" t="str">
        <f t="shared" si="2"/>
        <v>CC-INT_E</v>
      </c>
      <c r="N93" s="142" t="str">
        <f>LOOKUP(M93,'[2]Doc Set'!E:E,'[2]Doc Set'!F:F)</f>
        <v>_</v>
      </c>
      <c r="O93" s="141" t="s">
        <v>306</v>
      </c>
      <c r="P93" s="142">
        <f>+LOOKUP(O93,'[2]Doc Set'!E:E,'[2]Doc Set'!G:G)</f>
        <v>43489</v>
      </c>
      <c r="Q93" s="55" t="str">
        <f t="shared" si="3"/>
        <v>CC-INT_E</v>
      </c>
      <c r="R93" s="142">
        <f>+LOOKUP(Q93,'[2]Doc Set'!E:E,'[2]Doc Set'!H:H)</f>
        <v>43542</v>
      </c>
      <c r="S93" s="143" t="s">
        <v>200</v>
      </c>
    </row>
    <row r="94" spans="1:19" x14ac:dyDescent="0.3">
      <c r="A94" s="55" t="s">
        <v>40</v>
      </c>
      <c r="B94" s="55" t="s">
        <v>190</v>
      </c>
      <c r="C94" s="55" t="s">
        <v>191</v>
      </c>
      <c r="D94" s="138" t="s">
        <v>192</v>
      </c>
      <c r="E94" s="55" t="s">
        <v>193</v>
      </c>
      <c r="F94" s="55" t="s">
        <v>451</v>
      </c>
      <c r="G94" s="55" t="s">
        <v>476</v>
      </c>
      <c r="H94" s="55" t="s">
        <v>477</v>
      </c>
      <c r="I94" s="139" t="s">
        <v>134</v>
      </c>
      <c r="J94" s="140" t="s">
        <v>478</v>
      </c>
      <c r="K94" s="55">
        <v>20038918</v>
      </c>
      <c r="L94" s="55" t="s">
        <v>198</v>
      </c>
      <c r="M94" s="141" t="str">
        <f t="shared" si="2"/>
        <v>CC-INT_E</v>
      </c>
      <c r="N94" s="142" t="str">
        <f>LOOKUP(M94,'[2]Doc Set'!E:E,'[2]Doc Set'!F:F)</f>
        <v>_</v>
      </c>
      <c r="O94" s="141" t="s">
        <v>306</v>
      </c>
      <c r="P94" s="142">
        <f>+LOOKUP(O94,'[2]Doc Set'!E:E,'[2]Doc Set'!G:G)</f>
        <v>43489</v>
      </c>
      <c r="Q94" s="55" t="str">
        <f t="shared" si="3"/>
        <v>CC-INT_E</v>
      </c>
      <c r="R94" s="142">
        <f>+LOOKUP(Q94,'[2]Doc Set'!E:E,'[2]Doc Set'!H:H)</f>
        <v>43542</v>
      </c>
      <c r="S94" s="143" t="s">
        <v>200</v>
      </c>
    </row>
    <row r="95" spans="1:19" x14ac:dyDescent="0.3">
      <c r="A95" s="55" t="s">
        <v>40</v>
      </c>
      <c r="B95" s="55" t="s">
        <v>190</v>
      </c>
      <c r="C95" s="55" t="s">
        <v>191</v>
      </c>
      <c r="D95" s="138" t="s">
        <v>192</v>
      </c>
      <c r="E95" s="55" t="s">
        <v>193</v>
      </c>
      <c r="F95" s="55" t="s">
        <v>451</v>
      </c>
      <c r="G95" s="55" t="s">
        <v>479</v>
      </c>
      <c r="H95" s="55" t="s">
        <v>480</v>
      </c>
      <c r="I95" s="139" t="s">
        <v>134</v>
      </c>
      <c r="J95" s="140" t="s">
        <v>481</v>
      </c>
      <c r="K95" s="55">
        <v>20038918</v>
      </c>
      <c r="L95" s="55" t="s">
        <v>198</v>
      </c>
      <c r="M95" s="141" t="str">
        <f t="shared" si="2"/>
        <v>CC-INT_E</v>
      </c>
      <c r="N95" s="142" t="str">
        <f>LOOKUP(M95,'[2]Doc Set'!E:E,'[2]Doc Set'!F:F)</f>
        <v>_</v>
      </c>
      <c r="O95" s="141" t="s">
        <v>306</v>
      </c>
      <c r="P95" s="142">
        <f>+LOOKUP(O95,'[2]Doc Set'!E:E,'[2]Doc Set'!G:G)</f>
        <v>43489</v>
      </c>
      <c r="Q95" s="55" t="str">
        <f t="shared" si="3"/>
        <v>CC-INT_E</v>
      </c>
      <c r="R95" s="142">
        <f>+LOOKUP(Q95,'[2]Doc Set'!E:E,'[2]Doc Set'!H:H)</f>
        <v>43542</v>
      </c>
      <c r="S95" s="143" t="s">
        <v>200</v>
      </c>
    </row>
    <row r="96" spans="1:19" x14ac:dyDescent="0.3">
      <c r="A96" s="55" t="s">
        <v>40</v>
      </c>
      <c r="B96" s="55" t="s">
        <v>190</v>
      </c>
      <c r="C96" s="55" t="s">
        <v>191</v>
      </c>
      <c r="D96" s="138" t="s">
        <v>192</v>
      </c>
      <c r="E96" s="55" t="s">
        <v>193</v>
      </c>
      <c r="F96" s="55" t="s">
        <v>451</v>
      </c>
      <c r="G96" s="55" t="s">
        <v>482</v>
      </c>
      <c r="H96" s="55" t="s">
        <v>483</v>
      </c>
      <c r="I96" s="139" t="s">
        <v>134</v>
      </c>
      <c r="J96" s="140" t="s">
        <v>484</v>
      </c>
      <c r="K96" s="55">
        <v>20038918</v>
      </c>
      <c r="L96" s="55" t="s">
        <v>198</v>
      </c>
      <c r="M96" s="141" t="str">
        <f t="shared" si="2"/>
        <v>CC-INT_E</v>
      </c>
      <c r="N96" s="142" t="str">
        <f>LOOKUP(M96,'[2]Doc Set'!E:E,'[2]Doc Set'!F:F)</f>
        <v>_</v>
      </c>
      <c r="O96" s="141" t="s">
        <v>306</v>
      </c>
      <c r="P96" s="142">
        <f>+LOOKUP(O96,'[2]Doc Set'!E:E,'[2]Doc Set'!G:G)</f>
        <v>43489</v>
      </c>
      <c r="Q96" s="55" t="str">
        <f t="shared" si="3"/>
        <v>CC-INT_E</v>
      </c>
      <c r="R96" s="142">
        <f>+LOOKUP(Q96,'[2]Doc Set'!E:E,'[2]Doc Set'!H:H)</f>
        <v>43542</v>
      </c>
      <c r="S96" s="143" t="s">
        <v>200</v>
      </c>
    </row>
    <row r="97" spans="1:19" x14ac:dyDescent="0.3">
      <c r="A97" s="55" t="s">
        <v>40</v>
      </c>
      <c r="B97" s="55" t="s">
        <v>190</v>
      </c>
      <c r="C97" s="55" t="s">
        <v>191</v>
      </c>
      <c r="D97" s="138" t="s">
        <v>192</v>
      </c>
      <c r="E97" s="55" t="s">
        <v>193</v>
      </c>
      <c r="F97" s="55" t="s">
        <v>194</v>
      </c>
      <c r="G97" s="55" t="s">
        <v>485</v>
      </c>
      <c r="H97" s="55" t="s">
        <v>486</v>
      </c>
      <c r="I97" s="139" t="s">
        <v>51</v>
      </c>
      <c r="J97" s="140" t="s">
        <v>487</v>
      </c>
      <c r="K97" s="55">
        <v>20038918</v>
      </c>
      <c r="L97" s="55" t="s">
        <v>198</v>
      </c>
      <c r="M97" s="141" t="str">
        <f t="shared" si="2"/>
        <v>CC-INT_D</v>
      </c>
      <c r="N97" s="142" t="str">
        <f>LOOKUP(M97,'[2]Doc Set'!E:E,'[2]Doc Set'!F:F)</f>
        <v>_</v>
      </c>
      <c r="O97" s="141" t="s">
        <v>199</v>
      </c>
      <c r="P97" s="142">
        <f>+LOOKUP(O97,'[2]Doc Set'!E:E,'[2]Doc Set'!G:G)</f>
        <v>43437</v>
      </c>
      <c r="Q97" s="55" t="str">
        <f t="shared" si="3"/>
        <v>CC-INT_D</v>
      </c>
      <c r="R97" s="142">
        <f>+LOOKUP(Q97,'[2]Doc Set'!E:E,'[2]Doc Set'!H:H)</f>
        <v>43514</v>
      </c>
      <c r="S97" s="143" t="s">
        <v>200</v>
      </c>
    </row>
    <row r="98" spans="1:19" x14ac:dyDescent="0.3">
      <c r="A98" s="55" t="s">
        <v>40</v>
      </c>
      <c r="B98" s="55" t="s">
        <v>190</v>
      </c>
      <c r="C98" s="55" t="s">
        <v>191</v>
      </c>
      <c r="D98" s="138" t="s">
        <v>192</v>
      </c>
      <c r="E98" s="55" t="s">
        <v>193</v>
      </c>
      <c r="F98" s="55" t="s">
        <v>194</v>
      </c>
      <c r="G98" s="55" t="s">
        <v>488</v>
      </c>
      <c r="H98" s="55" t="s">
        <v>489</v>
      </c>
      <c r="I98" s="139" t="s">
        <v>51</v>
      </c>
      <c r="J98" s="140" t="s">
        <v>490</v>
      </c>
      <c r="K98" s="55">
        <v>20038918</v>
      </c>
      <c r="L98" s="55" t="s">
        <v>198</v>
      </c>
      <c r="M98" s="141" t="str">
        <f t="shared" si="2"/>
        <v>CC-INT_D</v>
      </c>
      <c r="N98" s="142" t="str">
        <f>LOOKUP(M98,'[2]Doc Set'!E:E,'[2]Doc Set'!F:F)</f>
        <v>_</v>
      </c>
      <c r="O98" s="141" t="s">
        <v>199</v>
      </c>
      <c r="P98" s="142">
        <f>+LOOKUP(O98,'[2]Doc Set'!E:E,'[2]Doc Set'!G:G)</f>
        <v>43437</v>
      </c>
      <c r="Q98" s="55" t="str">
        <f t="shared" si="3"/>
        <v>CC-INT_D</v>
      </c>
      <c r="R98" s="142">
        <f>+LOOKUP(Q98,'[2]Doc Set'!E:E,'[2]Doc Set'!H:H)</f>
        <v>43514</v>
      </c>
      <c r="S98" s="143" t="s">
        <v>200</v>
      </c>
    </row>
    <row r="99" spans="1:19" x14ac:dyDescent="0.3">
      <c r="A99" s="55" t="s">
        <v>40</v>
      </c>
      <c r="B99" s="55" t="s">
        <v>190</v>
      </c>
      <c r="C99" s="55" t="s">
        <v>191</v>
      </c>
      <c r="D99" s="138" t="s">
        <v>192</v>
      </c>
      <c r="E99" s="55" t="s">
        <v>193</v>
      </c>
      <c r="F99" s="55" t="s">
        <v>194</v>
      </c>
      <c r="G99" s="55" t="s">
        <v>491</v>
      </c>
      <c r="H99" s="55" t="s">
        <v>492</v>
      </c>
      <c r="I99" s="139" t="s">
        <v>51</v>
      </c>
      <c r="J99" s="140" t="s">
        <v>493</v>
      </c>
      <c r="K99" s="55">
        <v>20038918</v>
      </c>
      <c r="L99" s="55" t="s">
        <v>198</v>
      </c>
      <c r="M99" s="141" t="str">
        <f t="shared" si="2"/>
        <v>CC-INT_D</v>
      </c>
      <c r="N99" s="142" t="str">
        <f>LOOKUP(M99,'[2]Doc Set'!E:E,'[2]Doc Set'!F:F)</f>
        <v>_</v>
      </c>
      <c r="O99" s="141" t="s">
        <v>199</v>
      </c>
      <c r="P99" s="142">
        <f>+LOOKUP(O99,'[2]Doc Set'!E:E,'[2]Doc Set'!G:G)</f>
        <v>43437</v>
      </c>
      <c r="Q99" s="55" t="str">
        <f t="shared" si="3"/>
        <v>CC-INT_D</v>
      </c>
      <c r="R99" s="142">
        <f>+LOOKUP(Q99,'[2]Doc Set'!E:E,'[2]Doc Set'!H:H)</f>
        <v>43514</v>
      </c>
      <c r="S99" s="143" t="s">
        <v>200</v>
      </c>
    </row>
    <row r="100" spans="1:19" x14ac:dyDescent="0.3">
      <c r="A100" s="55" t="s">
        <v>40</v>
      </c>
      <c r="B100" s="55" t="s">
        <v>190</v>
      </c>
      <c r="C100" s="55" t="s">
        <v>191</v>
      </c>
      <c r="D100" s="138" t="s">
        <v>192</v>
      </c>
      <c r="E100" s="55" t="s">
        <v>193</v>
      </c>
      <c r="F100" s="55" t="s">
        <v>194</v>
      </c>
      <c r="G100" s="55" t="s">
        <v>494</v>
      </c>
      <c r="H100" s="55" t="s">
        <v>495</v>
      </c>
      <c r="I100" s="139" t="s">
        <v>51</v>
      </c>
      <c r="J100" s="140" t="s">
        <v>496</v>
      </c>
      <c r="K100" s="55">
        <v>20038918</v>
      </c>
      <c r="L100" s="55" t="s">
        <v>198</v>
      </c>
      <c r="M100" s="141" t="str">
        <f t="shared" si="2"/>
        <v>CC-INT_D</v>
      </c>
      <c r="N100" s="142" t="str">
        <f>LOOKUP(M100,'[2]Doc Set'!E:E,'[2]Doc Set'!F:F)</f>
        <v>_</v>
      </c>
      <c r="O100" s="141" t="s">
        <v>199</v>
      </c>
      <c r="P100" s="142">
        <f>+LOOKUP(O100,'[2]Doc Set'!E:E,'[2]Doc Set'!G:G)</f>
        <v>43437</v>
      </c>
      <c r="Q100" s="55" t="str">
        <f t="shared" si="3"/>
        <v>CC-INT_D</v>
      </c>
      <c r="R100" s="142">
        <f>+LOOKUP(Q100,'[2]Doc Set'!E:E,'[2]Doc Set'!H:H)</f>
        <v>43514</v>
      </c>
      <c r="S100" s="143" t="s">
        <v>200</v>
      </c>
    </row>
    <row r="101" spans="1:19" x14ac:dyDescent="0.3">
      <c r="A101" s="55" t="s">
        <v>40</v>
      </c>
      <c r="B101" s="55" t="s">
        <v>190</v>
      </c>
      <c r="C101" s="55" t="s">
        <v>191</v>
      </c>
      <c r="D101" s="138" t="s">
        <v>192</v>
      </c>
      <c r="E101" s="55" t="s">
        <v>193</v>
      </c>
      <c r="F101" s="55" t="s">
        <v>194</v>
      </c>
      <c r="G101" s="55" t="s">
        <v>497</v>
      </c>
      <c r="H101" s="55" t="s">
        <v>498</v>
      </c>
      <c r="I101" s="139" t="s">
        <v>51</v>
      </c>
      <c r="J101" s="140" t="s">
        <v>499</v>
      </c>
      <c r="K101" s="55">
        <v>20038918</v>
      </c>
      <c r="L101" s="55" t="s">
        <v>198</v>
      </c>
      <c r="M101" s="141" t="str">
        <f t="shared" si="2"/>
        <v>CC-INT_D</v>
      </c>
      <c r="N101" s="142" t="str">
        <f>LOOKUP(M101,'[2]Doc Set'!E:E,'[2]Doc Set'!F:F)</f>
        <v>_</v>
      </c>
      <c r="O101" s="141" t="s">
        <v>199</v>
      </c>
      <c r="P101" s="142">
        <f>+LOOKUP(O101,'[2]Doc Set'!E:E,'[2]Doc Set'!G:G)</f>
        <v>43437</v>
      </c>
      <c r="Q101" s="55" t="str">
        <f t="shared" si="3"/>
        <v>CC-INT_D</v>
      </c>
      <c r="R101" s="142">
        <f>+LOOKUP(Q101,'[2]Doc Set'!E:E,'[2]Doc Set'!H:H)</f>
        <v>43514</v>
      </c>
      <c r="S101" s="143" t="s">
        <v>200</v>
      </c>
    </row>
    <row r="102" spans="1:19" x14ac:dyDescent="0.3">
      <c r="A102" s="55" t="s">
        <v>40</v>
      </c>
      <c r="B102" s="55" t="s">
        <v>190</v>
      </c>
      <c r="C102" s="55" t="s">
        <v>191</v>
      </c>
      <c r="D102" s="138" t="s">
        <v>192</v>
      </c>
      <c r="E102" s="55" t="s">
        <v>193</v>
      </c>
      <c r="F102" s="55" t="s">
        <v>194</v>
      </c>
      <c r="G102" s="55" t="s">
        <v>500</v>
      </c>
      <c r="H102" s="55" t="s">
        <v>501</v>
      </c>
      <c r="I102" s="139" t="s">
        <v>51</v>
      </c>
      <c r="J102" s="140" t="s">
        <v>502</v>
      </c>
      <c r="K102" s="55">
        <v>20038918</v>
      </c>
      <c r="L102" s="55" t="s">
        <v>198</v>
      </c>
      <c r="M102" s="141" t="str">
        <f t="shared" si="2"/>
        <v>CC-INT_E</v>
      </c>
      <c r="N102" s="142" t="str">
        <f>LOOKUP(M102,'[2]Doc Set'!E:E,'[2]Doc Set'!F:F)</f>
        <v>_</v>
      </c>
      <c r="O102" s="141" t="s">
        <v>306</v>
      </c>
      <c r="P102" s="142">
        <f>+LOOKUP(O102,'[2]Doc Set'!E:E,'[2]Doc Set'!G:G)</f>
        <v>43489</v>
      </c>
      <c r="Q102" s="55" t="str">
        <f t="shared" si="3"/>
        <v>CC-INT_E</v>
      </c>
      <c r="R102" s="142">
        <f>+LOOKUP(Q102,'[2]Doc Set'!E:E,'[2]Doc Set'!H:H)</f>
        <v>43542</v>
      </c>
      <c r="S102" s="143" t="s">
        <v>200</v>
      </c>
    </row>
    <row r="103" spans="1:19" x14ac:dyDescent="0.3">
      <c r="A103" s="55" t="s">
        <v>40</v>
      </c>
      <c r="B103" s="55" t="s">
        <v>190</v>
      </c>
      <c r="C103" s="55" t="s">
        <v>191</v>
      </c>
      <c r="D103" s="138" t="s">
        <v>192</v>
      </c>
      <c r="E103" s="55" t="s">
        <v>193</v>
      </c>
      <c r="F103" s="55" t="s">
        <v>194</v>
      </c>
      <c r="G103" s="55" t="s">
        <v>503</v>
      </c>
      <c r="H103" s="55" t="s">
        <v>504</v>
      </c>
      <c r="I103" s="139" t="s">
        <v>51</v>
      </c>
      <c r="J103" s="140" t="s">
        <v>505</v>
      </c>
      <c r="K103" s="55">
        <v>20038918</v>
      </c>
      <c r="L103" s="55" t="s">
        <v>198</v>
      </c>
      <c r="M103" s="141" t="str">
        <f t="shared" si="2"/>
        <v>CC-INT_E</v>
      </c>
      <c r="N103" s="142" t="str">
        <f>LOOKUP(M103,'[2]Doc Set'!E:E,'[2]Doc Set'!F:F)</f>
        <v>_</v>
      </c>
      <c r="O103" s="141" t="s">
        <v>306</v>
      </c>
      <c r="P103" s="142">
        <f>+LOOKUP(O103,'[2]Doc Set'!E:E,'[2]Doc Set'!G:G)</f>
        <v>43489</v>
      </c>
      <c r="Q103" s="55" t="str">
        <f t="shared" si="3"/>
        <v>CC-INT_E</v>
      </c>
      <c r="R103" s="142">
        <f>+LOOKUP(Q103,'[2]Doc Set'!E:E,'[2]Doc Set'!H:H)</f>
        <v>43542</v>
      </c>
      <c r="S103" s="143" t="s">
        <v>200</v>
      </c>
    </row>
    <row r="104" spans="1:19" x14ac:dyDescent="0.3">
      <c r="A104" s="55" t="s">
        <v>40</v>
      </c>
      <c r="B104" s="55" t="s">
        <v>190</v>
      </c>
      <c r="C104" s="55" t="s">
        <v>191</v>
      </c>
      <c r="D104" s="138" t="s">
        <v>192</v>
      </c>
      <c r="E104" s="55" t="s">
        <v>193</v>
      </c>
      <c r="F104" s="55" t="s">
        <v>194</v>
      </c>
      <c r="G104" s="55" t="s">
        <v>506</v>
      </c>
      <c r="H104" s="55" t="s">
        <v>507</v>
      </c>
      <c r="I104" s="139" t="s">
        <v>51</v>
      </c>
      <c r="J104" s="140" t="s">
        <v>508</v>
      </c>
      <c r="K104" s="55">
        <v>20038918</v>
      </c>
      <c r="L104" s="55" t="s">
        <v>198</v>
      </c>
      <c r="M104" s="141" t="str">
        <f t="shared" si="2"/>
        <v>CC-INT_E</v>
      </c>
      <c r="N104" s="142" t="str">
        <f>LOOKUP(M104,'[2]Doc Set'!E:E,'[2]Doc Set'!F:F)</f>
        <v>_</v>
      </c>
      <c r="O104" s="141" t="s">
        <v>306</v>
      </c>
      <c r="P104" s="142">
        <f>+LOOKUP(O104,'[2]Doc Set'!E:E,'[2]Doc Set'!G:G)</f>
        <v>43489</v>
      </c>
      <c r="Q104" s="55" t="str">
        <f t="shared" si="3"/>
        <v>CC-INT_E</v>
      </c>
      <c r="R104" s="142">
        <f>+LOOKUP(Q104,'[2]Doc Set'!E:E,'[2]Doc Set'!H:H)</f>
        <v>43542</v>
      </c>
      <c r="S104" s="143" t="s">
        <v>200</v>
      </c>
    </row>
    <row r="105" spans="1:19" x14ac:dyDescent="0.3">
      <c r="A105" s="55" t="s">
        <v>40</v>
      </c>
      <c r="B105" s="55" t="s">
        <v>190</v>
      </c>
      <c r="C105" s="55" t="s">
        <v>191</v>
      </c>
      <c r="D105" s="138" t="s">
        <v>192</v>
      </c>
      <c r="E105" s="55" t="s">
        <v>193</v>
      </c>
      <c r="F105" s="55" t="s">
        <v>194</v>
      </c>
      <c r="G105" s="55" t="s">
        <v>509</v>
      </c>
      <c r="H105" s="55" t="s">
        <v>510</v>
      </c>
      <c r="I105" s="139" t="s">
        <v>51</v>
      </c>
      <c r="J105" s="140" t="s">
        <v>511</v>
      </c>
      <c r="K105" s="55">
        <v>20038918</v>
      </c>
      <c r="L105" s="55" t="s">
        <v>198</v>
      </c>
      <c r="M105" s="141" t="str">
        <f t="shared" si="2"/>
        <v>CC-INT_E</v>
      </c>
      <c r="N105" s="142" t="str">
        <f>LOOKUP(M105,'[2]Doc Set'!E:E,'[2]Doc Set'!F:F)</f>
        <v>_</v>
      </c>
      <c r="O105" s="141" t="s">
        <v>306</v>
      </c>
      <c r="P105" s="142">
        <f>+LOOKUP(O105,'[2]Doc Set'!E:E,'[2]Doc Set'!G:G)</f>
        <v>43489</v>
      </c>
      <c r="Q105" s="55" t="str">
        <f t="shared" si="3"/>
        <v>CC-INT_E</v>
      </c>
      <c r="R105" s="142">
        <f>+LOOKUP(Q105,'[2]Doc Set'!E:E,'[2]Doc Set'!H:H)</f>
        <v>43542</v>
      </c>
      <c r="S105" s="143" t="s">
        <v>200</v>
      </c>
    </row>
    <row r="106" spans="1:19" x14ac:dyDescent="0.3">
      <c r="A106" s="55" t="s">
        <v>40</v>
      </c>
      <c r="B106" s="55" t="s">
        <v>190</v>
      </c>
      <c r="C106" s="55" t="s">
        <v>191</v>
      </c>
      <c r="D106" s="138" t="s">
        <v>192</v>
      </c>
      <c r="E106" s="55" t="s">
        <v>193</v>
      </c>
      <c r="F106" s="55" t="s">
        <v>194</v>
      </c>
      <c r="G106" s="55" t="s">
        <v>512</v>
      </c>
      <c r="H106" s="55" t="s">
        <v>513</v>
      </c>
      <c r="I106" s="139" t="s">
        <v>51</v>
      </c>
      <c r="J106" s="140" t="s">
        <v>514</v>
      </c>
      <c r="K106" s="55">
        <v>20038918</v>
      </c>
      <c r="L106" s="55" t="s">
        <v>198</v>
      </c>
      <c r="M106" s="141" t="str">
        <f t="shared" si="2"/>
        <v>CC-INT_E</v>
      </c>
      <c r="N106" s="142" t="str">
        <f>LOOKUP(M106,'[2]Doc Set'!E:E,'[2]Doc Set'!F:F)</f>
        <v>_</v>
      </c>
      <c r="O106" s="141" t="s">
        <v>306</v>
      </c>
      <c r="P106" s="142">
        <f>+LOOKUP(O106,'[2]Doc Set'!E:E,'[2]Doc Set'!G:G)</f>
        <v>43489</v>
      </c>
      <c r="Q106" s="55" t="str">
        <f t="shared" si="3"/>
        <v>CC-INT_E</v>
      </c>
      <c r="R106" s="142">
        <f>+LOOKUP(Q106,'[2]Doc Set'!E:E,'[2]Doc Set'!H:H)</f>
        <v>43542</v>
      </c>
      <c r="S106" s="143" t="s">
        <v>200</v>
      </c>
    </row>
    <row r="107" spans="1:19" x14ac:dyDescent="0.3">
      <c r="A107" s="55" t="s">
        <v>40</v>
      </c>
      <c r="B107" s="55" t="s">
        <v>190</v>
      </c>
      <c r="C107" s="55" t="s">
        <v>191</v>
      </c>
      <c r="D107" s="138" t="s">
        <v>192</v>
      </c>
      <c r="E107" s="55" t="s">
        <v>193</v>
      </c>
      <c r="F107" s="55" t="s">
        <v>194</v>
      </c>
      <c r="G107" s="55" t="s">
        <v>515</v>
      </c>
      <c r="H107" s="55" t="s">
        <v>516</v>
      </c>
      <c r="I107" s="139" t="s">
        <v>51</v>
      </c>
      <c r="J107" s="140" t="s">
        <v>517</v>
      </c>
      <c r="K107" s="55">
        <v>20038918</v>
      </c>
      <c r="L107" s="55" t="s">
        <v>198</v>
      </c>
      <c r="M107" s="141" t="str">
        <f t="shared" si="2"/>
        <v>CC-INT_E</v>
      </c>
      <c r="N107" s="142" t="str">
        <f>LOOKUP(M107,'[2]Doc Set'!E:E,'[2]Doc Set'!F:F)</f>
        <v>_</v>
      </c>
      <c r="O107" s="141" t="s">
        <v>306</v>
      </c>
      <c r="P107" s="142">
        <f>+LOOKUP(O107,'[2]Doc Set'!E:E,'[2]Doc Set'!G:G)</f>
        <v>43489</v>
      </c>
      <c r="Q107" s="55" t="str">
        <f t="shared" si="3"/>
        <v>CC-INT_E</v>
      </c>
      <c r="R107" s="142">
        <f>+LOOKUP(Q107,'[2]Doc Set'!E:E,'[2]Doc Set'!H:H)</f>
        <v>43542</v>
      </c>
      <c r="S107" s="143" t="s">
        <v>200</v>
      </c>
    </row>
    <row r="108" spans="1:19" x14ac:dyDescent="0.3">
      <c r="A108" s="55" t="s">
        <v>40</v>
      </c>
      <c r="B108" s="55" t="s">
        <v>190</v>
      </c>
      <c r="C108" s="55" t="s">
        <v>191</v>
      </c>
      <c r="D108" s="138" t="s">
        <v>192</v>
      </c>
      <c r="E108" s="55" t="s">
        <v>193</v>
      </c>
      <c r="F108" s="55" t="s">
        <v>194</v>
      </c>
      <c r="G108" s="55" t="s">
        <v>518</v>
      </c>
      <c r="H108" s="55" t="s">
        <v>519</v>
      </c>
      <c r="I108" s="139" t="s">
        <v>51</v>
      </c>
      <c r="J108" s="140" t="s">
        <v>520</v>
      </c>
      <c r="K108" s="55">
        <v>20038918</v>
      </c>
      <c r="L108" s="55" t="s">
        <v>198</v>
      </c>
      <c r="M108" s="141" t="str">
        <f t="shared" si="2"/>
        <v>CC-INT_E</v>
      </c>
      <c r="N108" s="142" t="str">
        <f>LOOKUP(M108,'[2]Doc Set'!E:E,'[2]Doc Set'!F:F)</f>
        <v>_</v>
      </c>
      <c r="O108" s="141" t="s">
        <v>306</v>
      </c>
      <c r="P108" s="142">
        <f>+LOOKUP(O108,'[2]Doc Set'!E:E,'[2]Doc Set'!G:G)</f>
        <v>43489</v>
      </c>
      <c r="Q108" s="55" t="str">
        <f t="shared" si="3"/>
        <v>CC-INT_E</v>
      </c>
      <c r="R108" s="142">
        <f>+LOOKUP(Q108,'[2]Doc Set'!E:E,'[2]Doc Set'!H:H)</f>
        <v>43542</v>
      </c>
      <c r="S108" s="143" t="s">
        <v>200</v>
      </c>
    </row>
    <row r="109" spans="1:19" x14ac:dyDescent="0.3">
      <c r="A109" s="55" t="s">
        <v>40</v>
      </c>
      <c r="B109" s="55" t="s">
        <v>190</v>
      </c>
      <c r="C109" s="55" t="s">
        <v>191</v>
      </c>
      <c r="D109" s="138" t="s">
        <v>192</v>
      </c>
      <c r="E109" s="55" t="s">
        <v>193</v>
      </c>
      <c r="F109" s="55" t="s">
        <v>521</v>
      </c>
      <c r="G109" s="55" t="s">
        <v>522</v>
      </c>
      <c r="H109" s="55" t="s">
        <v>523</v>
      </c>
      <c r="I109" s="139" t="s">
        <v>134</v>
      </c>
      <c r="J109" s="140" t="s">
        <v>524</v>
      </c>
      <c r="K109" s="55">
        <v>20038918</v>
      </c>
      <c r="L109" s="55" t="s">
        <v>198</v>
      </c>
      <c r="M109" s="141" t="str">
        <f t="shared" si="2"/>
        <v>CC-INT_D</v>
      </c>
      <c r="N109" s="142" t="str">
        <f>LOOKUP(M109,'[2]Doc Set'!E:E,'[2]Doc Set'!F:F)</f>
        <v>_</v>
      </c>
      <c r="O109" s="141" t="s">
        <v>199</v>
      </c>
      <c r="P109" s="142">
        <f>+LOOKUP(O109,'[2]Doc Set'!E:E,'[2]Doc Set'!G:G)</f>
        <v>43437</v>
      </c>
      <c r="Q109" s="55" t="str">
        <f t="shared" si="3"/>
        <v>CC-INT_D</v>
      </c>
      <c r="R109" s="142">
        <f>+LOOKUP(Q109,'[2]Doc Set'!E:E,'[2]Doc Set'!H:H)</f>
        <v>43514</v>
      </c>
      <c r="S109" s="143" t="s">
        <v>200</v>
      </c>
    </row>
    <row r="110" spans="1:19" x14ac:dyDescent="0.3">
      <c r="A110" s="55" t="s">
        <v>40</v>
      </c>
      <c r="B110" s="55" t="s">
        <v>190</v>
      </c>
      <c r="C110" s="55" t="s">
        <v>191</v>
      </c>
      <c r="D110" s="138" t="s">
        <v>192</v>
      </c>
      <c r="E110" s="55" t="s">
        <v>193</v>
      </c>
      <c r="F110" s="55" t="s">
        <v>521</v>
      </c>
      <c r="G110" s="55" t="s">
        <v>525</v>
      </c>
      <c r="H110" s="55" t="s">
        <v>526</v>
      </c>
      <c r="I110" s="139" t="s">
        <v>134</v>
      </c>
      <c r="J110" s="140" t="s">
        <v>527</v>
      </c>
      <c r="K110" s="55">
        <v>20038918</v>
      </c>
      <c r="L110" s="55" t="s">
        <v>198</v>
      </c>
      <c r="M110" s="141" t="str">
        <f t="shared" si="2"/>
        <v>CC-INT_D</v>
      </c>
      <c r="N110" s="142" t="str">
        <f>LOOKUP(M110,'[2]Doc Set'!E:E,'[2]Doc Set'!F:F)</f>
        <v>_</v>
      </c>
      <c r="O110" s="141" t="s">
        <v>199</v>
      </c>
      <c r="P110" s="142">
        <f>+LOOKUP(O110,'[2]Doc Set'!E:E,'[2]Doc Set'!G:G)</f>
        <v>43437</v>
      </c>
      <c r="Q110" s="55" t="str">
        <f t="shared" si="3"/>
        <v>CC-INT_D</v>
      </c>
      <c r="R110" s="142">
        <f>+LOOKUP(Q110,'[2]Doc Set'!E:E,'[2]Doc Set'!H:H)</f>
        <v>43514</v>
      </c>
      <c r="S110" s="143" t="s">
        <v>200</v>
      </c>
    </row>
    <row r="111" spans="1:19" ht="28.8" x14ac:dyDescent="0.3">
      <c r="A111" s="55" t="s">
        <v>40</v>
      </c>
      <c r="B111" s="55" t="s">
        <v>190</v>
      </c>
      <c r="C111" s="55" t="s">
        <v>191</v>
      </c>
      <c r="D111" s="138" t="s">
        <v>192</v>
      </c>
      <c r="E111" s="55" t="s">
        <v>193</v>
      </c>
      <c r="F111" s="55" t="s">
        <v>521</v>
      </c>
      <c r="G111" s="55" t="s">
        <v>528</v>
      </c>
      <c r="H111" s="55" t="s">
        <v>529</v>
      </c>
      <c r="I111" s="139" t="s">
        <v>134</v>
      </c>
      <c r="J111" s="140" t="s">
        <v>530</v>
      </c>
      <c r="K111" s="55">
        <v>20038918</v>
      </c>
      <c r="L111" s="55" t="s">
        <v>198</v>
      </c>
      <c r="M111" s="141" t="str">
        <f t="shared" si="2"/>
        <v>CC-INT_D</v>
      </c>
      <c r="N111" s="142" t="str">
        <f>LOOKUP(M111,'[2]Doc Set'!E:E,'[2]Doc Set'!F:F)</f>
        <v>_</v>
      </c>
      <c r="O111" s="141" t="s">
        <v>199</v>
      </c>
      <c r="P111" s="142">
        <f>+LOOKUP(O111,'[2]Doc Set'!E:E,'[2]Doc Set'!G:G)</f>
        <v>43437</v>
      </c>
      <c r="Q111" s="55" t="str">
        <f t="shared" si="3"/>
        <v>CC-INT_D</v>
      </c>
      <c r="R111" s="142">
        <f>+LOOKUP(Q111,'[2]Doc Set'!E:E,'[2]Doc Set'!H:H)</f>
        <v>43514</v>
      </c>
      <c r="S111" s="143" t="s">
        <v>200</v>
      </c>
    </row>
    <row r="112" spans="1:19" x14ac:dyDescent="0.3">
      <c r="A112" s="55" t="s">
        <v>40</v>
      </c>
      <c r="B112" s="55" t="s">
        <v>190</v>
      </c>
      <c r="C112" s="55" t="s">
        <v>191</v>
      </c>
      <c r="D112" s="138" t="s">
        <v>192</v>
      </c>
      <c r="E112" s="55" t="s">
        <v>193</v>
      </c>
      <c r="F112" s="55" t="s">
        <v>521</v>
      </c>
      <c r="G112" s="55" t="s">
        <v>531</v>
      </c>
      <c r="H112" s="55" t="s">
        <v>532</v>
      </c>
      <c r="I112" s="139" t="s">
        <v>51</v>
      </c>
      <c r="J112" s="140" t="s">
        <v>533</v>
      </c>
      <c r="K112" s="55">
        <v>20038918</v>
      </c>
      <c r="L112" s="55" t="s">
        <v>198</v>
      </c>
      <c r="M112" s="141" t="str">
        <f t="shared" si="2"/>
        <v>CC-INT_E</v>
      </c>
      <c r="N112" s="142" t="str">
        <f>LOOKUP(M112,'[2]Doc Set'!E:E,'[2]Doc Set'!F:F)</f>
        <v>_</v>
      </c>
      <c r="O112" s="141" t="s">
        <v>306</v>
      </c>
      <c r="P112" s="142">
        <f>+LOOKUP(O112,'[2]Doc Set'!E:E,'[2]Doc Set'!G:G)</f>
        <v>43489</v>
      </c>
      <c r="Q112" s="55" t="str">
        <f t="shared" si="3"/>
        <v>CC-INT_E</v>
      </c>
      <c r="R112" s="142">
        <f>+LOOKUP(Q112,'[2]Doc Set'!E:E,'[2]Doc Set'!H:H)</f>
        <v>43542</v>
      </c>
      <c r="S112" s="143" t="s">
        <v>200</v>
      </c>
    </row>
    <row r="113" spans="1:19" ht="28.8" x14ac:dyDescent="0.3">
      <c r="A113" s="55" t="s">
        <v>40</v>
      </c>
      <c r="B113" s="55" t="s">
        <v>190</v>
      </c>
      <c r="C113" s="55" t="s">
        <v>191</v>
      </c>
      <c r="D113" s="138" t="s">
        <v>192</v>
      </c>
      <c r="E113" s="55" t="s">
        <v>193</v>
      </c>
      <c r="F113" s="55" t="s">
        <v>521</v>
      </c>
      <c r="G113" s="55" t="s">
        <v>534</v>
      </c>
      <c r="H113" s="55" t="s">
        <v>535</v>
      </c>
      <c r="I113" s="139" t="s">
        <v>51</v>
      </c>
      <c r="J113" s="140" t="s">
        <v>536</v>
      </c>
      <c r="K113" s="55">
        <v>20038918</v>
      </c>
      <c r="L113" s="55" t="s">
        <v>198</v>
      </c>
      <c r="M113" s="141" t="str">
        <f t="shared" si="2"/>
        <v>CC-INT_E</v>
      </c>
      <c r="N113" s="142" t="str">
        <f>LOOKUP(M113,'[2]Doc Set'!E:E,'[2]Doc Set'!F:F)</f>
        <v>_</v>
      </c>
      <c r="O113" s="141" t="s">
        <v>306</v>
      </c>
      <c r="P113" s="142">
        <f>+LOOKUP(O113,'[2]Doc Set'!E:E,'[2]Doc Set'!G:G)</f>
        <v>43489</v>
      </c>
      <c r="Q113" s="55" t="str">
        <f t="shared" si="3"/>
        <v>CC-INT_E</v>
      </c>
      <c r="R113" s="142">
        <f>+LOOKUP(Q113,'[2]Doc Set'!E:E,'[2]Doc Set'!H:H)</f>
        <v>43542</v>
      </c>
      <c r="S113" s="143" t="s">
        <v>200</v>
      </c>
    </row>
    <row r="114" spans="1:19" ht="28.8" x14ac:dyDescent="0.3">
      <c r="A114" s="55" t="s">
        <v>40</v>
      </c>
      <c r="B114" s="55" t="s">
        <v>190</v>
      </c>
      <c r="C114" s="55" t="s">
        <v>191</v>
      </c>
      <c r="D114" s="138" t="s">
        <v>192</v>
      </c>
      <c r="E114" s="55" t="s">
        <v>193</v>
      </c>
      <c r="F114" s="55" t="s">
        <v>521</v>
      </c>
      <c r="G114" s="55" t="s">
        <v>537</v>
      </c>
      <c r="H114" s="55" t="s">
        <v>538</v>
      </c>
      <c r="I114" s="139" t="s">
        <v>51</v>
      </c>
      <c r="J114" s="140" t="s">
        <v>539</v>
      </c>
      <c r="K114" s="55">
        <v>20038918</v>
      </c>
      <c r="L114" s="55" t="s">
        <v>198</v>
      </c>
      <c r="M114" s="141" t="str">
        <f t="shared" si="2"/>
        <v>CC-INT_E</v>
      </c>
      <c r="N114" s="142" t="str">
        <f>LOOKUP(M114,'[2]Doc Set'!E:E,'[2]Doc Set'!F:F)</f>
        <v>_</v>
      </c>
      <c r="O114" s="141" t="s">
        <v>306</v>
      </c>
      <c r="P114" s="142">
        <f>+LOOKUP(O114,'[2]Doc Set'!E:E,'[2]Doc Set'!G:G)</f>
        <v>43489</v>
      </c>
      <c r="Q114" s="55" t="str">
        <f t="shared" si="3"/>
        <v>CC-INT_E</v>
      </c>
      <c r="R114" s="142">
        <f>+LOOKUP(Q114,'[2]Doc Set'!E:E,'[2]Doc Set'!H:H)</f>
        <v>43542</v>
      </c>
      <c r="S114" s="143" t="s">
        <v>200</v>
      </c>
    </row>
    <row r="115" spans="1:19" ht="28.8" x14ac:dyDescent="0.3">
      <c r="A115" s="55" t="s">
        <v>40</v>
      </c>
      <c r="B115" s="55" t="s">
        <v>190</v>
      </c>
      <c r="C115" s="55" t="s">
        <v>191</v>
      </c>
      <c r="D115" s="138" t="s">
        <v>192</v>
      </c>
      <c r="E115" s="55" t="s">
        <v>193</v>
      </c>
      <c r="F115" s="55" t="s">
        <v>521</v>
      </c>
      <c r="G115" s="55" t="s">
        <v>540</v>
      </c>
      <c r="H115" s="55" t="s">
        <v>541</v>
      </c>
      <c r="I115" s="139" t="s">
        <v>51</v>
      </c>
      <c r="J115" s="140" t="s">
        <v>542</v>
      </c>
      <c r="K115" s="55">
        <v>20038918</v>
      </c>
      <c r="L115" s="55" t="s">
        <v>198</v>
      </c>
      <c r="M115" s="141" t="str">
        <f t="shared" si="2"/>
        <v>CC-INT_E</v>
      </c>
      <c r="N115" s="142" t="str">
        <f>LOOKUP(M115,'[2]Doc Set'!E:E,'[2]Doc Set'!F:F)</f>
        <v>_</v>
      </c>
      <c r="O115" s="141" t="s">
        <v>306</v>
      </c>
      <c r="P115" s="142">
        <f>+LOOKUP(O115,'[2]Doc Set'!E:E,'[2]Doc Set'!G:G)</f>
        <v>43489</v>
      </c>
      <c r="Q115" s="55" t="str">
        <f t="shared" si="3"/>
        <v>CC-INT_E</v>
      </c>
      <c r="R115" s="142">
        <f>+LOOKUP(Q115,'[2]Doc Set'!E:E,'[2]Doc Set'!H:H)</f>
        <v>43542</v>
      </c>
      <c r="S115" s="143" t="s">
        <v>200</v>
      </c>
    </row>
    <row r="116" spans="1:19" ht="28.8" x14ac:dyDescent="0.3">
      <c r="A116" s="55" t="s">
        <v>40</v>
      </c>
      <c r="B116" s="55" t="s">
        <v>190</v>
      </c>
      <c r="C116" s="55" t="s">
        <v>191</v>
      </c>
      <c r="D116" s="138" t="s">
        <v>192</v>
      </c>
      <c r="E116" s="55" t="s">
        <v>193</v>
      </c>
      <c r="F116" s="55" t="s">
        <v>521</v>
      </c>
      <c r="G116" s="55" t="s">
        <v>543</v>
      </c>
      <c r="H116" s="55" t="s">
        <v>544</v>
      </c>
      <c r="I116" s="139" t="s">
        <v>51</v>
      </c>
      <c r="J116" s="140" t="s">
        <v>545</v>
      </c>
      <c r="K116" s="55">
        <v>20038918</v>
      </c>
      <c r="L116" s="55" t="s">
        <v>198</v>
      </c>
      <c r="M116" s="141" t="str">
        <f t="shared" si="2"/>
        <v>CC-INT_E</v>
      </c>
      <c r="N116" s="142" t="str">
        <f>LOOKUP(M116,'[2]Doc Set'!E:E,'[2]Doc Set'!F:F)</f>
        <v>_</v>
      </c>
      <c r="O116" s="141" t="s">
        <v>306</v>
      </c>
      <c r="P116" s="142">
        <f>+LOOKUP(O116,'[2]Doc Set'!E:E,'[2]Doc Set'!G:G)</f>
        <v>43489</v>
      </c>
      <c r="Q116" s="55" t="str">
        <f t="shared" si="3"/>
        <v>CC-INT_E</v>
      </c>
      <c r="R116" s="142">
        <f>+LOOKUP(Q116,'[2]Doc Set'!E:E,'[2]Doc Set'!H:H)</f>
        <v>43542</v>
      </c>
      <c r="S116" s="143" t="s">
        <v>200</v>
      </c>
    </row>
    <row r="117" spans="1:19" ht="28.8" x14ac:dyDescent="0.3">
      <c r="A117" s="55" t="s">
        <v>40</v>
      </c>
      <c r="B117" s="55" t="s">
        <v>190</v>
      </c>
      <c r="C117" s="55" t="s">
        <v>191</v>
      </c>
      <c r="D117" s="138" t="s">
        <v>192</v>
      </c>
      <c r="E117" s="55" t="s">
        <v>193</v>
      </c>
      <c r="F117" s="55" t="s">
        <v>521</v>
      </c>
      <c r="G117" s="55" t="s">
        <v>546</v>
      </c>
      <c r="H117" s="55" t="s">
        <v>547</v>
      </c>
      <c r="I117" s="139" t="s">
        <v>51</v>
      </c>
      <c r="J117" s="140" t="s">
        <v>548</v>
      </c>
      <c r="K117" s="55">
        <v>20038918</v>
      </c>
      <c r="L117" s="55" t="s">
        <v>198</v>
      </c>
      <c r="M117" s="141" t="str">
        <f t="shared" si="2"/>
        <v>CC-INT_E</v>
      </c>
      <c r="N117" s="142" t="str">
        <f>LOOKUP(M117,'[2]Doc Set'!E:E,'[2]Doc Set'!F:F)</f>
        <v>_</v>
      </c>
      <c r="O117" s="141" t="s">
        <v>306</v>
      </c>
      <c r="P117" s="142">
        <f>+LOOKUP(O117,'[2]Doc Set'!E:E,'[2]Doc Set'!G:G)</f>
        <v>43489</v>
      </c>
      <c r="Q117" s="55" t="str">
        <f t="shared" si="3"/>
        <v>CC-INT_E</v>
      </c>
      <c r="R117" s="142">
        <f>+LOOKUP(Q117,'[2]Doc Set'!E:E,'[2]Doc Set'!H:H)</f>
        <v>43542</v>
      </c>
      <c r="S117" s="143" t="s">
        <v>200</v>
      </c>
    </row>
    <row r="118" spans="1:19" ht="28.8" x14ac:dyDescent="0.3">
      <c r="A118" s="55" t="s">
        <v>40</v>
      </c>
      <c r="B118" s="55" t="s">
        <v>190</v>
      </c>
      <c r="C118" s="55" t="s">
        <v>191</v>
      </c>
      <c r="D118" s="138" t="s">
        <v>192</v>
      </c>
      <c r="E118" s="55" t="s">
        <v>193</v>
      </c>
      <c r="F118" s="55" t="s">
        <v>521</v>
      </c>
      <c r="G118" s="55" t="s">
        <v>549</v>
      </c>
      <c r="H118" s="55" t="s">
        <v>550</v>
      </c>
      <c r="I118" s="139" t="s">
        <v>51</v>
      </c>
      <c r="J118" s="140" t="s">
        <v>551</v>
      </c>
      <c r="K118" s="55">
        <v>20038918</v>
      </c>
      <c r="L118" s="55" t="s">
        <v>198</v>
      </c>
      <c r="M118" s="141" t="str">
        <f t="shared" si="2"/>
        <v>CC-INT_E</v>
      </c>
      <c r="N118" s="142" t="str">
        <f>LOOKUP(M118,'[2]Doc Set'!E:E,'[2]Doc Set'!F:F)</f>
        <v>_</v>
      </c>
      <c r="O118" s="141" t="s">
        <v>306</v>
      </c>
      <c r="P118" s="142">
        <f>+LOOKUP(O118,'[2]Doc Set'!E:E,'[2]Doc Set'!G:G)</f>
        <v>43489</v>
      </c>
      <c r="Q118" s="55" t="str">
        <f t="shared" si="3"/>
        <v>CC-INT_E</v>
      </c>
      <c r="R118" s="142">
        <f>+LOOKUP(Q118,'[2]Doc Set'!E:E,'[2]Doc Set'!H:H)</f>
        <v>43542</v>
      </c>
      <c r="S118" s="143" t="s">
        <v>200</v>
      </c>
    </row>
    <row r="119" spans="1:19" ht="28.8" x14ac:dyDescent="0.3">
      <c r="A119" s="55" t="s">
        <v>40</v>
      </c>
      <c r="B119" s="55" t="s">
        <v>190</v>
      </c>
      <c r="C119" s="55" t="s">
        <v>191</v>
      </c>
      <c r="D119" s="138" t="s">
        <v>192</v>
      </c>
      <c r="E119" s="55" t="s">
        <v>193</v>
      </c>
      <c r="F119" s="55" t="s">
        <v>521</v>
      </c>
      <c r="G119" s="55" t="s">
        <v>552</v>
      </c>
      <c r="H119" s="55" t="s">
        <v>553</v>
      </c>
      <c r="I119" s="139" t="s">
        <v>51</v>
      </c>
      <c r="J119" s="140" t="s">
        <v>554</v>
      </c>
      <c r="K119" s="55">
        <v>20038918</v>
      </c>
      <c r="L119" s="55" t="s">
        <v>198</v>
      </c>
      <c r="M119" s="141" t="str">
        <f t="shared" si="2"/>
        <v>CC-INT_E</v>
      </c>
      <c r="N119" s="142" t="str">
        <f>LOOKUP(M119,'[2]Doc Set'!E:E,'[2]Doc Set'!F:F)</f>
        <v>_</v>
      </c>
      <c r="O119" s="141" t="s">
        <v>306</v>
      </c>
      <c r="P119" s="142">
        <f>+LOOKUP(O119,'[2]Doc Set'!E:E,'[2]Doc Set'!G:G)</f>
        <v>43489</v>
      </c>
      <c r="Q119" s="55" t="str">
        <f t="shared" si="3"/>
        <v>CC-INT_E</v>
      </c>
      <c r="R119" s="142">
        <f>+LOOKUP(Q119,'[2]Doc Set'!E:E,'[2]Doc Set'!H:H)</f>
        <v>43542</v>
      </c>
      <c r="S119" s="143" t="s">
        <v>200</v>
      </c>
    </row>
    <row r="120" spans="1:19" s="153" customFormat="1" ht="28.8" x14ac:dyDescent="0.3">
      <c r="A120" s="144" t="s">
        <v>40</v>
      </c>
      <c r="B120" s="144" t="s">
        <v>190</v>
      </c>
      <c r="C120" s="144" t="s">
        <v>191</v>
      </c>
      <c r="D120" s="145" t="s">
        <v>192</v>
      </c>
      <c r="E120" s="144" t="s">
        <v>193</v>
      </c>
      <c r="F120" s="144" t="s">
        <v>555</v>
      </c>
      <c r="G120" s="144" t="s">
        <v>53</v>
      </c>
      <c r="H120" s="144" t="s">
        <v>556</v>
      </c>
      <c r="I120" s="146" t="s">
        <v>51</v>
      </c>
      <c r="J120" s="147" t="s">
        <v>557</v>
      </c>
      <c r="K120" s="144">
        <v>20038918</v>
      </c>
      <c r="L120" s="148" t="s">
        <v>558</v>
      </c>
      <c r="M120" s="149" t="s">
        <v>559</v>
      </c>
      <c r="N120" s="150">
        <f>LOOKUP(M120,'[2]Doc Set'!E:E,'[2]Doc Set'!F:F)</f>
        <v>43185</v>
      </c>
      <c r="O120" s="151" t="s">
        <v>560</v>
      </c>
      <c r="P120" s="150">
        <f>+LOOKUP(O120,'[2]Doc Set'!E:E,'[2]Doc Set'!G:G)</f>
        <v>43278</v>
      </c>
      <c r="Q120" s="144" t="str">
        <f>+O120</f>
        <v>CC-SS_B</v>
      </c>
      <c r="R120" s="150">
        <f>+LOOKUP(Q120,'[2]Doc Set'!E:E,'[2]Doc Set'!H:H)</f>
        <v>43308</v>
      </c>
      <c r="S120" s="152" t="s">
        <v>200</v>
      </c>
    </row>
    <row r="121" spans="1:19" s="153" customFormat="1" ht="28.8" x14ac:dyDescent="0.3">
      <c r="A121" s="144" t="s">
        <v>40</v>
      </c>
      <c r="B121" s="144" t="s">
        <v>190</v>
      </c>
      <c r="C121" s="144" t="s">
        <v>191</v>
      </c>
      <c r="D121" s="145" t="s">
        <v>192</v>
      </c>
      <c r="E121" s="144" t="s">
        <v>193</v>
      </c>
      <c r="F121" s="144" t="s">
        <v>555</v>
      </c>
      <c r="G121" s="144" t="s">
        <v>561</v>
      </c>
      <c r="H121" s="144" t="s">
        <v>562</v>
      </c>
      <c r="I121" s="146" t="s">
        <v>51</v>
      </c>
      <c r="J121" s="147" t="s">
        <v>563</v>
      </c>
      <c r="K121" s="144">
        <v>20038918</v>
      </c>
      <c r="L121" s="148" t="s">
        <v>558</v>
      </c>
      <c r="M121" s="151" t="str">
        <f t="shared" ref="M121:M127" si="4">+O121</f>
        <v>CC-SS_B</v>
      </c>
      <c r="N121" s="150" t="str">
        <f>LOOKUP(M121,'[2]Doc Set'!E:E,'[2]Doc Set'!F:F)</f>
        <v>_</v>
      </c>
      <c r="O121" s="151" t="s">
        <v>560</v>
      </c>
      <c r="P121" s="150">
        <f>+LOOKUP(O121,'[2]Doc Set'!E:E,'[2]Doc Set'!G:G)</f>
        <v>43278</v>
      </c>
      <c r="Q121" s="144" t="str">
        <f t="shared" ref="Q121:Q169" si="5">+O121</f>
        <v>CC-SS_B</v>
      </c>
      <c r="R121" s="150">
        <f>+LOOKUP(Q121,'[2]Doc Set'!E:E,'[2]Doc Set'!H:H)</f>
        <v>43308</v>
      </c>
      <c r="S121" s="152" t="s">
        <v>200</v>
      </c>
    </row>
    <row r="122" spans="1:19" s="153" customFormat="1" x14ac:dyDescent="0.3">
      <c r="A122" s="144" t="s">
        <v>40</v>
      </c>
      <c r="B122" s="144" t="s">
        <v>190</v>
      </c>
      <c r="C122" s="144" t="s">
        <v>191</v>
      </c>
      <c r="D122" s="145" t="s">
        <v>192</v>
      </c>
      <c r="E122" s="144" t="s">
        <v>193</v>
      </c>
      <c r="F122" s="144" t="s">
        <v>555</v>
      </c>
      <c r="G122" s="144" t="s">
        <v>564</v>
      </c>
      <c r="H122" s="144" t="s">
        <v>565</v>
      </c>
      <c r="I122" s="146" t="s">
        <v>51</v>
      </c>
      <c r="J122" s="147" t="s">
        <v>566</v>
      </c>
      <c r="K122" s="144">
        <v>20038918</v>
      </c>
      <c r="L122" s="148" t="s">
        <v>558</v>
      </c>
      <c r="M122" s="151" t="str">
        <f t="shared" si="4"/>
        <v>CC-SS_B</v>
      </c>
      <c r="N122" s="150" t="str">
        <f>LOOKUP(M122,'[2]Doc Set'!E:E,'[2]Doc Set'!F:F)</f>
        <v>_</v>
      </c>
      <c r="O122" s="151" t="s">
        <v>560</v>
      </c>
      <c r="P122" s="150">
        <f>+LOOKUP(O122,'[2]Doc Set'!E:E,'[2]Doc Set'!G:G)</f>
        <v>43278</v>
      </c>
      <c r="Q122" s="144" t="str">
        <f t="shared" si="5"/>
        <v>CC-SS_B</v>
      </c>
      <c r="R122" s="150">
        <f>+LOOKUP(Q122,'[2]Doc Set'!E:E,'[2]Doc Set'!H:H)</f>
        <v>43308</v>
      </c>
      <c r="S122" s="152" t="s">
        <v>200</v>
      </c>
    </row>
    <row r="123" spans="1:19" s="153" customFormat="1" ht="28.8" x14ac:dyDescent="0.3">
      <c r="A123" s="144" t="s">
        <v>40</v>
      </c>
      <c r="B123" s="144" t="s">
        <v>190</v>
      </c>
      <c r="C123" s="144" t="s">
        <v>191</v>
      </c>
      <c r="D123" s="145" t="s">
        <v>192</v>
      </c>
      <c r="E123" s="144" t="s">
        <v>193</v>
      </c>
      <c r="F123" s="144" t="s">
        <v>555</v>
      </c>
      <c r="G123" s="144" t="s">
        <v>567</v>
      </c>
      <c r="H123" s="144" t="s">
        <v>568</v>
      </c>
      <c r="I123" s="146" t="s">
        <v>51</v>
      </c>
      <c r="J123" s="147" t="s">
        <v>569</v>
      </c>
      <c r="K123" s="144">
        <v>20038918</v>
      </c>
      <c r="L123" s="148" t="s">
        <v>558</v>
      </c>
      <c r="M123" s="151" t="str">
        <f t="shared" si="4"/>
        <v>CC-SS_B</v>
      </c>
      <c r="N123" s="150" t="str">
        <f>LOOKUP(M123,'[2]Doc Set'!E:E,'[2]Doc Set'!F:F)</f>
        <v>_</v>
      </c>
      <c r="O123" s="151" t="s">
        <v>560</v>
      </c>
      <c r="P123" s="150">
        <f>+LOOKUP(O123,'[2]Doc Set'!E:E,'[2]Doc Set'!G:G)</f>
        <v>43278</v>
      </c>
      <c r="Q123" s="144" t="str">
        <f t="shared" si="5"/>
        <v>CC-SS_B</v>
      </c>
      <c r="R123" s="150">
        <f>+LOOKUP(Q123,'[2]Doc Set'!E:E,'[2]Doc Set'!H:H)</f>
        <v>43308</v>
      </c>
      <c r="S123" s="152" t="s">
        <v>200</v>
      </c>
    </row>
    <row r="124" spans="1:19" s="153" customFormat="1" x14ac:dyDescent="0.3">
      <c r="A124" s="144" t="s">
        <v>40</v>
      </c>
      <c r="B124" s="144" t="s">
        <v>190</v>
      </c>
      <c r="C124" s="144" t="s">
        <v>191</v>
      </c>
      <c r="D124" s="145" t="s">
        <v>192</v>
      </c>
      <c r="E124" s="144" t="s">
        <v>193</v>
      </c>
      <c r="F124" s="144" t="s">
        <v>555</v>
      </c>
      <c r="G124" s="144" t="s">
        <v>570</v>
      </c>
      <c r="H124" s="144" t="s">
        <v>571</v>
      </c>
      <c r="I124" s="146" t="s">
        <v>51</v>
      </c>
      <c r="J124" s="147" t="s">
        <v>572</v>
      </c>
      <c r="K124" s="144">
        <v>20038918</v>
      </c>
      <c r="L124" s="148" t="s">
        <v>558</v>
      </c>
      <c r="M124" s="151" t="str">
        <f t="shared" si="4"/>
        <v>CC-SS_B</v>
      </c>
      <c r="N124" s="150" t="str">
        <f>LOOKUP(M124,'[2]Doc Set'!E:E,'[2]Doc Set'!F:F)</f>
        <v>_</v>
      </c>
      <c r="O124" s="151" t="s">
        <v>560</v>
      </c>
      <c r="P124" s="150">
        <f>+LOOKUP(O124,'[2]Doc Set'!E:E,'[2]Doc Set'!G:G)</f>
        <v>43278</v>
      </c>
      <c r="Q124" s="144" t="str">
        <f t="shared" si="5"/>
        <v>CC-SS_B</v>
      </c>
      <c r="R124" s="150">
        <f>+LOOKUP(Q124,'[2]Doc Set'!E:E,'[2]Doc Set'!H:H)</f>
        <v>43308</v>
      </c>
      <c r="S124" s="152" t="s">
        <v>200</v>
      </c>
    </row>
    <row r="125" spans="1:19" s="153" customFormat="1" ht="28.8" x14ac:dyDescent="0.3">
      <c r="A125" s="144" t="s">
        <v>40</v>
      </c>
      <c r="B125" s="144" t="s">
        <v>190</v>
      </c>
      <c r="C125" s="144" t="s">
        <v>191</v>
      </c>
      <c r="D125" s="145" t="s">
        <v>192</v>
      </c>
      <c r="E125" s="144" t="s">
        <v>193</v>
      </c>
      <c r="F125" s="144" t="s">
        <v>555</v>
      </c>
      <c r="G125" s="144" t="s">
        <v>573</v>
      </c>
      <c r="H125" s="144" t="s">
        <v>574</v>
      </c>
      <c r="I125" s="146" t="s">
        <v>51</v>
      </c>
      <c r="J125" s="147" t="s">
        <v>575</v>
      </c>
      <c r="K125" s="144">
        <v>20038918</v>
      </c>
      <c r="L125" s="148" t="s">
        <v>558</v>
      </c>
      <c r="M125" s="151" t="str">
        <f t="shared" si="4"/>
        <v>CC-SS_B</v>
      </c>
      <c r="N125" s="150" t="str">
        <f>LOOKUP(M125,'[2]Doc Set'!E:E,'[2]Doc Set'!F:F)</f>
        <v>_</v>
      </c>
      <c r="O125" s="151" t="s">
        <v>560</v>
      </c>
      <c r="P125" s="150">
        <f>+LOOKUP(O125,'[2]Doc Set'!E:E,'[2]Doc Set'!G:G)</f>
        <v>43278</v>
      </c>
      <c r="Q125" s="144" t="str">
        <f t="shared" si="5"/>
        <v>CC-SS_B</v>
      </c>
      <c r="R125" s="150">
        <f>+LOOKUP(Q125,'[2]Doc Set'!E:E,'[2]Doc Set'!H:H)</f>
        <v>43308</v>
      </c>
      <c r="S125" s="152" t="s">
        <v>200</v>
      </c>
    </row>
    <row r="126" spans="1:19" s="153" customFormat="1" ht="28.8" x14ac:dyDescent="0.3">
      <c r="A126" s="144" t="s">
        <v>40</v>
      </c>
      <c r="B126" s="144" t="s">
        <v>190</v>
      </c>
      <c r="C126" s="144" t="s">
        <v>191</v>
      </c>
      <c r="D126" s="145" t="s">
        <v>192</v>
      </c>
      <c r="E126" s="144" t="s">
        <v>193</v>
      </c>
      <c r="F126" s="144" t="s">
        <v>555</v>
      </c>
      <c r="G126" s="144" t="s">
        <v>576</v>
      </c>
      <c r="H126" s="144" t="s">
        <v>577</v>
      </c>
      <c r="I126" s="146" t="s">
        <v>51</v>
      </c>
      <c r="J126" s="147" t="s">
        <v>578</v>
      </c>
      <c r="K126" s="144">
        <v>20038918</v>
      </c>
      <c r="L126" s="148" t="s">
        <v>558</v>
      </c>
      <c r="M126" s="151" t="str">
        <f t="shared" si="4"/>
        <v>CC-SS_B</v>
      </c>
      <c r="N126" s="150" t="str">
        <f>LOOKUP(M126,'[2]Doc Set'!E:E,'[2]Doc Set'!F:F)</f>
        <v>_</v>
      </c>
      <c r="O126" s="151" t="s">
        <v>560</v>
      </c>
      <c r="P126" s="150">
        <f>+LOOKUP(O126,'[2]Doc Set'!E:E,'[2]Doc Set'!G:G)</f>
        <v>43278</v>
      </c>
      <c r="Q126" s="144" t="str">
        <f t="shared" si="5"/>
        <v>CC-SS_B</v>
      </c>
      <c r="R126" s="150">
        <f>+LOOKUP(Q126,'[2]Doc Set'!E:E,'[2]Doc Set'!H:H)</f>
        <v>43308</v>
      </c>
      <c r="S126" s="152" t="s">
        <v>200</v>
      </c>
    </row>
    <row r="127" spans="1:19" s="153" customFormat="1" ht="28.8" x14ac:dyDescent="0.3">
      <c r="A127" s="144" t="s">
        <v>40</v>
      </c>
      <c r="B127" s="144" t="s">
        <v>190</v>
      </c>
      <c r="C127" s="144" t="s">
        <v>191</v>
      </c>
      <c r="D127" s="145" t="s">
        <v>192</v>
      </c>
      <c r="E127" s="144" t="s">
        <v>193</v>
      </c>
      <c r="F127" s="144" t="s">
        <v>555</v>
      </c>
      <c r="G127" s="144" t="s">
        <v>579</v>
      </c>
      <c r="H127" s="144" t="s">
        <v>580</v>
      </c>
      <c r="I127" s="146" t="s">
        <v>51</v>
      </c>
      <c r="J127" s="147" t="s">
        <v>581</v>
      </c>
      <c r="K127" s="144">
        <v>20038918</v>
      </c>
      <c r="L127" s="148" t="s">
        <v>558</v>
      </c>
      <c r="M127" s="151" t="str">
        <f t="shared" si="4"/>
        <v>CC-SS_B</v>
      </c>
      <c r="N127" s="150" t="str">
        <f>LOOKUP(M127,'[2]Doc Set'!E:E,'[2]Doc Set'!F:F)</f>
        <v>_</v>
      </c>
      <c r="O127" s="151" t="s">
        <v>560</v>
      </c>
      <c r="P127" s="150">
        <f>+LOOKUP(O127,'[2]Doc Set'!E:E,'[2]Doc Set'!G:G)</f>
        <v>43278</v>
      </c>
      <c r="Q127" s="144" t="str">
        <f t="shared" si="5"/>
        <v>CC-SS_B</v>
      </c>
      <c r="R127" s="150">
        <f>+LOOKUP(Q127,'[2]Doc Set'!E:E,'[2]Doc Set'!H:H)</f>
        <v>43308</v>
      </c>
      <c r="S127" s="152" t="s">
        <v>200</v>
      </c>
    </row>
    <row r="128" spans="1:19" s="153" customFormat="1" ht="28.8" x14ac:dyDescent="0.3">
      <c r="A128" s="144" t="s">
        <v>40</v>
      </c>
      <c r="B128" s="144" t="s">
        <v>190</v>
      </c>
      <c r="C128" s="144" t="s">
        <v>191</v>
      </c>
      <c r="D128" s="145" t="s">
        <v>192</v>
      </c>
      <c r="E128" s="144" t="s">
        <v>193</v>
      </c>
      <c r="F128" s="144" t="s">
        <v>555</v>
      </c>
      <c r="G128" s="144" t="s">
        <v>582</v>
      </c>
      <c r="H128" s="144" t="s">
        <v>583</v>
      </c>
      <c r="I128" s="146" t="s">
        <v>51</v>
      </c>
      <c r="J128" s="147" t="s">
        <v>584</v>
      </c>
      <c r="K128" s="144">
        <v>20038918</v>
      </c>
      <c r="L128" s="148" t="s">
        <v>558</v>
      </c>
      <c r="M128" s="149" t="s">
        <v>559</v>
      </c>
      <c r="N128" s="150">
        <f>LOOKUP(M128,'[2]Doc Set'!E:E,'[2]Doc Set'!F:F)</f>
        <v>43185</v>
      </c>
      <c r="O128" s="151" t="s">
        <v>560</v>
      </c>
      <c r="P128" s="150">
        <f>+LOOKUP(O128,'[2]Doc Set'!E:E,'[2]Doc Set'!G:G)</f>
        <v>43278</v>
      </c>
      <c r="Q128" s="144" t="str">
        <f t="shared" si="5"/>
        <v>CC-SS_B</v>
      </c>
      <c r="R128" s="150">
        <f>+LOOKUP(Q128,'[2]Doc Set'!E:E,'[2]Doc Set'!H:H)</f>
        <v>43308</v>
      </c>
      <c r="S128" s="152" t="s">
        <v>200</v>
      </c>
    </row>
    <row r="129" spans="1:19" s="153" customFormat="1" ht="28.8" x14ac:dyDescent="0.3">
      <c r="A129" s="144" t="s">
        <v>40</v>
      </c>
      <c r="B129" s="144" t="s">
        <v>190</v>
      </c>
      <c r="C129" s="144" t="s">
        <v>191</v>
      </c>
      <c r="D129" s="145" t="s">
        <v>192</v>
      </c>
      <c r="E129" s="144" t="s">
        <v>193</v>
      </c>
      <c r="F129" s="144" t="s">
        <v>555</v>
      </c>
      <c r="G129" s="144" t="s">
        <v>585</v>
      </c>
      <c r="H129" s="144" t="s">
        <v>586</v>
      </c>
      <c r="I129" s="146" t="s">
        <v>51</v>
      </c>
      <c r="J129" s="147" t="s">
        <v>587</v>
      </c>
      <c r="K129" s="144">
        <v>20038918</v>
      </c>
      <c r="L129" s="148" t="s">
        <v>558</v>
      </c>
      <c r="M129" s="149" t="s">
        <v>559</v>
      </c>
      <c r="N129" s="150">
        <f>LOOKUP(M129,'[2]Doc Set'!E:E,'[2]Doc Set'!F:F)</f>
        <v>43185</v>
      </c>
      <c r="O129" s="151" t="s">
        <v>560</v>
      </c>
      <c r="P129" s="150">
        <f>+LOOKUP(O129,'[2]Doc Set'!E:E,'[2]Doc Set'!G:G)</f>
        <v>43278</v>
      </c>
      <c r="Q129" s="144" t="str">
        <f t="shared" si="5"/>
        <v>CC-SS_B</v>
      </c>
      <c r="R129" s="150">
        <f>+LOOKUP(Q129,'[2]Doc Set'!E:E,'[2]Doc Set'!H:H)</f>
        <v>43308</v>
      </c>
      <c r="S129" s="152" t="s">
        <v>200</v>
      </c>
    </row>
    <row r="130" spans="1:19" s="153" customFormat="1" ht="28.8" x14ac:dyDescent="0.3">
      <c r="A130" s="144" t="s">
        <v>40</v>
      </c>
      <c r="B130" s="144" t="s">
        <v>190</v>
      </c>
      <c r="C130" s="144" t="s">
        <v>191</v>
      </c>
      <c r="D130" s="145" t="s">
        <v>192</v>
      </c>
      <c r="E130" s="144" t="s">
        <v>193</v>
      </c>
      <c r="F130" s="144" t="s">
        <v>555</v>
      </c>
      <c r="G130" s="144" t="s">
        <v>588</v>
      </c>
      <c r="H130" s="144" t="s">
        <v>589</v>
      </c>
      <c r="I130" s="146" t="s">
        <v>51</v>
      </c>
      <c r="J130" s="147" t="s">
        <v>590</v>
      </c>
      <c r="K130" s="144">
        <v>20038918</v>
      </c>
      <c r="L130" s="148" t="s">
        <v>558</v>
      </c>
      <c r="M130" s="149" t="s">
        <v>559</v>
      </c>
      <c r="N130" s="150">
        <f>LOOKUP(M130,'[2]Doc Set'!E:E,'[2]Doc Set'!F:F)</f>
        <v>43185</v>
      </c>
      <c r="O130" s="151" t="s">
        <v>560</v>
      </c>
      <c r="P130" s="150">
        <f>+LOOKUP(O130,'[2]Doc Set'!E:E,'[2]Doc Set'!G:G)</f>
        <v>43278</v>
      </c>
      <c r="Q130" s="144" t="str">
        <f t="shared" si="5"/>
        <v>CC-SS_B</v>
      </c>
      <c r="R130" s="150">
        <f>+LOOKUP(Q130,'[2]Doc Set'!E:E,'[2]Doc Set'!H:H)</f>
        <v>43308</v>
      </c>
      <c r="S130" s="152" t="s">
        <v>200</v>
      </c>
    </row>
    <row r="131" spans="1:19" s="153" customFormat="1" ht="28.8" x14ac:dyDescent="0.3">
      <c r="A131" s="144" t="s">
        <v>40</v>
      </c>
      <c r="B131" s="144" t="s">
        <v>190</v>
      </c>
      <c r="C131" s="144" t="s">
        <v>191</v>
      </c>
      <c r="D131" s="145" t="s">
        <v>192</v>
      </c>
      <c r="E131" s="144" t="s">
        <v>193</v>
      </c>
      <c r="F131" s="144" t="s">
        <v>555</v>
      </c>
      <c r="G131" s="144" t="s">
        <v>591</v>
      </c>
      <c r="H131" s="144" t="s">
        <v>592</v>
      </c>
      <c r="I131" s="146" t="s">
        <v>51</v>
      </c>
      <c r="J131" s="147" t="s">
        <v>593</v>
      </c>
      <c r="K131" s="144">
        <v>20038918</v>
      </c>
      <c r="L131" s="148" t="s">
        <v>558</v>
      </c>
      <c r="M131" s="149" t="s">
        <v>559</v>
      </c>
      <c r="N131" s="150">
        <f>LOOKUP(M131,'[2]Doc Set'!E:E,'[2]Doc Set'!F:F)</f>
        <v>43185</v>
      </c>
      <c r="O131" s="151" t="s">
        <v>560</v>
      </c>
      <c r="P131" s="150">
        <f>+LOOKUP(O131,'[2]Doc Set'!E:E,'[2]Doc Set'!G:G)</f>
        <v>43278</v>
      </c>
      <c r="Q131" s="144" t="str">
        <f t="shared" si="5"/>
        <v>CC-SS_B</v>
      </c>
      <c r="R131" s="150">
        <f>+LOOKUP(Q131,'[2]Doc Set'!E:E,'[2]Doc Set'!H:H)</f>
        <v>43308</v>
      </c>
      <c r="S131" s="152" t="s">
        <v>200</v>
      </c>
    </row>
    <row r="132" spans="1:19" s="153" customFormat="1" ht="28.8" x14ac:dyDescent="0.3">
      <c r="A132" s="144" t="s">
        <v>40</v>
      </c>
      <c r="B132" s="144" t="s">
        <v>190</v>
      </c>
      <c r="C132" s="144" t="s">
        <v>191</v>
      </c>
      <c r="D132" s="145" t="s">
        <v>192</v>
      </c>
      <c r="E132" s="144" t="s">
        <v>193</v>
      </c>
      <c r="F132" s="144" t="s">
        <v>555</v>
      </c>
      <c r="G132" s="144" t="s">
        <v>594</v>
      </c>
      <c r="H132" s="144" t="s">
        <v>595</v>
      </c>
      <c r="I132" s="146" t="s">
        <v>51</v>
      </c>
      <c r="J132" s="147" t="s">
        <v>596</v>
      </c>
      <c r="K132" s="144">
        <v>20038918</v>
      </c>
      <c r="L132" s="148" t="s">
        <v>558</v>
      </c>
      <c r="M132" s="151" t="str">
        <f>+O132</f>
        <v>CC-SS_B</v>
      </c>
      <c r="N132" s="150" t="str">
        <f>LOOKUP(M132,'[2]Doc Set'!E:E,'[2]Doc Set'!F:F)</f>
        <v>_</v>
      </c>
      <c r="O132" s="151" t="s">
        <v>560</v>
      </c>
      <c r="P132" s="150">
        <f>+LOOKUP(O132,'[2]Doc Set'!E:E,'[2]Doc Set'!G:G)</f>
        <v>43278</v>
      </c>
      <c r="Q132" s="144" t="str">
        <f t="shared" si="5"/>
        <v>CC-SS_B</v>
      </c>
      <c r="R132" s="150">
        <f>+LOOKUP(Q132,'[2]Doc Set'!E:E,'[2]Doc Set'!H:H)</f>
        <v>43308</v>
      </c>
      <c r="S132" s="152" t="s">
        <v>200</v>
      </c>
    </row>
    <row r="133" spans="1:19" s="153" customFormat="1" ht="28.8" x14ac:dyDescent="0.3">
      <c r="A133" s="144" t="s">
        <v>40</v>
      </c>
      <c r="B133" s="144" t="s">
        <v>190</v>
      </c>
      <c r="C133" s="144" t="s">
        <v>191</v>
      </c>
      <c r="D133" s="145" t="s">
        <v>192</v>
      </c>
      <c r="E133" s="144" t="s">
        <v>193</v>
      </c>
      <c r="F133" s="144" t="s">
        <v>555</v>
      </c>
      <c r="G133" s="144" t="s">
        <v>597</v>
      </c>
      <c r="H133" s="144" t="s">
        <v>598</v>
      </c>
      <c r="I133" s="146" t="s">
        <v>51</v>
      </c>
      <c r="J133" s="147" t="s">
        <v>599</v>
      </c>
      <c r="K133" s="144">
        <v>20038918</v>
      </c>
      <c r="L133" s="148" t="s">
        <v>558</v>
      </c>
      <c r="M133" s="149" t="s">
        <v>559</v>
      </c>
      <c r="N133" s="150">
        <f>LOOKUP(M133,'[2]Doc Set'!E:E,'[2]Doc Set'!F:F)</f>
        <v>43185</v>
      </c>
      <c r="O133" s="151" t="s">
        <v>560</v>
      </c>
      <c r="P133" s="150">
        <f>+LOOKUP(O133,'[2]Doc Set'!E:E,'[2]Doc Set'!G:G)</f>
        <v>43278</v>
      </c>
      <c r="Q133" s="144" t="str">
        <f t="shared" si="5"/>
        <v>CC-SS_B</v>
      </c>
      <c r="R133" s="150">
        <f>+LOOKUP(Q133,'[2]Doc Set'!E:E,'[2]Doc Set'!H:H)</f>
        <v>43308</v>
      </c>
      <c r="S133" s="152" t="s">
        <v>200</v>
      </c>
    </row>
    <row r="134" spans="1:19" s="153" customFormat="1" ht="28.8" x14ac:dyDescent="0.3">
      <c r="A134" s="144" t="s">
        <v>40</v>
      </c>
      <c r="B134" s="144" t="s">
        <v>190</v>
      </c>
      <c r="C134" s="144" t="s">
        <v>191</v>
      </c>
      <c r="D134" s="145" t="s">
        <v>192</v>
      </c>
      <c r="E134" s="144" t="s">
        <v>193</v>
      </c>
      <c r="F134" s="144" t="s">
        <v>555</v>
      </c>
      <c r="G134" s="144" t="s">
        <v>600</v>
      </c>
      <c r="H134" s="144" t="s">
        <v>601</v>
      </c>
      <c r="I134" s="146" t="s">
        <v>51</v>
      </c>
      <c r="J134" s="147" t="s">
        <v>602</v>
      </c>
      <c r="K134" s="144">
        <v>20038918</v>
      </c>
      <c r="L134" s="148" t="s">
        <v>558</v>
      </c>
      <c r="M134" s="151" t="str">
        <f>+O134</f>
        <v>CC-SS_B</v>
      </c>
      <c r="N134" s="150" t="str">
        <f>LOOKUP(M134,'[2]Doc Set'!E:E,'[2]Doc Set'!F:F)</f>
        <v>_</v>
      </c>
      <c r="O134" s="151" t="s">
        <v>560</v>
      </c>
      <c r="P134" s="150">
        <f>+LOOKUP(O134,'[2]Doc Set'!E:E,'[2]Doc Set'!G:G)</f>
        <v>43278</v>
      </c>
      <c r="Q134" s="144" t="str">
        <f t="shared" si="5"/>
        <v>CC-SS_B</v>
      </c>
      <c r="R134" s="150">
        <f>+LOOKUP(Q134,'[2]Doc Set'!E:E,'[2]Doc Set'!H:H)</f>
        <v>43308</v>
      </c>
      <c r="S134" s="152" t="s">
        <v>200</v>
      </c>
    </row>
    <row r="135" spans="1:19" s="153" customFormat="1" ht="28.8" x14ac:dyDescent="0.3">
      <c r="A135" s="144" t="s">
        <v>40</v>
      </c>
      <c r="B135" s="144" t="s">
        <v>190</v>
      </c>
      <c r="C135" s="144" t="s">
        <v>191</v>
      </c>
      <c r="D135" s="145" t="s">
        <v>192</v>
      </c>
      <c r="E135" s="144" t="s">
        <v>193</v>
      </c>
      <c r="F135" s="144" t="s">
        <v>555</v>
      </c>
      <c r="G135" s="144" t="s">
        <v>603</v>
      </c>
      <c r="H135" s="144" t="s">
        <v>604</v>
      </c>
      <c r="I135" s="146" t="s">
        <v>51</v>
      </c>
      <c r="J135" s="147" t="s">
        <v>605</v>
      </c>
      <c r="K135" s="144">
        <v>20038918</v>
      </c>
      <c r="L135" s="148" t="s">
        <v>558</v>
      </c>
      <c r="M135" s="149" t="s">
        <v>559</v>
      </c>
      <c r="N135" s="150">
        <f>LOOKUP(M135,'[2]Doc Set'!E:E,'[2]Doc Set'!F:F)</f>
        <v>43185</v>
      </c>
      <c r="O135" s="151" t="s">
        <v>560</v>
      </c>
      <c r="P135" s="150">
        <f>+LOOKUP(O135,'[2]Doc Set'!E:E,'[2]Doc Set'!G:G)</f>
        <v>43278</v>
      </c>
      <c r="Q135" s="144" t="str">
        <f t="shared" si="5"/>
        <v>CC-SS_B</v>
      </c>
      <c r="R135" s="150">
        <f>+LOOKUP(Q135,'[2]Doc Set'!E:E,'[2]Doc Set'!H:H)</f>
        <v>43308</v>
      </c>
      <c r="S135" s="152" t="s">
        <v>200</v>
      </c>
    </row>
    <row r="136" spans="1:19" s="153" customFormat="1" ht="28.8" x14ac:dyDescent="0.3">
      <c r="A136" s="144" t="s">
        <v>40</v>
      </c>
      <c r="B136" s="144" t="s">
        <v>190</v>
      </c>
      <c r="C136" s="144" t="s">
        <v>191</v>
      </c>
      <c r="D136" s="145" t="s">
        <v>192</v>
      </c>
      <c r="E136" s="144" t="s">
        <v>193</v>
      </c>
      <c r="F136" s="144" t="s">
        <v>555</v>
      </c>
      <c r="G136" s="144" t="s">
        <v>606</v>
      </c>
      <c r="H136" s="144" t="s">
        <v>607</v>
      </c>
      <c r="I136" s="146" t="s">
        <v>51</v>
      </c>
      <c r="J136" s="147" t="s">
        <v>608</v>
      </c>
      <c r="K136" s="144">
        <v>20038918</v>
      </c>
      <c r="L136" s="148" t="s">
        <v>558</v>
      </c>
      <c r="M136" s="151" t="str">
        <f t="shared" ref="M136:M169" si="6">+O136</f>
        <v>CC-SS_B</v>
      </c>
      <c r="N136" s="150" t="str">
        <f>LOOKUP(M136,'[2]Doc Set'!E:E,'[2]Doc Set'!F:F)</f>
        <v>_</v>
      </c>
      <c r="O136" s="151" t="s">
        <v>560</v>
      </c>
      <c r="P136" s="150">
        <f>+LOOKUP(O136,'[2]Doc Set'!E:E,'[2]Doc Set'!G:G)</f>
        <v>43278</v>
      </c>
      <c r="Q136" s="144" t="str">
        <f t="shared" si="5"/>
        <v>CC-SS_B</v>
      </c>
      <c r="R136" s="150">
        <f>+LOOKUP(Q136,'[2]Doc Set'!E:E,'[2]Doc Set'!H:H)</f>
        <v>43308</v>
      </c>
      <c r="S136" s="152" t="s">
        <v>200</v>
      </c>
    </row>
    <row r="137" spans="1:19" s="153" customFormat="1" x14ac:dyDescent="0.3">
      <c r="A137" s="144" t="s">
        <v>40</v>
      </c>
      <c r="B137" s="144" t="s">
        <v>190</v>
      </c>
      <c r="C137" s="144" t="s">
        <v>191</v>
      </c>
      <c r="D137" s="145" t="s">
        <v>192</v>
      </c>
      <c r="E137" s="144" t="s">
        <v>193</v>
      </c>
      <c r="F137" s="144" t="s">
        <v>609</v>
      </c>
      <c r="G137" s="144" t="s">
        <v>610</v>
      </c>
      <c r="H137" s="144" t="s">
        <v>611</v>
      </c>
      <c r="I137" s="146" t="s">
        <v>51</v>
      </c>
      <c r="J137" s="147" t="s">
        <v>612</v>
      </c>
      <c r="K137" s="144">
        <v>20038918</v>
      </c>
      <c r="L137" s="144" t="s">
        <v>198</v>
      </c>
      <c r="M137" s="151" t="str">
        <f t="shared" si="6"/>
        <v>CC-SS_B</v>
      </c>
      <c r="N137" s="150" t="str">
        <f>LOOKUP(M137,'[2]Doc Set'!E:E,'[2]Doc Set'!F:F)</f>
        <v>_</v>
      </c>
      <c r="O137" s="151" t="s">
        <v>560</v>
      </c>
      <c r="P137" s="150">
        <f>+LOOKUP(O137,'[2]Doc Set'!E:E,'[2]Doc Set'!G:G)</f>
        <v>43278</v>
      </c>
      <c r="Q137" s="144" t="str">
        <f t="shared" si="5"/>
        <v>CC-SS_B</v>
      </c>
      <c r="R137" s="150">
        <f>+LOOKUP(Q137,'[2]Doc Set'!E:E,'[2]Doc Set'!H:H)</f>
        <v>43308</v>
      </c>
      <c r="S137" s="152" t="s">
        <v>200</v>
      </c>
    </row>
    <row r="138" spans="1:19" s="153" customFormat="1" x14ac:dyDescent="0.3">
      <c r="A138" s="144" t="s">
        <v>40</v>
      </c>
      <c r="B138" s="144" t="s">
        <v>190</v>
      </c>
      <c r="C138" s="144" t="s">
        <v>191</v>
      </c>
      <c r="D138" s="145" t="s">
        <v>192</v>
      </c>
      <c r="E138" s="144" t="s">
        <v>193</v>
      </c>
      <c r="F138" s="144" t="s">
        <v>613</v>
      </c>
      <c r="G138" s="144" t="s">
        <v>614</v>
      </c>
      <c r="H138" s="144" t="s">
        <v>615</v>
      </c>
      <c r="I138" s="146" t="s">
        <v>51</v>
      </c>
      <c r="J138" s="147" t="s">
        <v>616</v>
      </c>
      <c r="K138" s="144">
        <v>20038918</v>
      </c>
      <c r="L138" s="144" t="s">
        <v>198</v>
      </c>
      <c r="M138" s="151" t="str">
        <f t="shared" si="6"/>
        <v>CC-SS_B</v>
      </c>
      <c r="N138" s="150" t="str">
        <f>LOOKUP(M138,'[2]Doc Set'!E:E,'[2]Doc Set'!F:F)</f>
        <v>_</v>
      </c>
      <c r="O138" s="151" t="s">
        <v>560</v>
      </c>
      <c r="P138" s="150">
        <f>+LOOKUP(O138,'[2]Doc Set'!E:E,'[2]Doc Set'!G:G)</f>
        <v>43278</v>
      </c>
      <c r="Q138" s="144" t="str">
        <f t="shared" si="5"/>
        <v>CC-SS_B</v>
      </c>
      <c r="R138" s="150">
        <f>+LOOKUP(Q138,'[2]Doc Set'!E:E,'[2]Doc Set'!H:H)</f>
        <v>43308</v>
      </c>
      <c r="S138" s="152" t="s">
        <v>200</v>
      </c>
    </row>
    <row r="139" spans="1:19" s="153" customFormat="1" x14ac:dyDescent="0.3">
      <c r="A139" s="144" t="s">
        <v>40</v>
      </c>
      <c r="B139" s="144" t="s">
        <v>190</v>
      </c>
      <c r="C139" s="144" t="s">
        <v>191</v>
      </c>
      <c r="D139" s="145" t="s">
        <v>192</v>
      </c>
      <c r="E139" s="144" t="s">
        <v>193</v>
      </c>
      <c r="F139" s="144" t="s">
        <v>609</v>
      </c>
      <c r="G139" s="144" t="s">
        <v>617</v>
      </c>
      <c r="H139" s="144" t="s">
        <v>618</v>
      </c>
      <c r="I139" s="146" t="s">
        <v>51</v>
      </c>
      <c r="J139" s="147" t="s">
        <v>619</v>
      </c>
      <c r="K139" s="144">
        <v>20038918</v>
      </c>
      <c r="L139" s="144" t="s">
        <v>198</v>
      </c>
      <c r="M139" s="151" t="str">
        <f t="shared" si="6"/>
        <v>CC-SS_B</v>
      </c>
      <c r="N139" s="150" t="str">
        <f>LOOKUP(M139,'[2]Doc Set'!E:E,'[2]Doc Set'!F:F)</f>
        <v>_</v>
      </c>
      <c r="O139" s="151" t="s">
        <v>560</v>
      </c>
      <c r="P139" s="150">
        <f>+LOOKUP(O139,'[2]Doc Set'!E:E,'[2]Doc Set'!G:G)</f>
        <v>43278</v>
      </c>
      <c r="Q139" s="144" t="str">
        <f t="shared" si="5"/>
        <v>CC-SS_B</v>
      </c>
      <c r="R139" s="150">
        <f>+LOOKUP(Q139,'[2]Doc Set'!E:E,'[2]Doc Set'!H:H)</f>
        <v>43308</v>
      </c>
      <c r="S139" s="152" t="s">
        <v>200</v>
      </c>
    </row>
    <row r="140" spans="1:19" s="153" customFormat="1" x14ac:dyDescent="0.3">
      <c r="A140" s="144" t="s">
        <v>40</v>
      </c>
      <c r="B140" s="144" t="s">
        <v>190</v>
      </c>
      <c r="C140" s="144" t="s">
        <v>191</v>
      </c>
      <c r="D140" s="145" t="s">
        <v>192</v>
      </c>
      <c r="E140" s="144" t="s">
        <v>193</v>
      </c>
      <c r="F140" s="144" t="s">
        <v>609</v>
      </c>
      <c r="G140" s="144" t="s">
        <v>620</v>
      </c>
      <c r="H140" s="144" t="s">
        <v>621</v>
      </c>
      <c r="I140" s="146" t="s">
        <v>51</v>
      </c>
      <c r="J140" s="147" t="s">
        <v>622</v>
      </c>
      <c r="K140" s="144">
        <v>20038918</v>
      </c>
      <c r="L140" s="144" t="s">
        <v>198</v>
      </c>
      <c r="M140" s="151" t="str">
        <f t="shared" si="6"/>
        <v>CC-SS_B</v>
      </c>
      <c r="N140" s="150" t="str">
        <f>LOOKUP(M140,'[2]Doc Set'!E:E,'[2]Doc Set'!F:F)</f>
        <v>_</v>
      </c>
      <c r="O140" s="151" t="s">
        <v>560</v>
      </c>
      <c r="P140" s="150">
        <f>+LOOKUP(O140,'[2]Doc Set'!E:E,'[2]Doc Set'!G:G)</f>
        <v>43278</v>
      </c>
      <c r="Q140" s="144" t="str">
        <f t="shared" si="5"/>
        <v>CC-SS_B</v>
      </c>
      <c r="R140" s="150">
        <f>+LOOKUP(Q140,'[2]Doc Set'!E:E,'[2]Doc Set'!H:H)</f>
        <v>43308</v>
      </c>
      <c r="S140" s="152" t="s">
        <v>200</v>
      </c>
    </row>
    <row r="141" spans="1:19" s="153" customFormat="1" x14ac:dyDescent="0.3">
      <c r="A141" s="144" t="s">
        <v>40</v>
      </c>
      <c r="B141" s="144" t="s">
        <v>190</v>
      </c>
      <c r="C141" s="144" t="s">
        <v>191</v>
      </c>
      <c r="D141" s="145" t="s">
        <v>192</v>
      </c>
      <c r="E141" s="144" t="s">
        <v>193</v>
      </c>
      <c r="F141" s="144" t="s">
        <v>609</v>
      </c>
      <c r="G141" s="144" t="s">
        <v>623</v>
      </c>
      <c r="H141" s="144" t="s">
        <v>624</v>
      </c>
      <c r="I141" s="146" t="s">
        <v>51</v>
      </c>
      <c r="J141" s="147" t="s">
        <v>625</v>
      </c>
      <c r="K141" s="144">
        <v>20038918</v>
      </c>
      <c r="L141" s="144" t="s">
        <v>198</v>
      </c>
      <c r="M141" s="151" t="str">
        <f t="shared" si="6"/>
        <v>CC-SS_B</v>
      </c>
      <c r="N141" s="150" t="str">
        <f>LOOKUP(M141,'[2]Doc Set'!E:E,'[2]Doc Set'!F:F)</f>
        <v>_</v>
      </c>
      <c r="O141" s="151" t="s">
        <v>560</v>
      </c>
      <c r="P141" s="150">
        <f>+LOOKUP(O141,'[2]Doc Set'!E:E,'[2]Doc Set'!G:G)</f>
        <v>43278</v>
      </c>
      <c r="Q141" s="144" t="str">
        <f t="shared" si="5"/>
        <v>CC-SS_B</v>
      </c>
      <c r="R141" s="150">
        <f>+LOOKUP(Q141,'[2]Doc Set'!E:E,'[2]Doc Set'!H:H)</f>
        <v>43308</v>
      </c>
      <c r="S141" s="152" t="s">
        <v>200</v>
      </c>
    </row>
    <row r="142" spans="1:19" s="153" customFormat="1" x14ac:dyDescent="0.3">
      <c r="A142" s="144" t="s">
        <v>40</v>
      </c>
      <c r="B142" s="144" t="s">
        <v>190</v>
      </c>
      <c r="C142" s="144" t="s">
        <v>191</v>
      </c>
      <c r="D142" s="145" t="s">
        <v>192</v>
      </c>
      <c r="E142" s="144" t="s">
        <v>193</v>
      </c>
      <c r="F142" s="144" t="s">
        <v>609</v>
      </c>
      <c r="G142" s="144" t="s">
        <v>626</v>
      </c>
      <c r="H142" s="144" t="s">
        <v>627</v>
      </c>
      <c r="I142" s="146" t="s">
        <v>51</v>
      </c>
      <c r="J142" s="147" t="s">
        <v>628</v>
      </c>
      <c r="K142" s="144">
        <v>20038918</v>
      </c>
      <c r="L142" s="144" t="s">
        <v>198</v>
      </c>
      <c r="M142" s="151" t="str">
        <f t="shared" si="6"/>
        <v>CC-SS_B</v>
      </c>
      <c r="N142" s="150" t="str">
        <f>LOOKUP(M142,'[2]Doc Set'!E:E,'[2]Doc Set'!F:F)</f>
        <v>_</v>
      </c>
      <c r="O142" s="151" t="s">
        <v>560</v>
      </c>
      <c r="P142" s="150">
        <f>+LOOKUP(O142,'[2]Doc Set'!E:E,'[2]Doc Set'!G:G)</f>
        <v>43278</v>
      </c>
      <c r="Q142" s="144" t="str">
        <f t="shared" si="5"/>
        <v>CC-SS_B</v>
      </c>
      <c r="R142" s="150">
        <f>+LOOKUP(Q142,'[2]Doc Set'!E:E,'[2]Doc Set'!H:H)</f>
        <v>43308</v>
      </c>
      <c r="S142" s="152" t="s">
        <v>200</v>
      </c>
    </row>
    <row r="143" spans="1:19" s="153" customFormat="1" x14ac:dyDescent="0.3">
      <c r="A143" s="144" t="s">
        <v>40</v>
      </c>
      <c r="B143" s="144" t="s">
        <v>190</v>
      </c>
      <c r="C143" s="144" t="s">
        <v>191</v>
      </c>
      <c r="D143" s="145" t="s">
        <v>192</v>
      </c>
      <c r="E143" s="144" t="s">
        <v>193</v>
      </c>
      <c r="F143" s="144" t="s">
        <v>609</v>
      </c>
      <c r="G143" s="144" t="s">
        <v>629</v>
      </c>
      <c r="H143" s="144" t="s">
        <v>630</v>
      </c>
      <c r="I143" s="146" t="s">
        <v>51</v>
      </c>
      <c r="J143" s="147" t="s">
        <v>631</v>
      </c>
      <c r="K143" s="144">
        <v>20038918</v>
      </c>
      <c r="L143" s="144" t="s">
        <v>198</v>
      </c>
      <c r="M143" s="151" t="str">
        <f t="shared" si="6"/>
        <v>CC-SS_B</v>
      </c>
      <c r="N143" s="150" t="str">
        <f>LOOKUP(M143,'[2]Doc Set'!E:E,'[2]Doc Set'!F:F)</f>
        <v>_</v>
      </c>
      <c r="O143" s="151" t="s">
        <v>560</v>
      </c>
      <c r="P143" s="150">
        <f>+LOOKUP(O143,'[2]Doc Set'!E:E,'[2]Doc Set'!G:G)</f>
        <v>43278</v>
      </c>
      <c r="Q143" s="144" t="str">
        <f t="shared" si="5"/>
        <v>CC-SS_B</v>
      </c>
      <c r="R143" s="150">
        <f>+LOOKUP(Q143,'[2]Doc Set'!E:E,'[2]Doc Set'!H:H)</f>
        <v>43308</v>
      </c>
      <c r="S143" s="152" t="s">
        <v>200</v>
      </c>
    </row>
    <row r="144" spans="1:19" s="153" customFormat="1" x14ac:dyDescent="0.3">
      <c r="A144" s="144" t="s">
        <v>40</v>
      </c>
      <c r="B144" s="144" t="s">
        <v>190</v>
      </c>
      <c r="C144" s="144" t="s">
        <v>191</v>
      </c>
      <c r="D144" s="145" t="s">
        <v>192</v>
      </c>
      <c r="E144" s="144" t="s">
        <v>193</v>
      </c>
      <c r="F144" s="144" t="s">
        <v>609</v>
      </c>
      <c r="G144" s="144" t="s">
        <v>632</v>
      </c>
      <c r="H144" s="144" t="s">
        <v>633</v>
      </c>
      <c r="I144" s="146" t="s">
        <v>51</v>
      </c>
      <c r="J144" s="147" t="s">
        <v>634</v>
      </c>
      <c r="K144" s="144">
        <v>20038918</v>
      </c>
      <c r="L144" s="144" t="s">
        <v>198</v>
      </c>
      <c r="M144" s="151" t="str">
        <f t="shared" si="6"/>
        <v>CC-SS_B</v>
      </c>
      <c r="N144" s="150" t="str">
        <f>LOOKUP(M144,'[2]Doc Set'!E:E,'[2]Doc Set'!F:F)</f>
        <v>_</v>
      </c>
      <c r="O144" s="151" t="s">
        <v>560</v>
      </c>
      <c r="P144" s="150">
        <f>+LOOKUP(O144,'[2]Doc Set'!E:E,'[2]Doc Set'!G:G)</f>
        <v>43278</v>
      </c>
      <c r="Q144" s="144" t="str">
        <f t="shared" si="5"/>
        <v>CC-SS_B</v>
      </c>
      <c r="R144" s="150">
        <f>+LOOKUP(Q144,'[2]Doc Set'!E:E,'[2]Doc Set'!H:H)</f>
        <v>43308</v>
      </c>
      <c r="S144" s="152" t="s">
        <v>200</v>
      </c>
    </row>
    <row r="145" spans="1:19" s="153" customFormat="1" x14ac:dyDescent="0.3">
      <c r="A145" s="144" t="s">
        <v>40</v>
      </c>
      <c r="B145" s="144" t="s">
        <v>190</v>
      </c>
      <c r="C145" s="144" t="s">
        <v>191</v>
      </c>
      <c r="D145" s="145" t="s">
        <v>192</v>
      </c>
      <c r="E145" s="144" t="s">
        <v>193</v>
      </c>
      <c r="F145" s="144" t="s">
        <v>609</v>
      </c>
      <c r="G145" s="144" t="s">
        <v>635</v>
      </c>
      <c r="H145" s="144" t="s">
        <v>636</v>
      </c>
      <c r="I145" s="146" t="s">
        <v>51</v>
      </c>
      <c r="J145" s="147" t="s">
        <v>637</v>
      </c>
      <c r="K145" s="144">
        <v>20038918</v>
      </c>
      <c r="L145" s="144" t="s">
        <v>198</v>
      </c>
      <c r="M145" s="151" t="str">
        <f t="shared" si="6"/>
        <v>CC-SS_B</v>
      </c>
      <c r="N145" s="150" t="str">
        <f>LOOKUP(M145,'[2]Doc Set'!E:E,'[2]Doc Set'!F:F)</f>
        <v>_</v>
      </c>
      <c r="O145" s="151" t="s">
        <v>560</v>
      </c>
      <c r="P145" s="150">
        <f>+LOOKUP(O145,'[2]Doc Set'!E:E,'[2]Doc Set'!G:G)</f>
        <v>43278</v>
      </c>
      <c r="Q145" s="144" t="str">
        <f t="shared" si="5"/>
        <v>CC-SS_B</v>
      </c>
      <c r="R145" s="150">
        <f>+LOOKUP(Q145,'[2]Doc Set'!E:E,'[2]Doc Set'!H:H)</f>
        <v>43308</v>
      </c>
      <c r="S145" s="152" t="s">
        <v>200</v>
      </c>
    </row>
    <row r="146" spans="1:19" s="153" customFormat="1" x14ac:dyDescent="0.3">
      <c r="A146" s="144" t="s">
        <v>40</v>
      </c>
      <c r="B146" s="144" t="s">
        <v>190</v>
      </c>
      <c r="C146" s="144" t="s">
        <v>191</v>
      </c>
      <c r="D146" s="145" t="s">
        <v>192</v>
      </c>
      <c r="E146" s="144" t="s">
        <v>193</v>
      </c>
      <c r="F146" s="144" t="s">
        <v>609</v>
      </c>
      <c r="G146" s="144" t="s">
        <v>638</v>
      </c>
      <c r="H146" s="144" t="s">
        <v>639</v>
      </c>
      <c r="I146" s="146" t="s">
        <v>51</v>
      </c>
      <c r="J146" s="147" t="s">
        <v>640</v>
      </c>
      <c r="K146" s="144">
        <v>20038918</v>
      </c>
      <c r="L146" s="144" t="s">
        <v>198</v>
      </c>
      <c r="M146" s="151" t="str">
        <f t="shared" si="6"/>
        <v>CC-SS_B</v>
      </c>
      <c r="N146" s="150" t="str">
        <f>LOOKUP(M146,'[2]Doc Set'!E:E,'[2]Doc Set'!F:F)</f>
        <v>_</v>
      </c>
      <c r="O146" s="151" t="s">
        <v>560</v>
      </c>
      <c r="P146" s="150">
        <f>+LOOKUP(O146,'[2]Doc Set'!E:E,'[2]Doc Set'!G:G)</f>
        <v>43278</v>
      </c>
      <c r="Q146" s="144" t="str">
        <f t="shared" si="5"/>
        <v>CC-SS_B</v>
      </c>
      <c r="R146" s="150">
        <f>+LOOKUP(Q146,'[2]Doc Set'!E:E,'[2]Doc Set'!H:H)</f>
        <v>43308</v>
      </c>
      <c r="S146" s="152" t="s">
        <v>200</v>
      </c>
    </row>
    <row r="147" spans="1:19" s="153" customFormat="1" x14ac:dyDescent="0.3">
      <c r="A147" s="144" t="s">
        <v>40</v>
      </c>
      <c r="B147" s="144" t="s">
        <v>190</v>
      </c>
      <c r="C147" s="144" t="s">
        <v>191</v>
      </c>
      <c r="D147" s="145" t="s">
        <v>192</v>
      </c>
      <c r="E147" s="144" t="s">
        <v>193</v>
      </c>
      <c r="F147" s="144" t="s">
        <v>609</v>
      </c>
      <c r="G147" s="144" t="s">
        <v>641</v>
      </c>
      <c r="H147" s="144" t="s">
        <v>642</v>
      </c>
      <c r="I147" s="146" t="s">
        <v>51</v>
      </c>
      <c r="J147" s="147" t="s">
        <v>643</v>
      </c>
      <c r="K147" s="144">
        <v>20038918</v>
      </c>
      <c r="L147" s="144" t="s">
        <v>198</v>
      </c>
      <c r="M147" s="151" t="str">
        <f t="shared" si="6"/>
        <v>CC-SS_B</v>
      </c>
      <c r="N147" s="150" t="str">
        <f>LOOKUP(M147,'[2]Doc Set'!E:E,'[2]Doc Set'!F:F)</f>
        <v>_</v>
      </c>
      <c r="O147" s="151" t="s">
        <v>560</v>
      </c>
      <c r="P147" s="150">
        <f>+LOOKUP(O147,'[2]Doc Set'!E:E,'[2]Doc Set'!G:G)</f>
        <v>43278</v>
      </c>
      <c r="Q147" s="144" t="str">
        <f t="shared" si="5"/>
        <v>CC-SS_B</v>
      </c>
      <c r="R147" s="150">
        <f>+LOOKUP(Q147,'[2]Doc Set'!E:E,'[2]Doc Set'!H:H)</f>
        <v>43308</v>
      </c>
      <c r="S147" s="152" t="s">
        <v>200</v>
      </c>
    </row>
    <row r="148" spans="1:19" s="153" customFormat="1" x14ac:dyDescent="0.3">
      <c r="A148" s="144" t="s">
        <v>40</v>
      </c>
      <c r="B148" s="144" t="s">
        <v>190</v>
      </c>
      <c r="C148" s="144" t="s">
        <v>191</v>
      </c>
      <c r="D148" s="145" t="s">
        <v>192</v>
      </c>
      <c r="E148" s="144" t="s">
        <v>193</v>
      </c>
      <c r="F148" s="144" t="s">
        <v>609</v>
      </c>
      <c r="G148" s="144" t="s">
        <v>644</v>
      </c>
      <c r="H148" s="144" t="s">
        <v>645</v>
      </c>
      <c r="I148" s="146" t="s">
        <v>51</v>
      </c>
      <c r="J148" s="147" t="s">
        <v>646</v>
      </c>
      <c r="K148" s="144">
        <v>20038918</v>
      </c>
      <c r="L148" s="144" t="s">
        <v>198</v>
      </c>
      <c r="M148" s="151" t="str">
        <f t="shared" si="6"/>
        <v>CC-SS_C</v>
      </c>
      <c r="N148" s="150" t="str">
        <f>LOOKUP(M148,'[2]Doc Set'!E:E,'[2]Doc Set'!F:F)</f>
        <v>_</v>
      </c>
      <c r="O148" s="151" t="s">
        <v>647</v>
      </c>
      <c r="P148" s="150">
        <f>+LOOKUP(O148,'[2]Doc Set'!E:E,'[2]Doc Set'!G:G)</f>
        <v>43343</v>
      </c>
      <c r="Q148" s="144" t="str">
        <f t="shared" si="5"/>
        <v>CC-SS_C</v>
      </c>
      <c r="R148" s="150">
        <f>+LOOKUP(Q148,'[2]Doc Set'!E:E,'[2]Doc Set'!H:H)</f>
        <v>43371</v>
      </c>
      <c r="S148" s="152" t="s">
        <v>200</v>
      </c>
    </row>
    <row r="149" spans="1:19" s="153" customFormat="1" x14ac:dyDescent="0.3">
      <c r="A149" s="144" t="s">
        <v>40</v>
      </c>
      <c r="B149" s="144" t="s">
        <v>190</v>
      </c>
      <c r="C149" s="144" t="s">
        <v>191</v>
      </c>
      <c r="D149" s="145" t="s">
        <v>192</v>
      </c>
      <c r="E149" s="144" t="s">
        <v>193</v>
      </c>
      <c r="F149" s="144" t="s">
        <v>609</v>
      </c>
      <c r="G149" s="144" t="s">
        <v>648</v>
      </c>
      <c r="H149" s="144" t="s">
        <v>649</v>
      </c>
      <c r="I149" s="146" t="s">
        <v>51</v>
      </c>
      <c r="J149" s="147" t="s">
        <v>650</v>
      </c>
      <c r="K149" s="144">
        <v>20038918</v>
      </c>
      <c r="L149" s="144" t="s">
        <v>198</v>
      </c>
      <c r="M149" s="151" t="str">
        <f t="shared" si="6"/>
        <v>CC-SS_C</v>
      </c>
      <c r="N149" s="150" t="str">
        <f>LOOKUP(M149,'[2]Doc Set'!E:E,'[2]Doc Set'!F:F)</f>
        <v>_</v>
      </c>
      <c r="O149" s="151" t="s">
        <v>647</v>
      </c>
      <c r="P149" s="150">
        <f>+LOOKUP(O149,'[2]Doc Set'!E:E,'[2]Doc Set'!G:G)</f>
        <v>43343</v>
      </c>
      <c r="Q149" s="144" t="str">
        <f t="shared" si="5"/>
        <v>CC-SS_C</v>
      </c>
      <c r="R149" s="150">
        <f>+LOOKUP(Q149,'[2]Doc Set'!E:E,'[2]Doc Set'!H:H)</f>
        <v>43371</v>
      </c>
      <c r="S149" s="152" t="s">
        <v>200</v>
      </c>
    </row>
    <row r="150" spans="1:19" s="153" customFormat="1" x14ac:dyDescent="0.3">
      <c r="A150" s="144" t="s">
        <v>40</v>
      </c>
      <c r="B150" s="144" t="s">
        <v>190</v>
      </c>
      <c r="C150" s="144" t="s">
        <v>191</v>
      </c>
      <c r="D150" s="145" t="s">
        <v>192</v>
      </c>
      <c r="E150" s="144" t="s">
        <v>193</v>
      </c>
      <c r="F150" s="144" t="s">
        <v>609</v>
      </c>
      <c r="G150" s="144" t="s">
        <v>651</v>
      </c>
      <c r="H150" s="144" t="s">
        <v>652</v>
      </c>
      <c r="I150" s="146" t="s">
        <v>51</v>
      </c>
      <c r="J150" s="147" t="s">
        <v>653</v>
      </c>
      <c r="K150" s="144">
        <v>20038918</v>
      </c>
      <c r="L150" s="144" t="s">
        <v>198</v>
      </c>
      <c r="M150" s="151" t="str">
        <f t="shared" si="6"/>
        <v>CC-SS_C</v>
      </c>
      <c r="N150" s="150" t="str">
        <f>LOOKUP(M150,'[2]Doc Set'!E:E,'[2]Doc Set'!F:F)</f>
        <v>_</v>
      </c>
      <c r="O150" s="151" t="s">
        <v>647</v>
      </c>
      <c r="P150" s="150">
        <f>+LOOKUP(O150,'[2]Doc Set'!E:E,'[2]Doc Set'!G:G)</f>
        <v>43343</v>
      </c>
      <c r="Q150" s="144" t="str">
        <f t="shared" si="5"/>
        <v>CC-SS_C</v>
      </c>
      <c r="R150" s="150">
        <f>+LOOKUP(Q150,'[2]Doc Set'!E:E,'[2]Doc Set'!H:H)</f>
        <v>43371</v>
      </c>
      <c r="S150" s="152" t="s">
        <v>200</v>
      </c>
    </row>
    <row r="151" spans="1:19" s="153" customFormat="1" x14ac:dyDescent="0.3">
      <c r="A151" s="144" t="s">
        <v>40</v>
      </c>
      <c r="B151" s="144" t="s">
        <v>190</v>
      </c>
      <c r="C151" s="144" t="s">
        <v>191</v>
      </c>
      <c r="D151" s="145" t="s">
        <v>192</v>
      </c>
      <c r="E151" s="144" t="s">
        <v>193</v>
      </c>
      <c r="F151" s="144" t="s">
        <v>609</v>
      </c>
      <c r="G151" s="144" t="s">
        <v>654</v>
      </c>
      <c r="H151" s="144" t="s">
        <v>655</v>
      </c>
      <c r="I151" s="146" t="s">
        <v>51</v>
      </c>
      <c r="J151" s="147" t="s">
        <v>656</v>
      </c>
      <c r="K151" s="144">
        <v>20038918</v>
      </c>
      <c r="L151" s="144" t="s">
        <v>198</v>
      </c>
      <c r="M151" s="151" t="str">
        <f t="shared" si="6"/>
        <v>CC-SS_C</v>
      </c>
      <c r="N151" s="150" t="str">
        <f>LOOKUP(M151,'[2]Doc Set'!E:E,'[2]Doc Set'!F:F)</f>
        <v>_</v>
      </c>
      <c r="O151" s="151" t="s">
        <v>647</v>
      </c>
      <c r="P151" s="150">
        <f>+LOOKUP(O151,'[2]Doc Set'!E:E,'[2]Doc Set'!G:G)</f>
        <v>43343</v>
      </c>
      <c r="Q151" s="144" t="str">
        <f t="shared" si="5"/>
        <v>CC-SS_C</v>
      </c>
      <c r="R151" s="150">
        <f>+LOOKUP(Q151,'[2]Doc Set'!E:E,'[2]Doc Set'!H:H)</f>
        <v>43371</v>
      </c>
      <c r="S151" s="152" t="s">
        <v>200</v>
      </c>
    </row>
    <row r="152" spans="1:19" s="153" customFormat="1" x14ac:dyDescent="0.3">
      <c r="A152" s="144" t="s">
        <v>40</v>
      </c>
      <c r="B152" s="144" t="s">
        <v>190</v>
      </c>
      <c r="C152" s="144" t="s">
        <v>191</v>
      </c>
      <c r="D152" s="145" t="s">
        <v>192</v>
      </c>
      <c r="E152" s="144" t="s">
        <v>193</v>
      </c>
      <c r="F152" s="144" t="s">
        <v>609</v>
      </c>
      <c r="G152" s="144" t="s">
        <v>657</v>
      </c>
      <c r="H152" s="144" t="s">
        <v>658</v>
      </c>
      <c r="I152" s="146" t="s">
        <v>51</v>
      </c>
      <c r="J152" s="147" t="s">
        <v>659</v>
      </c>
      <c r="K152" s="144">
        <v>20038918</v>
      </c>
      <c r="L152" s="144" t="s">
        <v>198</v>
      </c>
      <c r="M152" s="151" t="str">
        <f t="shared" si="6"/>
        <v>CC-SS_C</v>
      </c>
      <c r="N152" s="150" t="str">
        <f>LOOKUP(M152,'[2]Doc Set'!E:E,'[2]Doc Set'!F:F)</f>
        <v>_</v>
      </c>
      <c r="O152" s="151" t="s">
        <v>647</v>
      </c>
      <c r="P152" s="150">
        <f>+LOOKUP(O152,'[2]Doc Set'!E:E,'[2]Doc Set'!G:G)</f>
        <v>43343</v>
      </c>
      <c r="Q152" s="144" t="str">
        <f t="shared" si="5"/>
        <v>CC-SS_C</v>
      </c>
      <c r="R152" s="150">
        <f>+LOOKUP(Q152,'[2]Doc Set'!E:E,'[2]Doc Set'!H:H)</f>
        <v>43371</v>
      </c>
      <c r="S152" s="152" t="s">
        <v>200</v>
      </c>
    </row>
    <row r="153" spans="1:19" s="153" customFormat="1" x14ac:dyDescent="0.3">
      <c r="A153" s="144" t="s">
        <v>40</v>
      </c>
      <c r="B153" s="144" t="s">
        <v>190</v>
      </c>
      <c r="C153" s="144" t="s">
        <v>191</v>
      </c>
      <c r="D153" s="145" t="s">
        <v>192</v>
      </c>
      <c r="E153" s="144" t="s">
        <v>193</v>
      </c>
      <c r="F153" s="144" t="s">
        <v>609</v>
      </c>
      <c r="G153" s="144" t="s">
        <v>660</v>
      </c>
      <c r="H153" s="144" t="s">
        <v>661</v>
      </c>
      <c r="I153" s="146" t="s">
        <v>51</v>
      </c>
      <c r="J153" s="147" t="s">
        <v>662</v>
      </c>
      <c r="K153" s="144">
        <v>20038918</v>
      </c>
      <c r="L153" s="144" t="s">
        <v>198</v>
      </c>
      <c r="M153" s="151" t="str">
        <f t="shared" si="6"/>
        <v>CC-SS_C</v>
      </c>
      <c r="N153" s="150" t="str">
        <f>LOOKUP(M153,'[2]Doc Set'!E:E,'[2]Doc Set'!F:F)</f>
        <v>_</v>
      </c>
      <c r="O153" s="151" t="s">
        <v>647</v>
      </c>
      <c r="P153" s="150">
        <f>+LOOKUP(O153,'[2]Doc Set'!E:E,'[2]Doc Set'!G:G)</f>
        <v>43343</v>
      </c>
      <c r="Q153" s="144" t="str">
        <f t="shared" si="5"/>
        <v>CC-SS_C</v>
      </c>
      <c r="R153" s="150">
        <f>+LOOKUP(Q153,'[2]Doc Set'!E:E,'[2]Doc Set'!H:H)</f>
        <v>43371</v>
      </c>
      <c r="S153" s="152" t="s">
        <v>200</v>
      </c>
    </row>
    <row r="154" spans="1:19" x14ac:dyDescent="0.3">
      <c r="A154" s="55" t="s">
        <v>40</v>
      </c>
      <c r="B154" s="55" t="s">
        <v>190</v>
      </c>
      <c r="C154" s="55" t="s">
        <v>191</v>
      </c>
      <c r="D154" s="138" t="s">
        <v>192</v>
      </c>
      <c r="E154" s="55" t="s">
        <v>193</v>
      </c>
      <c r="F154" s="55" t="s">
        <v>663</v>
      </c>
      <c r="G154" s="55" t="s">
        <v>664</v>
      </c>
      <c r="H154" s="55" t="s">
        <v>665</v>
      </c>
      <c r="I154" s="154" t="s">
        <v>134</v>
      </c>
      <c r="J154" s="140" t="s">
        <v>666</v>
      </c>
      <c r="K154" s="55">
        <v>20038918</v>
      </c>
      <c r="L154" s="55" t="s">
        <v>198</v>
      </c>
      <c r="M154" s="141" t="str">
        <f t="shared" si="6"/>
        <v>CC-INT_D</v>
      </c>
      <c r="N154" s="142" t="str">
        <f>LOOKUP(M154,'[2]Doc Set'!E:E,'[2]Doc Set'!F:F)</f>
        <v>_</v>
      </c>
      <c r="O154" s="141" t="s">
        <v>199</v>
      </c>
      <c r="P154" s="142">
        <f>+LOOKUP(O154,'[2]Doc Set'!E:E,'[2]Doc Set'!G:G)</f>
        <v>43437</v>
      </c>
      <c r="Q154" s="55" t="str">
        <f t="shared" si="5"/>
        <v>CC-INT_D</v>
      </c>
      <c r="R154" s="142">
        <f>+LOOKUP(Q154,'[2]Doc Set'!E:E,'[2]Doc Set'!H:H)</f>
        <v>43514</v>
      </c>
      <c r="S154" s="143" t="s">
        <v>200</v>
      </c>
    </row>
    <row r="155" spans="1:19" x14ac:dyDescent="0.3">
      <c r="A155" s="55" t="s">
        <v>40</v>
      </c>
      <c r="B155" s="55" t="s">
        <v>190</v>
      </c>
      <c r="C155" s="55" t="s">
        <v>191</v>
      </c>
      <c r="D155" s="138" t="s">
        <v>192</v>
      </c>
      <c r="E155" s="55" t="s">
        <v>193</v>
      </c>
      <c r="F155" s="55" t="s">
        <v>663</v>
      </c>
      <c r="G155" s="55" t="s">
        <v>667</v>
      </c>
      <c r="H155" s="55" t="s">
        <v>668</v>
      </c>
      <c r="I155" s="154" t="s">
        <v>134</v>
      </c>
      <c r="J155" s="140" t="s">
        <v>669</v>
      </c>
      <c r="K155" s="55">
        <v>20038918</v>
      </c>
      <c r="L155" s="55" t="s">
        <v>198</v>
      </c>
      <c r="M155" s="141" t="str">
        <f t="shared" si="6"/>
        <v>CC-INT_D</v>
      </c>
      <c r="N155" s="142" t="str">
        <f>LOOKUP(M155,'[2]Doc Set'!E:E,'[2]Doc Set'!F:F)</f>
        <v>_</v>
      </c>
      <c r="O155" s="141" t="s">
        <v>199</v>
      </c>
      <c r="P155" s="142">
        <f>+LOOKUP(O155,'[2]Doc Set'!E:E,'[2]Doc Set'!G:G)</f>
        <v>43437</v>
      </c>
      <c r="Q155" s="55" t="str">
        <f t="shared" si="5"/>
        <v>CC-INT_D</v>
      </c>
      <c r="R155" s="142">
        <f>+LOOKUP(Q155,'[2]Doc Set'!E:E,'[2]Doc Set'!H:H)</f>
        <v>43514</v>
      </c>
      <c r="S155" s="143" t="s">
        <v>200</v>
      </c>
    </row>
    <row r="156" spans="1:19" x14ac:dyDescent="0.3">
      <c r="A156" s="55" t="s">
        <v>40</v>
      </c>
      <c r="B156" s="55" t="s">
        <v>190</v>
      </c>
      <c r="C156" s="55" t="s">
        <v>191</v>
      </c>
      <c r="D156" s="138" t="s">
        <v>192</v>
      </c>
      <c r="E156" s="55" t="s">
        <v>193</v>
      </c>
      <c r="F156" s="55" t="s">
        <v>663</v>
      </c>
      <c r="G156" s="55" t="s">
        <v>670</v>
      </c>
      <c r="H156" s="55" t="s">
        <v>671</v>
      </c>
      <c r="I156" s="154" t="s">
        <v>134</v>
      </c>
      <c r="J156" s="140" t="s">
        <v>672</v>
      </c>
      <c r="K156" s="55">
        <v>20038918</v>
      </c>
      <c r="L156" s="55" t="s">
        <v>198</v>
      </c>
      <c r="M156" s="141" t="str">
        <f t="shared" si="6"/>
        <v>CC-INT_D</v>
      </c>
      <c r="N156" s="142" t="str">
        <f>LOOKUP(M156,'[2]Doc Set'!E:E,'[2]Doc Set'!F:F)</f>
        <v>_</v>
      </c>
      <c r="O156" s="141" t="s">
        <v>199</v>
      </c>
      <c r="P156" s="142">
        <f>+LOOKUP(O156,'[2]Doc Set'!E:E,'[2]Doc Set'!G:G)</f>
        <v>43437</v>
      </c>
      <c r="Q156" s="55" t="str">
        <f t="shared" si="5"/>
        <v>CC-INT_D</v>
      </c>
      <c r="R156" s="142">
        <f>+LOOKUP(Q156,'[2]Doc Set'!E:E,'[2]Doc Set'!H:H)</f>
        <v>43514</v>
      </c>
      <c r="S156" s="143" t="s">
        <v>200</v>
      </c>
    </row>
    <row r="157" spans="1:19" x14ac:dyDescent="0.3">
      <c r="A157" s="55" t="s">
        <v>40</v>
      </c>
      <c r="B157" s="55" t="s">
        <v>190</v>
      </c>
      <c r="C157" s="55" t="s">
        <v>191</v>
      </c>
      <c r="D157" s="138" t="s">
        <v>192</v>
      </c>
      <c r="E157" s="55" t="s">
        <v>193</v>
      </c>
      <c r="F157" s="55" t="s">
        <v>663</v>
      </c>
      <c r="G157" s="55" t="s">
        <v>673</v>
      </c>
      <c r="H157" s="55" t="s">
        <v>674</v>
      </c>
      <c r="I157" s="154" t="s">
        <v>134</v>
      </c>
      <c r="J157" s="140" t="s">
        <v>675</v>
      </c>
      <c r="K157" s="55">
        <v>20038918</v>
      </c>
      <c r="L157" s="55" t="s">
        <v>198</v>
      </c>
      <c r="M157" s="141" t="str">
        <f t="shared" si="6"/>
        <v>CC-INT_D</v>
      </c>
      <c r="N157" s="142" t="str">
        <f>LOOKUP(M157,'[2]Doc Set'!E:E,'[2]Doc Set'!F:F)</f>
        <v>_</v>
      </c>
      <c r="O157" s="141" t="s">
        <v>199</v>
      </c>
      <c r="P157" s="142">
        <f>+LOOKUP(O157,'[2]Doc Set'!E:E,'[2]Doc Set'!G:G)</f>
        <v>43437</v>
      </c>
      <c r="Q157" s="55" t="str">
        <f t="shared" si="5"/>
        <v>CC-INT_D</v>
      </c>
      <c r="R157" s="142">
        <f>+LOOKUP(Q157,'[2]Doc Set'!E:E,'[2]Doc Set'!H:H)</f>
        <v>43514</v>
      </c>
      <c r="S157" s="143" t="s">
        <v>200</v>
      </c>
    </row>
    <row r="158" spans="1:19" x14ac:dyDescent="0.3">
      <c r="A158" s="55" t="s">
        <v>40</v>
      </c>
      <c r="B158" s="55" t="s">
        <v>190</v>
      </c>
      <c r="C158" s="55" t="s">
        <v>191</v>
      </c>
      <c r="D158" s="138" t="s">
        <v>192</v>
      </c>
      <c r="E158" s="55" t="s">
        <v>193</v>
      </c>
      <c r="F158" s="55" t="s">
        <v>663</v>
      </c>
      <c r="G158" s="55" t="s">
        <v>676</v>
      </c>
      <c r="H158" s="55" t="s">
        <v>677</v>
      </c>
      <c r="I158" s="154" t="s">
        <v>134</v>
      </c>
      <c r="J158" s="140" t="s">
        <v>678</v>
      </c>
      <c r="K158" s="55">
        <v>20038918</v>
      </c>
      <c r="L158" s="55" t="s">
        <v>198</v>
      </c>
      <c r="M158" s="141" t="str">
        <f t="shared" si="6"/>
        <v>CC-INT_D</v>
      </c>
      <c r="N158" s="142" t="str">
        <f>LOOKUP(M158,'[2]Doc Set'!E:E,'[2]Doc Set'!F:F)</f>
        <v>_</v>
      </c>
      <c r="O158" s="141" t="s">
        <v>199</v>
      </c>
      <c r="P158" s="142">
        <f>+LOOKUP(O158,'[2]Doc Set'!E:E,'[2]Doc Set'!G:G)</f>
        <v>43437</v>
      </c>
      <c r="Q158" s="55" t="str">
        <f t="shared" si="5"/>
        <v>CC-INT_D</v>
      </c>
      <c r="R158" s="142">
        <f>+LOOKUP(Q158,'[2]Doc Set'!E:E,'[2]Doc Set'!H:H)</f>
        <v>43514</v>
      </c>
      <c r="S158" s="143" t="s">
        <v>200</v>
      </c>
    </row>
    <row r="159" spans="1:19" x14ac:dyDescent="0.3">
      <c r="A159" s="55" t="s">
        <v>40</v>
      </c>
      <c r="B159" s="55" t="s">
        <v>190</v>
      </c>
      <c r="C159" s="55" t="s">
        <v>191</v>
      </c>
      <c r="D159" s="138" t="s">
        <v>192</v>
      </c>
      <c r="E159" s="55" t="s">
        <v>193</v>
      </c>
      <c r="F159" s="55" t="s">
        <v>663</v>
      </c>
      <c r="G159" s="55" t="s">
        <v>679</v>
      </c>
      <c r="H159" s="55" t="s">
        <v>680</v>
      </c>
      <c r="I159" s="154" t="s">
        <v>134</v>
      </c>
      <c r="J159" s="140" t="s">
        <v>681</v>
      </c>
      <c r="K159" s="55">
        <v>20038918</v>
      </c>
      <c r="L159" s="55" t="s">
        <v>198</v>
      </c>
      <c r="M159" s="141" t="str">
        <f t="shared" si="6"/>
        <v>CC-INT_E</v>
      </c>
      <c r="N159" s="142" t="str">
        <f>LOOKUP(M159,'[2]Doc Set'!E:E,'[2]Doc Set'!F:F)</f>
        <v>_</v>
      </c>
      <c r="O159" s="141" t="s">
        <v>306</v>
      </c>
      <c r="P159" s="142">
        <f>+LOOKUP(O159,'[2]Doc Set'!E:E,'[2]Doc Set'!G:G)</f>
        <v>43489</v>
      </c>
      <c r="Q159" s="55" t="str">
        <f t="shared" si="5"/>
        <v>CC-INT_E</v>
      </c>
      <c r="R159" s="142">
        <f>+LOOKUP(Q159,'[2]Doc Set'!E:E,'[2]Doc Set'!H:H)</f>
        <v>43542</v>
      </c>
      <c r="S159" s="143" t="s">
        <v>200</v>
      </c>
    </row>
    <row r="160" spans="1:19" x14ac:dyDescent="0.3">
      <c r="A160" s="55" t="s">
        <v>40</v>
      </c>
      <c r="B160" s="55" t="s">
        <v>190</v>
      </c>
      <c r="C160" s="55" t="s">
        <v>191</v>
      </c>
      <c r="D160" s="138" t="s">
        <v>192</v>
      </c>
      <c r="E160" s="55" t="s">
        <v>193</v>
      </c>
      <c r="F160" s="55" t="s">
        <v>663</v>
      </c>
      <c r="G160" s="55" t="s">
        <v>682</v>
      </c>
      <c r="H160" s="55" t="s">
        <v>683</v>
      </c>
      <c r="I160" s="154" t="s">
        <v>134</v>
      </c>
      <c r="J160" s="140" t="s">
        <v>684</v>
      </c>
      <c r="K160" s="55">
        <v>20038918</v>
      </c>
      <c r="L160" s="55" t="s">
        <v>198</v>
      </c>
      <c r="M160" s="141" t="str">
        <f t="shared" si="6"/>
        <v>CC-INT_E</v>
      </c>
      <c r="N160" s="142" t="str">
        <f>LOOKUP(M160,'[2]Doc Set'!E:E,'[2]Doc Set'!F:F)</f>
        <v>_</v>
      </c>
      <c r="O160" s="141" t="s">
        <v>306</v>
      </c>
      <c r="P160" s="142">
        <f>+LOOKUP(O160,'[2]Doc Set'!E:E,'[2]Doc Set'!G:G)</f>
        <v>43489</v>
      </c>
      <c r="Q160" s="55" t="str">
        <f t="shared" si="5"/>
        <v>CC-INT_E</v>
      </c>
      <c r="R160" s="142">
        <f>+LOOKUP(Q160,'[2]Doc Set'!E:E,'[2]Doc Set'!H:H)</f>
        <v>43542</v>
      </c>
      <c r="S160" s="143" t="s">
        <v>200</v>
      </c>
    </row>
    <row r="161" spans="1:19" x14ac:dyDescent="0.3">
      <c r="A161" s="55" t="s">
        <v>40</v>
      </c>
      <c r="B161" s="55" t="s">
        <v>190</v>
      </c>
      <c r="C161" s="55" t="s">
        <v>191</v>
      </c>
      <c r="D161" s="138" t="s">
        <v>192</v>
      </c>
      <c r="E161" s="55" t="s">
        <v>193</v>
      </c>
      <c r="F161" s="55" t="s">
        <v>663</v>
      </c>
      <c r="G161" s="55" t="s">
        <v>685</v>
      </c>
      <c r="H161" s="55" t="s">
        <v>686</v>
      </c>
      <c r="I161" s="154" t="s">
        <v>134</v>
      </c>
      <c r="J161" s="140" t="s">
        <v>687</v>
      </c>
      <c r="K161" s="55">
        <v>20038918</v>
      </c>
      <c r="L161" s="55" t="s">
        <v>198</v>
      </c>
      <c r="M161" s="141" t="str">
        <f t="shared" si="6"/>
        <v>CC-INT_E</v>
      </c>
      <c r="N161" s="142" t="str">
        <f>LOOKUP(M161,'[2]Doc Set'!E:E,'[2]Doc Set'!F:F)</f>
        <v>_</v>
      </c>
      <c r="O161" s="141" t="s">
        <v>306</v>
      </c>
      <c r="P161" s="142">
        <f>+LOOKUP(O161,'[2]Doc Set'!E:E,'[2]Doc Set'!G:G)</f>
        <v>43489</v>
      </c>
      <c r="Q161" s="55" t="str">
        <f t="shared" si="5"/>
        <v>CC-INT_E</v>
      </c>
      <c r="R161" s="142">
        <f>+LOOKUP(Q161,'[2]Doc Set'!E:E,'[2]Doc Set'!H:H)</f>
        <v>43542</v>
      </c>
      <c r="S161" s="143" t="s">
        <v>200</v>
      </c>
    </row>
    <row r="162" spans="1:19" x14ac:dyDescent="0.3">
      <c r="A162" s="55" t="s">
        <v>40</v>
      </c>
      <c r="B162" s="55" t="s">
        <v>190</v>
      </c>
      <c r="C162" s="55" t="s">
        <v>191</v>
      </c>
      <c r="D162" s="138" t="s">
        <v>192</v>
      </c>
      <c r="E162" s="55" t="s">
        <v>193</v>
      </c>
      <c r="F162" s="55" t="s">
        <v>663</v>
      </c>
      <c r="G162" s="55" t="s">
        <v>688</v>
      </c>
      <c r="H162" s="55" t="s">
        <v>689</v>
      </c>
      <c r="I162" s="154" t="s">
        <v>134</v>
      </c>
      <c r="J162" s="140" t="s">
        <v>690</v>
      </c>
      <c r="K162" s="55">
        <v>20038918</v>
      </c>
      <c r="L162" s="55" t="s">
        <v>198</v>
      </c>
      <c r="M162" s="141" t="str">
        <f t="shared" si="6"/>
        <v>CC-INT_E</v>
      </c>
      <c r="N162" s="142" t="str">
        <f>LOOKUP(M162,'[2]Doc Set'!E:E,'[2]Doc Set'!F:F)</f>
        <v>_</v>
      </c>
      <c r="O162" s="141" t="s">
        <v>306</v>
      </c>
      <c r="P162" s="142">
        <f>+LOOKUP(O162,'[2]Doc Set'!E:E,'[2]Doc Set'!G:G)</f>
        <v>43489</v>
      </c>
      <c r="Q162" s="55" t="str">
        <f t="shared" si="5"/>
        <v>CC-INT_E</v>
      </c>
      <c r="R162" s="142">
        <f>+LOOKUP(Q162,'[2]Doc Set'!E:E,'[2]Doc Set'!H:H)</f>
        <v>43542</v>
      </c>
      <c r="S162" s="143" t="s">
        <v>200</v>
      </c>
    </row>
    <row r="163" spans="1:19" x14ac:dyDescent="0.3">
      <c r="A163" s="55" t="s">
        <v>40</v>
      </c>
      <c r="B163" s="55" t="s">
        <v>190</v>
      </c>
      <c r="C163" s="55" t="s">
        <v>191</v>
      </c>
      <c r="D163" s="138" t="s">
        <v>192</v>
      </c>
      <c r="E163" s="55" t="s">
        <v>193</v>
      </c>
      <c r="F163" s="55" t="s">
        <v>663</v>
      </c>
      <c r="G163" s="55" t="s">
        <v>691</v>
      </c>
      <c r="H163" s="55" t="s">
        <v>692</v>
      </c>
      <c r="I163" s="154" t="s">
        <v>134</v>
      </c>
      <c r="J163" s="140" t="s">
        <v>693</v>
      </c>
      <c r="K163" s="55">
        <v>20038918</v>
      </c>
      <c r="L163" s="55" t="s">
        <v>198</v>
      </c>
      <c r="M163" s="141" t="str">
        <f t="shared" si="6"/>
        <v>CC-INT_E</v>
      </c>
      <c r="N163" s="142" t="str">
        <f>LOOKUP(M163,'[2]Doc Set'!E:E,'[2]Doc Set'!F:F)</f>
        <v>_</v>
      </c>
      <c r="O163" s="141" t="s">
        <v>306</v>
      </c>
      <c r="P163" s="142">
        <f>+LOOKUP(O163,'[2]Doc Set'!E:E,'[2]Doc Set'!G:G)</f>
        <v>43489</v>
      </c>
      <c r="Q163" s="55" t="str">
        <f t="shared" si="5"/>
        <v>CC-INT_E</v>
      </c>
      <c r="R163" s="142">
        <f>+LOOKUP(Q163,'[2]Doc Set'!E:E,'[2]Doc Set'!H:H)</f>
        <v>43542</v>
      </c>
      <c r="S163" s="143" t="s">
        <v>200</v>
      </c>
    </row>
    <row r="164" spans="1:19" x14ac:dyDescent="0.3">
      <c r="A164" s="55" t="s">
        <v>40</v>
      </c>
      <c r="B164" s="55" t="s">
        <v>190</v>
      </c>
      <c r="C164" s="55" t="s">
        <v>191</v>
      </c>
      <c r="D164" s="138" t="s">
        <v>192</v>
      </c>
      <c r="E164" s="55" t="s">
        <v>193</v>
      </c>
      <c r="F164" s="55" t="s">
        <v>663</v>
      </c>
      <c r="G164" s="55" t="s">
        <v>694</v>
      </c>
      <c r="H164" s="55" t="s">
        <v>695</v>
      </c>
      <c r="I164" s="154" t="s">
        <v>134</v>
      </c>
      <c r="J164" s="140" t="s">
        <v>696</v>
      </c>
      <c r="K164" s="55">
        <v>20038918</v>
      </c>
      <c r="L164" s="55" t="s">
        <v>198</v>
      </c>
      <c r="M164" s="141" t="str">
        <f t="shared" si="6"/>
        <v>CC-INT_E</v>
      </c>
      <c r="N164" s="142" t="str">
        <f>LOOKUP(M164,'[2]Doc Set'!E:E,'[2]Doc Set'!F:F)</f>
        <v>_</v>
      </c>
      <c r="O164" s="141" t="s">
        <v>306</v>
      </c>
      <c r="P164" s="142">
        <f>+LOOKUP(O164,'[2]Doc Set'!E:E,'[2]Doc Set'!G:G)</f>
        <v>43489</v>
      </c>
      <c r="Q164" s="55" t="str">
        <f t="shared" si="5"/>
        <v>CC-INT_E</v>
      </c>
      <c r="R164" s="142">
        <f>+LOOKUP(Q164,'[2]Doc Set'!E:E,'[2]Doc Set'!H:H)</f>
        <v>43542</v>
      </c>
      <c r="S164" s="143" t="s">
        <v>200</v>
      </c>
    </row>
    <row r="165" spans="1:19" x14ac:dyDescent="0.3">
      <c r="A165" s="55" t="s">
        <v>40</v>
      </c>
      <c r="B165" s="55" t="s">
        <v>190</v>
      </c>
      <c r="C165" s="55" t="s">
        <v>191</v>
      </c>
      <c r="D165" s="138" t="s">
        <v>192</v>
      </c>
      <c r="E165" s="55" t="s">
        <v>193</v>
      </c>
      <c r="F165" s="55" t="s">
        <v>663</v>
      </c>
      <c r="G165" s="55" t="s">
        <v>697</v>
      </c>
      <c r="H165" s="55" t="s">
        <v>698</v>
      </c>
      <c r="I165" s="154" t="s">
        <v>134</v>
      </c>
      <c r="J165" s="140" t="s">
        <v>699</v>
      </c>
      <c r="K165" s="55">
        <v>20038918</v>
      </c>
      <c r="L165" s="55" t="s">
        <v>198</v>
      </c>
      <c r="M165" s="141" t="str">
        <f t="shared" si="6"/>
        <v>CC-INT_E</v>
      </c>
      <c r="N165" s="142" t="str">
        <f>LOOKUP(M165,'[2]Doc Set'!E:E,'[2]Doc Set'!F:F)</f>
        <v>_</v>
      </c>
      <c r="O165" s="141" t="s">
        <v>306</v>
      </c>
      <c r="P165" s="142">
        <f>+LOOKUP(O165,'[2]Doc Set'!E:E,'[2]Doc Set'!G:G)</f>
        <v>43489</v>
      </c>
      <c r="Q165" s="55" t="str">
        <f t="shared" si="5"/>
        <v>CC-INT_E</v>
      </c>
      <c r="R165" s="142">
        <f>+LOOKUP(Q165,'[2]Doc Set'!E:E,'[2]Doc Set'!H:H)</f>
        <v>43542</v>
      </c>
      <c r="S165" s="143" t="s">
        <v>200</v>
      </c>
    </row>
    <row r="166" spans="1:19" x14ac:dyDescent="0.3">
      <c r="A166" s="55" t="s">
        <v>40</v>
      </c>
      <c r="B166" s="55" t="s">
        <v>190</v>
      </c>
      <c r="C166" s="55" t="s">
        <v>191</v>
      </c>
      <c r="D166" s="138" t="s">
        <v>192</v>
      </c>
      <c r="E166" s="55" t="s">
        <v>193</v>
      </c>
      <c r="F166" s="55" t="s">
        <v>521</v>
      </c>
      <c r="G166" s="55" t="s">
        <v>700</v>
      </c>
      <c r="H166" s="55" t="s">
        <v>701</v>
      </c>
      <c r="I166" s="154" t="s">
        <v>134</v>
      </c>
      <c r="J166" s="140" t="s">
        <v>702</v>
      </c>
      <c r="K166" s="55">
        <v>20038918</v>
      </c>
      <c r="L166" s="55" t="s">
        <v>198</v>
      </c>
      <c r="M166" s="141" t="str">
        <f t="shared" si="6"/>
        <v>CC-INT_E</v>
      </c>
      <c r="N166" s="142" t="str">
        <f>LOOKUP(M166,'[2]Doc Set'!E:E,'[2]Doc Set'!F:F)</f>
        <v>_</v>
      </c>
      <c r="O166" s="141" t="s">
        <v>306</v>
      </c>
      <c r="P166" s="142">
        <f>+LOOKUP(O166,'[2]Doc Set'!E:E,'[2]Doc Set'!G:G)</f>
        <v>43489</v>
      </c>
      <c r="Q166" s="55" t="str">
        <f t="shared" si="5"/>
        <v>CC-INT_E</v>
      </c>
      <c r="R166" s="142">
        <f>+LOOKUP(Q166,'[2]Doc Set'!E:E,'[2]Doc Set'!H:H)</f>
        <v>43542</v>
      </c>
      <c r="S166" s="143" t="s">
        <v>200</v>
      </c>
    </row>
    <row r="167" spans="1:19" x14ac:dyDescent="0.3">
      <c r="A167" s="55" t="s">
        <v>40</v>
      </c>
      <c r="B167" s="55" t="s">
        <v>190</v>
      </c>
      <c r="C167" s="55" t="s">
        <v>191</v>
      </c>
      <c r="D167" s="138" t="s">
        <v>192</v>
      </c>
      <c r="E167" s="55" t="s">
        <v>193</v>
      </c>
      <c r="F167" s="55" t="s">
        <v>521</v>
      </c>
      <c r="G167" s="55" t="s">
        <v>703</v>
      </c>
      <c r="H167" s="55" t="s">
        <v>704</v>
      </c>
      <c r="I167" s="154" t="s">
        <v>134</v>
      </c>
      <c r="J167" s="140" t="s">
        <v>705</v>
      </c>
      <c r="K167" s="55">
        <v>20038918</v>
      </c>
      <c r="L167" s="55" t="s">
        <v>198</v>
      </c>
      <c r="M167" s="141" t="str">
        <f t="shared" si="6"/>
        <v>CC-INT_E</v>
      </c>
      <c r="N167" s="142" t="str">
        <f>LOOKUP(M167,'[2]Doc Set'!E:E,'[2]Doc Set'!F:F)</f>
        <v>_</v>
      </c>
      <c r="O167" s="141" t="s">
        <v>306</v>
      </c>
      <c r="P167" s="142">
        <f>+LOOKUP(O167,'[2]Doc Set'!E:E,'[2]Doc Set'!G:G)</f>
        <v>43489</v>
      </c>
      <c r="Q167" s="55" t="str">
        <f t="shared" si="5"/>
        <v>CC-INT_E</v>
      </c>
      <c r="R167" s="142">
        <f>+LOOKUP(Q167,'[2]Doc Set'!E:E,'[2]Doc Set'!H:H)</f>
        <v>43542</v>
      </c>
      <c r="S167" s="143" t="s">
        <v>200</v>
      </c>
    </row>
    <row r="168" spans="1:19" x14ac:dyDescent="0.3">
      <c r="A168" s="55" t="s">
        <v>40</v>
      </c>
      <c r="B168" s="55" t="s">
        <v>190</v>
      </c>
      <c r="C168" s="55" t="s">
        <v>191</v>
      </c>
      <c r="D168" s="138" t="s">
        <v>192</v>
      </c>
      <c r="E168" s="55" t="s">
        <v>193</v>
      </c>
      <c r="F168" s="55" t="s">
        <v>521</v>
      </c>
      <c r="G168" s="55" t="s">
        <v>706</v>
      </c>
      <c r="H168" s="55" t="s">
        <v>707</v>
      </c>
      <c r="I168" s="154" t="s">
        <v>134</v>
      </c>
      <c r="J168" s="140" t="s">
        <v>708</v>
      </c>
      <c r="K168" s="55">
        <v>20038918</v>
      </c>
      <c r="L168" s="55" t="s">
        <v>198</v>
      </c>
      <c r="M168" s="141" t="str">
        <f t="shared" si="6"/>
        <v>CC-INT_E</v>
      </c>
      <c r="N168" s="142" t="str">
        <f>LOOKUP(M168,'[2]Doc Set'!E:E,'[2]Doc Set'!F:F)</f>
        <v>_</v>
      </c>
      <c r="O168" s="141" t="s">
        <v>306</v>
      </c>
      <c r="P168" s="142">
        <f>+LOOKUP(O168,'[2]Doc Set'!E:E,'[2]Doc Set'!G:G)</f>
        <v>43489</v>
      </c>
      <c r="Q168" s="55" t="str">
        <f t="shared" si="5"/>
        <v>CC-INT_E</v>
      </c>
      <c r="R168" s="142">
        <f>+LOOKUP(Q168,'[2]Doc Set'!E:E,'[2]Doc Set'!H:H)</f>
        <v>43542</v>
      </c>
      <c r="S168" s="143" t="s">
        <v>200</v>
      </c>
    </row>
    <row r="169" spans="1:19" x14ac:dyDescent="0.3">
      <c r="A169" s="55" t="s">
        <v>40</v>
      </c>
      <c r="B169" s="55" t="s">
        <v>190</v>
      </c>
      <c r="C169" s="55" t="s">
        <v>191</v>
      </c>
      <c r="D169" s="138" t="s">
        <v>192</v>
      </c>
      <c r="E169" s="55" t="s">
        <v>193</v>
      </c>
      <c r="F169" s="55" t="s">
        <v>521</v>
      </c>
      <c r="G169" s="55" t="s">
        <v>709</v>
      </c>
      <c r="H169" s="55" t="s">
        <v>710</v>
      </c>
      <c r="I169" s="154" t="s">
        <v>134</v>
      </c>
      <c r="J169" s="140" t="s">
        <v>711</v>
      </c>
      <c r="K169" s="55">
        <v>20038918</v>
      </c>
      <c r="L169" s="55" t="s">
        <v>198</v>
      </c>
      <c r="M169" s="141" t="str">
        <f t="shared" si="6"/>
        <v>CC-INT_E</v>
      </c>
      <c r="N169" s="142" t="str">
        <f>LOOKUP(M169,'[2]Doc Set'!E:E,'[2]Doc Set'!F:F)</f>
        <v>_</v>
      </c>
      <c r="O169" s="141" t="s">
        <v>306</v>
      </c>
      <c r="P169" s="142">
        <f>+LOOKUP(O169,'[2]Doc Set'!E:E,'[2]Doc Set'!G:G)</f>
        <v>43489</v>
      </c>
      <c r="Q169" s="55" t="str">
        <f t="shared" si="5"/>
        <v>CC-INT_E</v>
      </c>
      <c r="R169" s="142">
        <f>+LOOKUP(Q169,'[2]Doc Set'!E:E,'[2]Doc Set'!H:H)</f>
        <v>43542</v>
      </c>
      <c r="S169" s="143" t="s">
        <v>200</v>
      </c>
    </row>
  </sheetData>
  <autoFilter ref="A1:S169"/>
  <conditionalFormatting sqref="G1">
    <cfRule type="duplicateValues" dxfId="7" priority="7"/>
  </conditionalFormatting>
  <conditionalFormatting sqref="G1 G170:G1048576">
    <cfRule type="duplicateValues" dxfId="6" priority="6"/>
  </conditionalFormatting>
  <conditionalFormatting sqref="G2:G169">
    <cfRule type="duplicateValues" dxfId="5" priority="5"/>
  </conditionalFormatting>
  <conditionalFormatting sqref="G2:G169">
    <cfRule type="duplicateValues" dxfId="4" priority="4"/>
  </conditionalFormatting>
  <conditionalFormatting sqref="G2:G169">
    <cfRule type="duplicateValues" dxfId="3" priority="3"/>
  </conditionalFormatting>
  <conditionalFormatting sqref="G1:G1048576">
    <cfRule type="duplicateValues" dxfId="2" priority="1"/>
    <cfRule type="duplicateValues" dxfId="1" priority="2"/>
  </conditionalFormatting>
  <conditionalFormatting sqref="H1:H1048576">
    <cfRule type="duplicateValues" dxfId="0" priority="8"/>
  </conditionalFormatting>
  <dataValidations count="1">
    <dataValidation type="list" allowBlank="1" showInputMessage="1" showErrorMessage="1" sqref="O2:O169 M1:M1048576">
      <formula1>Document_Set_Name</formula1>
    </dataValidation>
  </dataValidations>
  <pageMargins left="0.7" right="0.7" top="0.75" bottom="0.75" header="0.3" footer="0.3"/>
  <pageSetup orientation="portrait" r:id="rId1"/>
  <headerFooter>
    <oddFooter>&amp;L&amp;1#&amp;"Calibri"&amp;8 Sensitivity: LNT Construction Internal Use</oddFoot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R45"/>
  <sheetViews>
    <sheetView zoomScale="85" zoomScaleNormal="85" workbookViewId="0">
      <selection activeCell="D6" sqref="D6"/>
    </sheetView>
  </sheetViews>
  <sheetFormatPr defaultColWidth="9.109375" defaultRowHeight="14.4" x14ac:dyDescent="0.3"/>
  <cols>
    <col min="1" max="1" width="9.109375" style="122"/>
    <col min="2" max="2" width="10.5546875" style="122" bestFit="1" customWidth="1"/>
    <col min="3" max="3" width="63" style="122" bestFit="1" customWidth="1"/>
    <col min="4" max="4" width="14" style="122" customWidth="1"/>
    <col min="5" max="5" width="13.6640625" style="122" customWidth="1"/>
    <col min="6" max="6" width="9.6640625" style="122" bestFit="1" customWidth="1"/>
    <col min="7" max="7" width="13.33203125" style="122" customWidth="1"/>
    <col min="8" max="8" width="13.44140625" style="122" customWidth="1"/>
    <col min="9" max="9" width="12" style="122" customWidth="1"/>
    <col min="10" max="10" width="12.88671875" style="122" customWidth="1"/>
    <col min="11" max="11" width="10.33203125" style="122" customWidth="1"/>
    <col min="12" max="12" width="15.33203125" style="122" customWidth="1"/>
    <col min="13" max="13" width="11.109375" style="122" customWidth="1"/>
    <col min="14" max="14" width="15" style="122" customWidth="1"/>
    <col min="15" max="15" width="9.109375" style="122"/>
    <col min="16" max="18" width="0" style="122" hidden="1" customWidth="1"/>
    <col min="19" max="16384" width="9.109375" style="122"/>
  </cols>
  <sheetData>
    <row r="1" spans="1:18" x14ac:dyDescent="0.3">
      <c r="B1" s="123" t="s">
        <v>140</v>
      </c>
      <c r="C1" s="124"/>
      <c r="D1" s="124"/>
      <c r="E1" s="124"/>
      <c r="F1" s="124"/>
      <c r="G1" s="124"/>
      <c r="H1" s="124"/>
      <c r="I1" s="124"/>
      <c r="J1" s="124"/>
      <c r="K1" s="124"/>
      <c r="L1" s="124"/>
      <c r="M1" s="124"/>
      <c r="N1" s="124"/>
    </row>
    <row r="2" spans="1:18" ht="15" thickBot="1" x14ac:dyDescent="0.35">
      <c r="B2" s="124"/>
      <c r="C2" s="124"/>
      <c r="D2" s="124"/>
      <c r="E2" t="s">
        <v>141</v>
      </c>
      <c r="F2" t="s">
        <v>142</v>
      </c>
      <c r="G2" t="s">
        <v>143</v>
      </c>
      <c r="H2" t="s">
        <v>141</v>
      </c>
      <c r="I2" t="s">
        <v>142</v>
      </c>
      <c r="J2" t="s">
        <v>143</v>
      </c>
      <c r="K2" t="s">
        <v>144</v>
      </c>
      <c r="L2" t="s">
        <v>145</v>
      </c>
      <c r="M2" t="s">
        <v>144</v>
      </c>
      <c r="N2" t="s">
        <v>145</v>
      </c>
    </row>
    <row r="3" spans="1:18" ht="15" thickBot="1" x14ac:dyDescent="0.35">
      <c r="B3" s="125"/>
      <c r="C3" s="126" t="s">
        <v>146</v>
      </c>
      <c r="D3" s="126" t="s">
        <v>72</v>
      </c>
      <c r="E3" s="261" t="s">
        <v>147</v>
      </c>
      <c r="F3" s="262"/>
      <c r="G3" s="263"/>
      <c r="H3" s="261" t="s">
        <v>148</v>
      </c>
      <c r="I3" s="262"/>
      <c r="J3" s="263"/>
      <c r="K3" s="261" t="s">
        <v>149</v>
      </c>
      <c r="L3" s="263"/>
      <c r="M3" s="261" t="s">
        <v>150</v>
      </c>
      <c r="N3" s="263"/>
      <c r="P3" s="122" t="s">
        <v>151</v>
      </c>
      <c r="Q3" s="122" t="s">
        <v>152</v>
      </c>
      <c r="R3" s="122" t="s">
        <v>153</v>
      </c>
    </row>
    <row r="4" spans="1:18" x14ac:dyDescent="0.3">
      <c r="B4" s="264"/>
      <c r="C4" s="264" t="s">
        <v>154</v>
      </c>
      <c r="D4" s="266" t="s">
        <v>155</v>
      </c>
      <c r="E4" s="127" t="s">
        <v>156</v>
      </c>
      <c r="F4" s="266" t="s">
        <v>157</v>
      </c>
      <c r="G4" s="266" t="s">
        <v>158</v>
      </c>
      <c r="H4" s="127" t="s">
        <v>156</v>
      </c>
      <c r="I4" s="266" t="s">
        <v>157</v>
      </c>
      <c r="J4" s="266" t="s">
        <v>158</v>
      </c>
      <c r="K4" s="266" t="s">
        <v>159</v>
      </c>
      <c r="L4" s="266" t="s">
        <v>160</v>
      </c>
      <c r="M4" s="266" t="s">
        <v>80</v>
      </c>
      <c r="N4" s="266" t="s">
        <v>81</v>
      </c>
    </row>
    <row r="5" spans="1:18" ht="15" thickBot="1" x14ac:dyDescent="0.35">
      <c r="B5" s="265"/>
      <c r="C5" s="265"/>
      <c r="D5" s="267"/>
      <c r="E5" s="128" t="s">
        <v>161</v>
      </c>
      <c r="F5" s="267"/>
      <c r="G5" s="267"/>
      <c r="H5" s="128" t="s">
        <v>161</v>
      </c>
      <c r="I5" s="267"/>
      <c r="J5" s="267"/>
      <c r="K5" s="267"/>
      <c r="L5" s="267"/>
      <c r="M5" s="267"/>
      <c r="N5" s="267"/>
    </row>
    <row r="6" spans="1:18" ht="15" thickBot="1" x14ac:dyDescent="0.35">
      <c r="A6" s="122">
        <v>1</v>
      </c>
      <c r="B6" s="129"/>
      <c r="C6" s="122" t="s">
        <v>162</v>
      </c>
      <c r="D6" s="130">
        <f>+SUMIFS('[2]elv BLG'!F:F,'[2]elv BLG'!D:D,'elv COVER'!C6,'[2]elv BLG'!E:E,'elv COVER'!D2)</f>
        <v>0</v>
      </c>
      <c r="E6" s="130">
        <v>33</v>
      </c>
      <c r="F6" s="131" t="s">
        <v>163</v>
      </c>
      <c r="G6" s="131" t="s">
        <v>163</v>
      </c>
      <c r="H6" s="130">
        <v>43</v>
      </c>
      <c r="I6" s="131" t="s">
        <v>163</v>
      </c>
      <c r="J6" s="131" t="s">
        <v>163</v>
      </c>
      <c r="K6" s="131" t="s">
        <v>163</v>
      </c>
      <c r="L6" s="131" t="s">
        <v>163</v>
      </c>
      <c r="M6" s="131" t="s">
        <v>163</v>
      </c>
      <c r="N6" s="131" t="s">
        <v>163</v>
      </c>
      <c r="P6" s="122">
        <f t="shared" ref="P6:P15" si="0">+D6</f>
        <v>0</v>
      </c>
      <c r="Q6" s="122" t="e">
        <f>+E6+F6+K6</f>
        <v>#VALUE!</v>
      </c>
      <c r="R6" s="122" t="e">
        <f>+H6+I6+M6</f>
        <v>#VALUE!</v>
      </c>
    </row>
    <row r="7" spans="1:18" ht="15" thickBot="1" x14ac:dyDescent="0.35">
      <c r="A7" s="122">
        <v>2</v>
      </c>
      <c r="B7" s="129"/>
      <c r="C7" s="122" t="s">
        <v>164</v>
      </c>
      <c r="D7" s="132"/>
      <c r="E7" s="132">
        <v>11</v>
      </c>
      <c r="F7" s="133" t="s">
        <v>163</v>
      </c>
      <c r="G7" s="133" t="s">
        <v>163</v>
      </c>
      <c r="H7" s="132">
        <v>11</v>
      </c>
      <c r="I7" s="133" t="s">
        <v>163</v>
      </c>
      <c r="J7" s="133" t="s">
        <v>163</v>
      </c>
      <c r="K7" s="133" t="s">
        <v>163</v>
      </c>
      <c r="L7" s="133" t="s">
        <v>163</v>
      </c>
      <c r="M7" s="133" t="s">
        <v>163</v>
      </c>
      <c r="N7" s="133" t="s">
        <v>163</v>
      </c>
      <c r="P7" s="122">
        <f t="shared" si="0"/>
        <v>0</v>
      </c>
      <c r="Q7" s="122" t="e">
        <f>+E7+F7+K7</f>
        <v>#VALUE!</v>
      </c>
      <c r="R7" s="122" t="e">
        <f>+H7+I7+M7</f>
        <v>#VALUE!</v>
      </c>
    </row>
    <row r="8" spans="1:18" ht="15" thickBot="1" x14ac:dyDescent="0.35">
      <c r="A8" s="122">
        <v>3</v>
      </c>
      <c r="B8" s="129"/>
      <c r="C8" s="122" t="s">
        <v>165</v>
      </c>
      <c r="D8" s="132"/>
      <c r="E8" s="132"/>
      <c r="F8" s="133" t="s">
        <v>163</v>
      </c>
      <c r="G8" s="133" t="s">
        <v>163</v>
      </c>
      <c r="H8" s="132">
        <v>0</v>
      </c>
      <c r="I8" s="133" t="s">
        <v>163</v>
      </c>
      <c r="J8" s="133" t="s">
        <v>163</v>
      </c>
      <c r="K8" s="133" t="s">
        <v>163</v>
      </c>
      <c r="L8" s="133" t="s">
        <v>163</v>
      </c>
      <c r="M8" s="133" t="s">
        <v>163</v>
      </c>
      <c r="N8" s="133" t="s">
        <v>163</v>
      </c>
      <c r="P8" s="122">
        <f t="shared" si="0"/>
        <v>0</v>
      </c>
      <c r="Q8" s="122" t="e">
        <f>+E8+F8</f>
        <v>#VALUE!</v>
      </c>
      <c r="R8" s="122" t="e">
        <f>+H8+I8</f>
        <v>#VALUE!</v>
      </c>
    </row>
    <row r="9" spans="1:18" ht="15" thickBot="1" x14ac:dyDescent="0.35">
      <c r="A9" s="122">
        <v>4</v>
      </c>
      <c r="B9" s="129"/>
      <c r="C9" s="122" t="s">
        <v>166</v>
      </c>
      <c r="D9" s="134">
        <f>+'[2]elv BLG'!F2</f>
        <v>6</v>
      </c>
      <c r="E9" s="132"/>
      <c r="F9" s="132">
        <v>36</v>
      </c>
      <c r="G9" s="133" t="s">
        <v>163</v>
      </c>
      <c r="H9" s="132">
        <v>0</v>
      </c>
      <c r="I9" s="132">
        <v>36</v>
      </c>
      <c r="J9" s="133" t="s">
        <v>163</v>
      </c>
      <c r="K9" s="132">
        <v>63</v>
      </c>
      <c r="L9" s="133" t="s">
        <v>163</v>
      </c>
      <c r="M9" s="132">
        <v>63</v>
      </c>
      <c r="N9" s="133" t="s">
        <v>163</v>
      </c>
      <c r="P9" s="122">
        <f t="shared" si="0"/>
        <v>6</v>
      </c>
      <c r="Q9" s="122" t="e">
        <f>+E9+F9+G9+K9+L9</f>
        <v>#VALUE!</v>
      </c>
      <c r="R9" s="122" t="e">
        <f>+H9+I9+J9+M9+N9</f>
        <v>#VALUE!</v>
      </c>
    </row>
    <row r="10" spans="1:18" ht="15" thickBot="1" x14ac:dyDescent="0.35">
      <c r="A10" s="122">
        <v>5</v>
      </c>
      <c r="B10" s="129"/>
      <c r="C10" s="122" t="s">
        <v>167</v>
      </c>
      <c r="D10" s="132">
        <v>10</v>
      </c>
      <c r="E10" s="132"/>
      <c r="F10" s="132">
        <v>38</v>
      </c>
      <c r="G10" s="133" t="s">
        <v>163</v>
      </c>
      <c r="H10" s="132">
        <v>0</v>
      </c>
      <c r="I10" s="132">
        <v>38</v>
      </c>
      <c r="J10" s="133" t="s">
        <v>163</v>
      </c>
      <c r="K10" s="132">
        <v>58</v>
      </c>
      <c r="L10" s="133" t="s">
        <v>163</v>
      </c>
      <c r="M10" s="132">
        <v>58</v>
      </c>
      <c r="N10" s="133" t="s">
        <v>163</v>
      </c>
      <c r="P10" s="122">
        <f t="shared" si="0"/>
        <v>10</v>
      </c>
      <c r="Q10" s="122">
        <f>+E10+F10</f>
        <v>38</v>
      </c>
      <c r="R10" s="122">
        <f>+H10+I10</f>
        <v>38</v>
      </c>
    </row>
    <row r="11" spans="1:18" ht="15" thickBot="1" x14ac:dyDescent="0.35">
      <c r="A11" s="122">
        <v>6</v>
      </c>
      <c r="B11" s="129"/>
      <c r="C11" s="122" t="s">
        <v>168</v>
      </c>
      <c r="D11" s="132"/>
      <c r="E11" s="132"/>
      <c r="F11" s="132">
        <v>20</v>
      </c>
      <c r="G11" s="133" t="s">
        <v>163</v>
      </c>
      <c r="H11" s="132">
        <v>0</v>
      </c>
      <c r="I11" s="132">
        <v>20</v>
      </c>
      <c r="J11" s="133" t="s">
        <v>163</v>
      </c>
      <c r="K11" s="133" t="s">
        <v>163</v>
      </c>
      <c r="L11" s="133" t="s">
        <v>163</v>
      </c>
      <c r="M11" s="133" t="s">
        <v>163</v>
      </c>
      <c r="N11" s="133" t="s">
        <v>163</v>
      </c>
      <c r="P11" s="122">
        <f t="shared" si="0"/>
        <v>0</v>
      </c>
      <c r="Q11" s="122">
        <f>+E11</f>
        <v>0</v>
      </c>
      <c r="R11" s="122">
        <f>+H11</f>
        <v>0</v>
      </c>
    </row>
    <row r="12" spans="1:18" ht="15" thickBot="1" x14ac:dyDescent="0.35">
      <c r="A12" s="122">
        <v>7</v>
      </c>
      <c r="B12" s="129"/>
      <c r="C12" s="122" t="s">
        <v>169</v>
      </c>
      <c r="D12" s="132">
        <v>19</v>
      </c>
      <c r="E12" s="132"/>
      <c r="F12" s="132">
        <v>34</v>
      </c>
      <c r="G12" s="132">
        <v>7</v>
      </c>
      <c r="H12" s="132">
        <v>0</v>
      </c>
      <c r="I12" s="132">
        <v>34</v>
      </c>
      <c r="J12" s="132">
        <v>7</v>
      </c>
      <c r="K12" s="132">
        <v>51</v>
      </c>
      <c r="L12" s="132">
        <v>81</v>
      </c>
      <c r="M12" s="132">
        <v>51</v>
      </c>
      <c r="N12" s="132">
        <v>81</v>
      </c>
      <c r="P12" s="122">
        <f t="shared" si="0"/>
        <v>19</v>
      </c>
      <c r="Q12" s="122">
        <f>+E12</f>
        <v>0</v>
      </c>
      <c r="R12" s="122">
        <f>+H12</f>
        <v>0</v>
      </c>
    </row>
    <row r="13" spans="1:18" ht="15" thickBot="1" x14ac:dyDescent="0.35">
      <c r="A13" s="122">
        <v>8</v>
      </c>
      <c r="B13" s="129"/>
      <c r="C13" s="122" t="s">
        <v>170</v>
      </c>
      <c r="D13" s="132"/>
      <c r="E13" s="132"/>
      <c r="F13" s="132">
        <v>14</v>
      </c>
      <c r="G13" s="133" t="s">
        <v>163</v>
      </c>
      <c r="H13" s="132">
        <v>0</v>
      </c>
      <c r="I13" s="132">
        <v>14</v>
      </c>
      <c r="J13" s="133" t="s">
        <v>163</v>
      </c>
      <c r="K13" s="133" t="s">
        <v>163</v>
      </c>
      <c r="L13" s="133" t="s">
        <v>163</v>
      </c>
      <c r="M13" s="133" t="s">
        <v>163</v>
      </c>
      <c r="N13" s="133" t="s">
        <v>163</v>
      </c>
      <c r="P13" s="122">
        <f t="shared" si="0"/>
        <v>0</v>
      </c>
      <c r="Q13" s="122">
        <f>+E13</f>
        <v>0</v>
      </c>
      <c r="R13" s="122">
        <f>+H13</f>
        <v>0</v>
      </c>
    </row>
    <row r="14" spans="1:18" ht="15" thickBot="1" x14ac:dyDescent="0.35">
      <c r="A14" s="122">
        <v>9</v>
      </c>
      <c r="B14" s="129"/>
      <c r="C14" s="122" t="s">
        <v>171</v>
      </c>
      <c r="D14" s="132"/>
      <c r="E14" s="132">
        <v>9</v>
      </c>
      <c r="F14" s="133" t="s">
        <v>163</v>
      </c>
      <c r="G14" s="133" t="s">
        <v>163</v>
      </c>
      <c r="H14" s="132">
        <v>9</v>
      </c>
      <c r="I14" s="133" t="s">
        <v>163</v>
      </c>
      <c r="J14" s="133" t="s">
        <v>163</v>
      </c>
      <c r="K14" s="133" t="s">
        <v>163</v>
      </c>
      <c r="L14" s="133" t="s">
        <v>163</v>
      </c>
      <c r="M14" s="133" t="s">
        <v>163</v>
      </c>
      <c r="N14" s="133" t="s">
        <v>163</v>
      </c>
      <c r="P14" s="122">
        <f t="shared" si="0"/>
        <v>0</v>
      </c>
      <c r="Q14" s="122">
        <f>+E14</f>
        <v>9</v>
      </c>
      <c r="R14" s="122">
        <f>+H14</f>
        <v>9</v>
      </c>
    </row>
    <row r="15" spans="1:18" ht="15" thickBot="1" x14ac:dyDescent="0.35">
      <c r="A15" s="122">
        <v>10</v>
      </c>
      <c r="B15" s="129"/>
      <c r="C15" s="135" t="s">
        <v>172</v>
      </c>
      <c r="D15" s="132"/>
      <c r="E15" s="132">
        <v>2</v>
      </c>
      <c r="F15" s="133" t="s">
        <v>163</v>
      </c>
      <c r="G15" s="133" t="s">
        <v>163</v>
      </c>
      <c r="H15" s="132">
        <v>2</v>
      </c>
      <c r="I15" s="133" t="s">
        <v>163</v>
      </c>
      <c r="J15" s="133" t="s">
        <v>163</v>
      </c>
      <c r="K15" s="133" t="s">
        <v>163</v>
      </c>
      <c r="L15" s="133" t="s">
        <v>163</v>
      </c>
      <c r="M15" s="133" t="s">
        <v>163</v>
      </c>
      <c r="N15" s="133" t="s">
        <v>163</v>
      </c>
      <c r="P15" s="122">
        <f t="shared" si="0"/>
        <v>0</v>
      </c>
      <c r="Q15" s="122">
        <f>+E15</f>
        <v>2</v>
      </c>
      <c r="R15" s="122">
        <f>+H15</f>
        <v>2</v>
      </c>
    </row>
    <row r="18" spans="3:18" x14ac:dyDescent="0.3">
      <c r="C18" s="122" t="s">
        <v>173</v>
      </c>
      <c r="D18" s="122">
        <v>55</v>
      </c>
      <c r="E18" s="122">
        <v>55</v>
      </c>
      <c r="F18" s="122">
        <v>142</v>
      </c>
      <c r="G18" s="122">
        <v>7</v>
      </c>
      <c r="H18" s="122">
        <v>65</v>
      </c>
      <c r="I18" s="122">
        <v>142</v>
      </c>
      <c r="J18" s="122">
        <v>7</v>
      </c>
      <c r="K18" s="122">
        <v>172</v>
      </c>
      <c r="L18" s="122">
        <v>81</v>
      </c>
      <c r="M18" s="122">
        <v>172</v>
      </c>
      <c r="N18" s="122">
        <v>81</v>
      </c>
      <c r="P18" s="122">
        <f>SUM(P6:P17)</f>
        <v>35</v>
      </c>
      <c r="Q18" s="122" t="e">
        <f>SUM(Q6:Q17)</f>
        <v>#VALUE!</v>
      </c>
      <c r="R18" s="122" t="e">
        <f>SUM(R6:R17)</f>
        <v>#VALUE!</v>
      </c>
    </row>
    <row r="25" spans="3:18" x14ac:dyDescent="0.3">
      <c r="C25" s="122" t="s">
        <v>162</v>
      </c>
    </row>
    <row r="26" spans="3:18" x14ac:dyDescent="0.3">
      <c r="C26" s="122" t="s">
        <v>164</v>
      </c>
    </row>
    <row r="27" spans="3:18" x14ac:dyDescent="0.3">
      <c r="C27" s="122" t="s">
        <v>165</v>
      </c>
    </row>
    <row r="28" spans="3:18" x14ac:dyDescent="0.3">
      <c r="C28" s="122" t="s">
        <v>166</v>
      </c>
    </row>
    <row r="29" spans="3:18" x14ac:dyDescent="0.3">
      <c r="C29" s="122" t="s">
        <v>167</v>
      </c>
    </row>
    <row r="30" spans="3:18" x14ac:dyDescent="0.3">
      <c r="C30" s="122" t="s">
        <v>168</v>
      </c>
    </row>
    <row r="31" spans="3:18" x14ac:dyDescent="0.3">
      <c r="C31" s="122" t="s">
        <v>169</v>
      </c>
    </row>
    <row r="32" spans="3:18" x14ac:dyDescent="0.3">
      <c r="C32" s="122" t="s">
        <v>170</v>
      </c>
    </row>
    <row r="33" spans="3:3" x14ac:dyDescent="0.3">
      <c r="C33" s="122" t="s">
        <v>171</v>
      </c>
    </row>
    <row r="34" spans="3:3" ht="15" thickBot="1" x14ac:dyDescent="0.35">
      <c r="C34" s="135" t="s">
        <v>172</v>
      </c>
    </row>
    <row r="35" spans="3:3" x14ac:dyDescent="0.3">
      <c r="C35"/>
    </row>
    <row r="36" spans="3:3" x14ac:dyDescent="0.3">
      <c r="C36"/>
    </row>
    <row r="37" spans="3:3" x14ac:dyDescent="0.3">
      <c r="C37"/>
    </row>
    <row r="38" spans="3:3" x14ac:dyDescent="0.3">
      <c r="C38"/>
    </row>
    <row r="39" spans="3:3" x14ac:dyDescent="0.3">
      <c r="C39"/>
    </row>
    <row r="40" spans="3:3" x14ac:dyDescent="0.3">
      <c r="C40"/>
    </row>
    <row r="41" spans="3:3" x14ac:dyDescent="0.3">
      <c r="C41"/>
    </row>
    <row r="42" spans="3:3" x14ac:dyDescent="0.3">
      <c r="C42"/>
    </row>
    <row r="43" spans="3:3" x14ac:dyDescent="0.3">
      <c r="C43"/>
    </row>
    <row r="44" spans="3:3" x14ac:dyDescent="0.3">
      <c r="C44"/>
    </row>
    <row r="45" spans="3:3" x14ac:dyDescent="0.3">
      <c r="C45"/>
    </row>
  </sheetData>
  <mergeCells count="15">
    <mergeCell ref="E3:G3"/>
    <mergeCell ref="H3:J3"/>
    <mergeCell ref="K3:L3"/>
    <mergeCell ref="M3:N3"/>
    <mergeCell ref="B4:B5"/>
    <mergeCell ref="C4:C5"/>
    <mergeCell ref="D4:D5"/>
    <mergeCell ref="F4:F5"/>
    <mergeCell ref="G4:G5"/>
    <mergeCell ref="I4:I5"/>
    <mergeCell ref="J4:J5"/>
    <mergeCell ref="K4:K5"/>
    <mergeCell ref="L4:L5"/>
    <mergeCell ref="M4:M5"/>
    <mergeCell ref="N4:N5"/>
  </mergeCells>
  <pageMargins left="0.7" right="0.7" top="0.75" bottom="0.75" header="0.3" footer="0.3"/>
  <pageSetup orientation="portrait" r:id="rId1"/>
  <headerFooter>
    <oddFooter>&amp;L&amp;1#&amp;"Calibri"&amp;8 Sensitivity: LNT Construction Internal Use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50</vt:i4>
      </vt:variant>
      <vt:variant>
        <vt:lpstr>Named Ranges</vt:lpstr>
      </vt:variant>
      <vt:variant>
        <vt:i4>16</vt:i4>
      </vt:variant>
    </vt:vector>
  </HeadingPairs>
  <TitlesOfParts>
    <vt:vector size="66" baseType="lpstr">
      <vt:lpstr>MergeExcel</vt:lpstr>
      <vt:lpstr>39-Security Building (5)</vt:lpstr>
      <vt:lpstr>0B (5)</vt:lpstr>
      <vt:lpstr>39-Security Building (4)</vt:lpstr>
      <vt:lpstr>0B (4)</vt:lpstr>
      <vt:lpstr>elv BLG (3)</vt:lpstr>
      <vt:lpstr>archiwarm (3)</vt:lpstr>
      <vt:lpstr>Doc Set (3)</vt:lpstr>
      <vt:lpstr>FS31 (3)</vt:lpstr>
      <vt:lpstr>DG30 (3)</vt:lpstr>
      <vt:lpstr>SG0A (3)</vt:lpstr>
      <vt:lpstr>MSP00 (3)</vt:lpstr>
      <vt:lpstr>CCP38 (3)</vt:lpstr>
      <vt:lpstr>EH3 (3)</vt:lpstr>
      <vt:lpstr>EH2 (3)</vt:lpstr>
      <vt:lpstr>EH1 (3)</vt:lpstr>
      <vt:lpstr>CC7 (3)</vt:lpstr>
      <vt:lpstr>elv COVER (3)</vt:lpstr>
      <vt:lpstr>L &amp; T MASTER (3)</vt:lpstr>
      <vt:lpstr>elv BLG (2)</vt:lpstr>
      <vt:lpstr>archiwarm (2)</vt:lpstr>
      <vt:lpstr>Doc Set (2)</vt:lpstr>
      <vt:lpstr>FS31 (2)</vt:lpstr>
      <vt:lpstr>DG30 (2)</vt:lpstr>
      <vt:lpstr>SG0A (2)</vt:lpstr>
      <vt:lpstr>MSP00 (2)</vt:lpstr>
      <vt:lpstr>CCP38 (2)</vt:lpstr>
      <vt:lpstr>EH3 (2)</vt:lpstr>
      <vt:lpstr>EH2 (2)</vt:lpstr>
      <vt:lpstr>EH1 (2)</vt:lpstr>
      <vt:lpstr>CC7 (2)</vt:lpstr>
      <vt:lpstr>elv COVER (2)</vt:lpstr>
      <vt:lpstr>L &amp; T MASTER (2)</vt:lpstr>
      <vt:lpstr>39-Security Building (3)</vt:lpstr>
      <vt:lpstr>0B (3)</vt:lpstr>
      <vt:lpstr>39-Security Building (2)</vt:lpstr>
      <vt:lpstr>0B (2)</vt:lpstr>
      <vt:lpstr>elv BLG</vt:lpstr>
      <vt:lpstr>archiwarm</vt:lpstr>
      <vt:lpstr>Doc Set</vt:lpstr>
      <vt:lpstr>FS31</vt:lpstr>
      <vt:lpstr>DG30</vt:lpstr>
      <vt:lpstr>SG0A</vt:lpstr>
      <vt:lpstr>MSP00</vt:lpstr>
      <vt:lpstr>CCP38</vt:lpstr>
      <vt:lpstr>EH3</vt:lpstr>
      <vt:lpstr>EH2</vt:lpstr>
      <vt:lpstr>EH1</vt:lpstr>
      <vt:lpstr>CC7</vt:lpstr>
      <vt:lpstr>elv COVER</vt:lpstr>
      <vt:lpstr>'Doc Set (2)'!Document_Set_Name</vt:lpstr>
      <vt:lpstr>'Doc Set (3)'!Document_Set_Name</vt:lpstr>
      <vt:lpstr>Document_Set_Name</vt:lpstr>
      <vt:lpstr>'0B (2)'!Print_Area</vt:lpstr>
      <vt:lpstr>'0B (3)'!Print_Area</vt:lpstr>
      <vt:lpstr>'0B (4)'!Print_Area</vt:lpstr>
      <vt:lpstr>'0B (5)'!Print_Area</vt:lpstr>
      <vt:lpstr>'39-Security Building (2)'!Print_Area</vt:lpstr>
      <vt:lpstr>'39-Security Building (3)'!Print_Area</vt:lpstr>
      <vt:lpstr>'39-Security Building (4)'!Print_Area</vt:lpstr>
      <vt:lpstr>'39-Security Building (5)'!Print_Area</vt:lpstr>
      <vt:lpstr>archiwarm!Print_Area</vt:lpstr>
      <vt:lpstr>'archiwarm (2)'!Print_Area</vt:lpstr>
      <vt:lpstr>'archiwarm (3)'!Print_Area</vt:lpstr>
      <vt:lpstr>'L &amp; T MASTER (2)'!Print_Area</vt:lpstr>
      <vt:lpstr>'L &amp; T MASTER (3)'!Print_Area</vt:lpstr>
    </vt:vector>
  </TitlesOfParts>
  <Company>Informatica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Viral</dc:creator>
  <cp:lastModifiedBy>Gupta, Vikram</cp:lastModifiedBy>
  <dcterms:created xsi:type="dcterms:W3CDTF">2011-12-18T02:34:53Z</dcterms:created>
  <dcterms:modified xsi:type="dcterms:W3CDTF">2018-05-08T15:28:51Z</dcterms:modified>
</cp:coreProperties>
</file>