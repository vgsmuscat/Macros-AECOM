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/>
  </bookViews>
  <sheets>
    <sheet name="NSE Future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D1" i="1" l="1"/>
  <c r="D2" i="1" s="1"/>
  <c r="F1" i="1"/>
  <c r="F2" i="1" s="1"/>
  <c r="E1" i="1"/>
  <c r="E2" i="1" s="1"/>
  <c r="D7" i="1"/>
  <c r="D6" i="1"/>
  <c r="G6" i="1" l="1"/>
  <c r="H6" i="1"/>
  <c r="M6" i="1"/>
  <c r="E6" i="1"/>
  <c r="K6" i="1"/>
  <c r="I6" i="1"/>
  <c r="L6" i="1"/>
  <c r="F6" i="1"/>
  <c r="J6" i="1"/>
  <c r="L7" i="1"/>
  <c r="M7" i="1"/>
  <c r="K7" i="1"/>
  <c r="I7" i="1"/>
  <c r="E7" i="1"/>
  <c r="F7" i="1"/>
  <c r="G7" i="1"/>
  <c r="J7" i="1"/>
  <c r="H7" i="1"/>
</calcChain>
</file>

<file path=xl/sharedStrings.xml><?xml version="1.0" encoding="utf-8"?>
<sst xmlns="http://schemas.openxmlformats.org/spreadsheetml/2006/main" count="19" uniqueCount="19">
  <si>
    <t>lastPrice</t>
  </si>
  <si>
    <t>closePrice</t>
  </si>
  <si>
    <t>lastUpdateTime</t>
  </si>
  <si>
    <t>WIPRO</t>
  </si>
  <si>
    <t>companyName</t>
  </si>
  <si>
    <t>NSE Ticker</t>
  </si>
  <si>
    <t>NSE Data</t>
  </si>
  <si>
    <t>Underlaying Equity / Index</t>
  </si>
  <si>
    <t>Available Expiry Dates</t>
  </si>
  <si>
    <t>lowPrice</t>
  </si>
  <si>
    <t>prevClose</t>
  </si>
  <si>
    <t>openPrice</t>
  </si>
  <si>
    <t>highPrice</t>
  </si>
  <si>
    <t>numberOfContractsTraded</t>
  </si>
  <si>
    <t>Expiry Date</t>
  </si>
  <si>
    <t>Display Expiry Dates</t>
  </si>
  <si>
    <t>27JUL2017</t>
  </si>
  <si>
    <t>infy</t>
  </si>
  <si>
    <t>26JUL2018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</si>
</sst>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9"/>
      <color rgb="FF00B0F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3" fillId="0" borderId="0" xfId="0" applyFont="1"/>
    <xf numFmtId="0" fontId="0" fillId="0" borderId="0" xfId="0" applyBorder="1"/>
    <xf numFmtId="164" fontId="0" fillId="0" borderId="0" xfId="0" applyNumberFormat="1" applyAlignment="1">
      <alignment horizontal="right"/>
    </xf>
    <xf numFmtId="0" fontId="3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481964</xdr:colOff>
      <xdr:row>0</xdr:row>
      <xdr:rowOff>154306</xdr:rowOff>
    </xdr:from>
    <xdr:to>
      <xdr:col>9</xdr:col>
      <xdr:colOff>255305</xdr:colOff>
      <xdr:row>2</xdr:row>
      <xdr:rowOff>85726</xdr:rowOff>
    </xdr:to>
    <xdr:sp macro="[0]!RefreshAll" textlink="">
      <xdr:nvSpPr>
        <xdr:cNvPr id="2" name="Rounded Rectangle 1"/>
        <xdr:cNvSpPr/>
      </xdr:nvSpPr>
      <xdr:spPr>
        <a:xfrm>
          <a:off x="5734049" y="161926"/>
          <a:ext cx="1200151" cy="3048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latin typeface="Garamond" panose="02020404030301010803" pitchFamily="18" charset="0"/>
            </a:rPr>
            <a:t>Refresh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7"/>
  <sheetViews>
    <sheetView tabSelected="1" workbookViewId="0">
      <selection activeCell="B7" sqref="B7"/>
    </sheetView>
  </sheetViews>
  <sheetFormatPr defaultRowHeight="14.4" x14ac:dyDescent="0.3"/>
  <cols>
    <col min="1" max="1" width="6.5546875" customWidth="1"/>
    <col min="2" max="2" width="10.44140625" bestFit="1" customWidth="1"/>
    <col min="3" max="3" width="10.44140625" customWidth="1"/>
    <col min="4" max="4" width="107.5546875" customWidth="1"/>
    <col min="5" max="5" width="17.88671875" customWidth="1"/>
    <col min="6" max="6" width="13.44140625" customWidth="1"/>
    <col min="7" max="8" width="9.44140625" customWidth="1"/>
    <col min="9" max="10" width="11.88671875" customWidth="1"/>
    <col min="11" max="11" width="13" customWidth="1"/>
    <col min="12" max="12" width="25" bestFit="1" customWidth="1"/>
    <col min="13" max="13" width="19.6640625" bestFit="1" customWidth="1"/>
  </cols>
  <sheetData>
    <row r="1" spans="2:13" x14ac:dyDescent="0.3">
      <c r="B1" s="12"/>
      <c r="C1" s="15" t="s">
        <v>8</v>
      </c>
      <c r="D1" s="14">
        <f ca="1">EOMONTH(TODAY(),0)-(WEEKDAY(EOMONTH(TODAY(),0),14)-1)</f>
        <v>43307</v>
      </c>
      <c r="E1" s="14">
        <f ca="1">EOMONTH(TODAY(),1)-(WEEKDAY(EOMONTH(TODAY(),1),14)-1)</f>
        <v>43342</v>
      </c>
      <c r="F1" s="14">
        <f ca="1">EOMONTH(TODAY(),2)-(WEEKDAY(EOMONTH(TODAY(),2),14)-1)</f>
        <v>43370</v>
      </c>
    </row>
    <row r="2" spans="2:13" x14ac:dyDescent="0.3">
      <c r="C2" s="15" t="s">
        <v>15</v>
      </c>
      <c r="D2" s="14" t="str">
        <f ca="1">TEXT(DAY(D1),"dd")&amp;UPPER(TEXT(D1,"MMM"))&amp;YEAR(D1)</f>
        <v>26JUL2018</v>
      </c>
      <c r="E2" s="14" t="str">
        <f ca="1">TEXT(DAY(E1),"dd")&amp;UPPER(TEXT(E1,"MMM"))&amp;YEAR(E1)</f>
        <v>30AUG2018</v>
      </c>
      <c r="F2" s="14" t="str">
        <f ca="1">TEXT(DAY(F1),"dd")&amp;UPPER(TEXT(F1,"MMM"))&amp;YEAR(F1)</f>
        <v>27SEP2018</v>
      </c>
    </row>
    <row r="3" spans="2:13" x14ac:dyDescent="0.3">
      <c r="D3" s="14"/>
      <c r="E3" s="14"/>
      <c r="F3" s="14"/>
    </row>
    <row r="4" spans="2:13" x14ac:dyDescent="0.3">
      <c r="B4" s="12" t="s">
        <v>7</v>
      </c>
      <c r="C4" s="12"/>
    </row>
    <row r="5" spans="2:13" x14ac:dyDescent="0.3">
      <c r="B5" s="1" t="s">
        <v>5</v>
      </c>
      <c r="C5" s="1" t="s">
        <v>14</v>
      </c>
      <c r="D5" t="s">
        <v>6</v>
      </c>
      <c r="E5" s="9" t="s">
        <v>4</v>
      </c>
      <c r="F5" s="10" t="s">
        <v>0</v>
      </c>
      <c r="G5" s="9" t="s">
        <v>12</v>
      </c>
      <c r="H5" s="10" t="s">
        <v>9</v>
      </c>
      <c r="I5" s="9" t="s">
        <v>10</v>
      </c>
      <c r="J5" s="10" t="s">
        <v>1</v>
      </c>
      <c r="K5" s="9" t="s">
        <v>11</v>
      </c>
      <c r="L5" s="11" t="s">
        <v>13</v>
      </c>
      <c r="M5" s="11" t="s">
        <v>2</v>
      </c>
    </row>
    <row r="6" spans="2:13" x14ac:dyDescent="0.3">
      <c r="B6" s="2" t="s">
        <v>17</v>
      </c>
      <c r="C6" s="13" t="s">
        <v>18</v>
      </c>
      <c r="D6" t="e">
        <f>TRIM(getNSEFutData(B6,C6))</f>
        <v>#VALUE!</v>
      </c>
      <c r="E6" s="4" t="e">
        <f t="shared" ref="E6:M7" si="0">MID($D6,FIND(E$5,$D6,1)+3+LEN(E$5),FIND(CHAR(34),$D6,(FIND(E$5,$D6,1)+LEN(E$5)+3))-(FIND(E$5,$D6,1)+LEN(E$5)+3))</f>
        <v>#VALUE!</v>
      </c>
      <c r="F6" s="5" t="e">
        <f>MID($D6,FIND(F$5,$D6,1)+3+LEN(F$5),FIND(CHAR(34),$D6,(FIND(F$5,$D6,1)+LEN(F$5)+3))-(FIND(F$5,$D6,1)+LEN(F$5)+3))</f>
        <v>#VALUE!</v>
      </c>
      <c r="G6" s="4" t="e">
        <f t="shared" si="0"/>
        <v>#VALUE!</v>
      </c>
      <c r="H6" s="5" t="e">
        <f t="shared" si="0"/>
        <v>#VALUE!</v>
      </c>
      <c r="I6" s="4" t="e">
        <f t="shared" si="0"/>
        <v>#VALUE!</v>
      </c>
      <c r="J6" s="5" t="e">
        <f t="shared" si="0"/>
        <v>#VALUE!</v>
      </c>
      <c r="K6" s="4" t="e">
        <f t="shared" si="0"/>
        <v>#VALUE!</v>
      </c>
      <c r="L6" s="8" t="e">
        <f t="shared" si="0"/>
        <v>#VALUE!</v>
      </c>
      <c r="M6" s="8" t="e">
        <f t="shared" si="0"/>
        <v>#VALUE!</v>
      </c>
    </row>
    <row r="7" spans="2:13" x14ac:dyDescent="0.3">
      <c r="B7" s="3" t="s">
        <v>3</v>
      </c>
      <c r="C7" s="13" t="s">
        <v>16</v>
      </c>
      <c r="D7" t="e">
        <f>TRIM(getNSEFutData(B7,C7))</f>
        <v>#VALUE!</v>
      </c>
      <c r="E7" s="6" t="e">
        <f t="shared" si="0"/>
        <v>#VALUE!</v>
      </c>
      <c r="F7" s="7" t="e">
        <f t="shared" si="0"/>
        <v>#VALUE!</v>
      </c>
      <c r="G7" s="6" t="e">
        <f t="shared" si="0"/>
        <v>#VALUE!</v>
      </c>
      <c r="H7" s="7" t="e">
        <f t="shared" si="0"/>
        <v>#VALUE!</v>
      </c>
      <c r="I7" s="6" t="e">
        <f t="shared" si="0"/>
        <v>#VALUE!</v>
      </c>
      <c r="J7" s="7" t="e">
        <f t="shared" si="0"/>
        <v>#VALUE!</v>
      </c>
      <c r="K7" s="6" t="e">
        <f t="shared" si="0"/>
        <v>#VALUE!</v>
      </c>
      <c r="L7" s="3" t="e">
        <f t="shared" si="0"/>
        <v>#VALUE!</v>
      </c>
      <c r="M7" s="3" t="e">
        <f t="shared" si="0"/>
        <v>#VALUE!</v>
      </c>
    </row>
  </sheetData>
  <dataValidations count="1">
    <dataValidation type="list" allowBlank="1" showInputMessage="1" showErrorMessage="1" sqref="C6:C22">
      <formula1>$D$2:$F$2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NSE Futures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2018-07-16T12:04:35Z</dcterms:modified>
</cp:coreProperties>
</file>